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rava\Downloads\"/>
    </mc:Choice>
  </mc:AlternateContent>
  <xr:revisionPtr revIDLastSave="0" documentId="13_ncr:1_{88EEB547-EC1E-4446-8C69-765BE5826482}" xr6:coauthVersionLast="47" xr6:coauthVersionMax="47" xr10:uidLastSave="{00000000-0000-0000-0000-000000000000}"/>
  <bookViews>
    <workbookView xWindow="-108" yWindow="-108" windowWidth="23256" windowHeight="13896" activeTab="6" xr2:uid="{1EEEA8B6-34B1-44A4-9B55-F948FDC079D6}"/>
  </bookViews>
  <sheets>
    <sheet name="Dashboard1" sheetId="4" r:id="rId1"/>
    <sheet name="Pivot table1" sheetId="2" r:id="rId2"/>
    <sheet name="Pivot table2" sheetId="3" r:id="rId3"/>
    <sheet name="Dashboard2" sheetId="5" r:id="rId4"/>
    <sheet name="Child_Health_Data" sheetId="1" r:id="rId5"/>
    <sheet name="Validation" sheetId="7" r:id="rId6"/>
    <sheet name="Summary" sheetId="9" r:id="rId7"/>
  </sheets>
  <definedNames>
    <definedName name="Slicer_Age_Months">#N/A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6" i="1" l="1"/>
  <c r="L96" i="1" s="1"/>
  <c r="K97" i="1"/>
  <c r="L97" i="1" s="1"/>
  <c r="K98" i="1"/>
  <c r="L98" i="1" s="1"/>
  <c r="K99" i="1"/>
  <c r="L99" i="1" s="1"/>
  <c r="K100" i="1"/>
  <c r="L100" i="1" s="1"/>
  <c r="K101" i="1"/>
  <c r="L101"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 i="1"/>
  <c r="L2" i="1" s="1"/>
</calcChain>
</file>

<file path=xl/sharedStrings.xml><?xml version="1.0" encoding="utf-8"?>
<sst xmlns="http://schemas.openxmlformats.org/spreadsheetml/2006/main" count="350" uniqueCount="137">
  <si>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</si>
  <si>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</si>
  <si>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</si>
  <si>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</si>
  <si>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</si>
  <si>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</si>
  <si>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</si>
  <si>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</si>
  <si>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</si>
  <si>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</si>
  <si>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</si>
  <si>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</si>
  <si>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</si>
  <si>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</si>
  <si>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</si>
  <si>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</si>
  <si>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</si>
  <si>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</si>
  <si>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</si>
  <si>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</si>
  <si>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</si>
  <si>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</si>
  <si>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</si>
  <si>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</si>
  <si>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</si>
  <si>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</si>
  <si>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</si>
  <si>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</si>
  <si>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</si>
  <si>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</si>
  <si>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</si>
  <si>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</si>
  <si>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</si>
  <si>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</si>
  <si>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</si>
  <si>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</si>
  <si>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</si>
  <si>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</si>
  <si>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</si>
  <si>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</si>
  <si>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</si>
  <si>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</si>
  <si>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</si>
  <si>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</si>
  <si>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</si>
  <si>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</si>
  <si>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</si>
  <si>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</si>
  <si>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</si>
  <si>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</si>
  <si>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</si>
  <si>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</si>
  <si>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</si>
  <si>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</si>
  <si>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</si>
  <si>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</si>
  <si>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</si>
  <si>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</si>
  <si>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</si>
  <si>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</si>
  <si>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</si>
  <si>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</si>
  <si>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</si>
  <si>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</si>
  <si>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</si>
  <si>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</si>
  <si>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</si>
  <si>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</si>
  <si>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</si>
  <si>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</si>
  <si>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</si>
  <si>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</si>
  <si>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</si>
  <si>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</si>
  <si>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</si>
  <si>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</si>
  <si>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</si>
  <si>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</si>
  <si>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</si>
  <si>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</si>
  <si>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</si>
  <si>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</si>
  <si>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</si>
  <si>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</si>
  <si>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</si>
  <si>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</si>
  <si>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</si>
  <si>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</si>
  <si>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</si>
  <si>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</si>
  <si>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</si>
  <si>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</si>
  <si>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</si>
  <si>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</si>
  <si>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</si>
  <si>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</si>
  <si>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</si>
  <si>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</si>
  <si>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</si>
  <si>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</si>
  <si>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</si>
  <si>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</si>
  <si>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</si>
  <si>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</si>
  <si>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</si>
  <si>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</si>
  <si>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</si>
  <si>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</si>
  <si>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</si>
  <si>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</si>
  <si>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</si>
  <si>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</si>
  <si>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</si>
  <si>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</si>
  <si>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</si>
  <si>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</si>
  <si>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</si>
  <si>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 xml:space="preserve">BMI </t>
  </si>
  <si>
    <t>Health_Status</t>
  </si>
  <si>
    <t>Row Labels</t>
  </si>
  <si>
    <t>Grand Total</t>
  </si>
  <si>
    <t>Healthy Weight</t>
  </si>
  <si>
    <t>Underweight</t>
  </si>
  <si>
    <t>Column Labels</t>
  </si>
  <si>
    <t>Count of ChildID</t>
  </si>
  <si>
    <t xml:space="preserve">Average of BMI </t>
  </si>
  <si>
    <t>Average of Daily_Sugar_Drinks</t>
  </si>
  <si>
    <t>Average of ScreenTime_Hours</t>
  </si>
  <si>
    <t>Average of Daily_Fruit_Servings</t>
  </si>
  <si>
    <t>The project analyzed child health data to identify correlations between food habits, lifestyle behaviors, and growth outcomes.</t>
  </si>
  <si>
    <t>Recommendations include reducing sugary drink consumption through awareness campaigns, promoting fruit and vegetable intake via school nutrition programs, and encouraging active play to limit screen time.</t>
  </si>
  <si>
    <t>These actions will help Healthy Futures improve child growth outcomes and reduce risks of both obesity and undernutrition.</t>
  </si>
  <si>
    <r>
      <t xml:space="preserve">High </t>
    </r>
    <r>
      <rPr>
        <b/>
        <sz val="18"/>
        <color theme="1"/>
        <rFont val="Aptos Narrow"/>
        <family val="2"/>
        <scheme val="minor"/>
      </rPr>
      <t>sugary drink consumption</t>
    </r>
    <r>
      <rPr>
        <sz val="18"/>
        <color theme="1"/>
        <rFont val="Aptos Narrow"/>
        <family val="2"/>
        <scheme val="minor"/>
      </rPr>
      <t xml:space="preserve"> is strongly linked to higher BMI, especially in South and East regions.</t>
    </r>
  </si>
  <si>
    <r>
      <t xml:space="preserve">Children with </t>
    </r>
    <r>
      <rPr>
        <b/>
        <sz val="18"/>
        <color theme="1"/>
        <rFont val="Aptos Narrow"/>
        <family val="2"/>
        <scheme val="minor"/>
      </rPr>
      <t>longer screen time</t>
    </r>
    <r>
      <rPr>
        <sz val="18"/>
        <color theme="1"/>
        <rFont val="Aptos Narrow"/>
        <family val="2"/>
        <scheme val="minor"/>
      </rPr>
      <t xml:space="preserve"> (over 2 hours daily) tend to show elevated BMI values.</t>
    </r>
  </si>
  <si>
    <r>
      <t xml:space="preserve">Higher </t>
    </r>
    <r>
      <rPr>
        <b/>
        <sz val="18"/>
        <color theme="1"/>
        <rFont val="Aptos Narrow"/>
        <family val="2"/>
        <scheme val="minor"/>
      </rPr>
      <t>fruit and vegetable intake</t>
    </r>
    <r>
      <rPr>
        <sz val="18"/>
        <color theme="1"/>
        <rFont val="Aptos Narrow"/>
        <family val="2"/>
        <scheme val="minor"/>
      </rPr>
      <t xml:space="preserve"> is associated with healthier weight ranges, particularly in Central and South regions.</t>
    </r>
  </si>
  <si>
    <r>
      <t xml:space="preserve">Underweight cases are more common in regions with </t>
    </r>
    <r>
      <rPr>
        <b/>
        <sz val="18"/>
        <color theme="1"/>
        <rFont val="Aptos Narrow"/>
        <family val="2"/>
        <scheme val="minor"/>
      </rPr>
      <t>low fruit and vegetable servings</t>
    </r>
    <r>
      <rPr>
        <sz val="18"/>
        <color theme="1"/>
        <rFont val="Aptos Narrow"/>
        <family val="2"/>
        <scheme val="minor"/>
      </rPr>
      <t>, such as East and North.</t>
    </r>
  </si>
  <si>
    <r>
      <t xml:space="preserve">Regional differences highlight the need for </t>
    </r>
    <r>
      <rPr>
        <b/>
        <sz val="18"/>
        <color theme="1"/>
        <rFont val="Aptos Narrow"/>
        <family val="2"/>
        <scheme val="minor"/>
      </rPr>
      <t>targeted interventions</t>
    </r>
    <r>
      <rPr>
        <sz val="18"/>
        <color theme="1"/>
        <rFont val="Aptos Narrow"/>
        <family val="2"/>
        <scheme val="minor"/>
      </rPr>
      <t xml:space="preserve"> to address specific dietary and lifestyle challenges.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</si>
</sst>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4" fillId="33" borderId="0" xfId="0" applyFont="1" applyFill="1"/>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0" applyNumberFormat="1"/>
    <xf numFmtId="0" fontId="18" fillId="0" borderId="0" xfId="0" applyFont="1" applyAlignment="1">
      <alignment horizontal="left" vertical="center" inden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table1!PivotTable2</c:name>
    <c:fmtId val="4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table1'!$F$20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table1'!$E$21:$E$50</c:f>
              <c:multiLvlStrCache>
                <c:ptCount val="24"/>
                <c:lvl>
                  <c:pt idx="0">
                    <c:v>0</c:v>
                  </c:pt>
                  <c:pt idx="1">
                    <c:v>1</c:v>
                  </c:pt>
                  <c:pt idx="2">
                    <c:v>2</c:v>
                  </c:pt>
                  <c:pt idx="3">
                    <c:v>3</c:v>
                  </c:pt>
                  <c:pt idx="4">
                    <c:v>4</c:v>
                  </c:pt>
                  <c:pt idx="5">
                    <c:v>0</c:v>
                  </c:pt>
                  <c:pt idx="6">
                    <c:v>1</c:v>
                  </c:pt>
                  <c:pt idx="7">
                    <c:v>2</c:v>
                  </c:pt>
                  <c:pt idx="8">
                    <c:v>3</c:v>
                  </c:pt>
                  <c:pt idx="9">
                    <c:v>4</c:v>
                  </c:pt>
                  <c:pt idx="10">
                    <c:v>0</c:v>
                  </c:pt>
                  <c:pt idx="11">
                    <c:v>1</c:v>
                  </c:pt>
                  <c:pt idx="12">
                    <c:v>2</c:v>
                  </c:pt>
                  <c:pt idx="13">
                    <c:v>4</c:v>
                  </c:pt>
                  <c:pt idx="14">
                    <c:v>0</c:v>
                  </c:pt>
                  <c:pt idx="15">
                    <c:v>1</c:v>
                  </c:pt>
                  <c:pt idx="16">
                    <c:v>2</c:v>
                  </c:pt>
                  <c:pt idx="17">
                    <c:v>3</c:v>
                  </c:pt>
                  <c:pt idx="18">
                    <c:v>4</c:v>
                  </c:pt>
                  <c:pt idx="19">
                    <c:v>0</c:v>
                  </c:pt>
                  <c:pt idx="20">
                    <c:v>1</c:v>
                  </c:pt>
                  <c:pt idx="21">
                    <c:v>2</c:v>
                  </c:pt>
                  <c:pt idx="22">
                    <c:v>3</c:v>
                  </c:pt>
                  <c:pt idx="23">
                    <c:v>4</c:v>
                  </c:pt>
                </c:lvl>
                <c:lvl>
                  <c:pt idx="0">
                    <c:v>0</c:v>
                  </c:pt>
                  <c:pt idx="5">
                    <c:v>1</c:v>
                  </c:pt>
                  <c:pt idx="10">
                    <c:v>2</c:v>
                  </c:pt>
                  <c:pt idx="14">
                    <c:v>3</c:v>
                  </c:pt>
                  <c:pt idx="19">
                    <c:v>4</c:v>
                  </c:pt>
                </c:lvl>
              </c:multiLvlStrCache>
            </c:multiLvlStrRef>
          </c:cat>
          <c:val>
            <c:numRef>
              <c:f>'Pivot table1'!$F$21:$F$50</c:f>
              <c:numCache>
                <c:formatCode>0.00</c:formatCode>
                <c:ptCount val="24"/>
                <c:pt idx="0">
                  <c:v>19.016420427584645</c:v>
                </c:pt>
                <c:pt idx="1">
                  <c:v>17.280117596560103</c:v>
                </c:pt>
                <c:pt idx="2">
                  <c:v>16.27305047255906</c:v>
                </c:pt>
                <c:pt idx="3">
                  <c:v>17.104134635526798</c:v>
                </c:pt>
                <c:pt idx="4">
                  <c:v>18.137073212360072</c:v>
                </c:pt>
                <c:pt idx="5">
                  <c:v>16.35248862763348</c:v>
                </c:pt>
                <c:pt idx="6">
                  <c:v>16.201722814253078</c:v>
                </c:pt>
                <c:pt idx="7">
                  <c:v>17.145357431721354</c:v>
                </c:pt>
                <c:pt idx="8">
                  <c:v>15.486892118792989</c:v>
                </c:pt>
                <c:pt idx="9">
                  <c:v>17.548662976364966</c:v>
                </c:pt>
                <c:pt idx="10">
                  <c:v>18.304030863042058</c:v>
                </c:pt>
                <c:pt idx="11">
                  <c:v>13.414804870225169</c:v>
                </c:pt>
                <c:pt idx="12">
                  <c:v>17.219114471226323</c:v>
                </c:pt>
                <c:pt idx="13">
                  <c:v>17.104693630968079</c:v>
                </c:pt>
                <c:pt idx="14">
                  <c:v>18.791232347431109</c:v>
                </c:pt>
                <c:pt idx="15">
                  <c:v>15.547827345547695</c:v>
                </c:pt>
                <c:pt idx="16">
                  <c:v>18.37904051788599</c:v>
                </c:pt>
                <c:pt idx="17">
                  <c:v>19.105850849662808</c:v>
                </c:pt>
                <c:pt idx="18">
                  <c:v>15.747317770125974</c:v>
                </c:pt>
                <c:pt idx="19">
                  <c:v>17.326942725016981</c:v>
                </c:pt>
                <c:pt idx="20">
                  <c:v>16.827714126941665</c:v>
                </c:pt>
                <c:pt idx="21">
                  <c:v>16.79563742079436</c:v>
                </c:pt>
                <c:pt idx="22">
                  <c:v>16.427913820241738</c:v>
                </c:pt>
                <c:pt idx="23">
                  <c:v>20.023541521230683</c:v>
                </c:pt>
              </c:numCache>
            </c:numRef>
          </c:val>
          <c:smooth val="0"/>
          <c:extLst>
            <c:ext xmlns:c16="http://schemas.microsoft.com/office/drawing/2014/chart" uri="{C3380CC4-5D6E-409C-BE32-E72D297353CC}">
              <c16:uniqueId val="{00000000-C204-41F2-A2AB-D57211D1A9AB}"/>
            </c:ext>
          </c:extLst>
        </c:ser>
        <c:dLbls>
          <c:showLegendKey val="0"/>
          <c:showVal val="0"/>
          <c:showCatName val="0"/>
          <c:showSerName val="0"/>
          <c:showPercent val="0"/>
          <c:showBubbleSize val="0"/>
        </c:dLbls>
        <c:marker val="1"/>
        <c:smooth val="0"/>
        <c:axId val="139481119"/>
        <c:axId val="1269871695"/>
      </c:lineChart>
      <c:catAx>
        <c:axId val="13948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71695"/>
        <c:crosses val="autoZero"/>
        <c:auto val="1"/>
        <c:lblAlgn val="ctr"/>
        <c:lblOffset val="100"/>
        <c:noMultiLvlLbl val="0"/>
      </c:catAx>
      <c:valAx>
        <c:axId val="1269871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table2!PivotTable3</c:name>
    <c:fmtId val="6"/>
  </c:pivotSource>
  <c:chart>
    <c:title>
      <c:layout>
        <c:manualLayout>
          <c:xMode val="edge"/>
          <c:yMode val="edge"/>
          <c:x val="0.2328309692671395"/>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table2'!$B$3</c:f>
              <c:strCache>
                <c:ptCount val="1"/>
                <c:pt idx="0">
                  <c:v>Average of Daily_Sugar_Drinks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F4-4727-B21F-7C97A8B040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F4-4727-B21F-7C97A8B040D0}"/>
              </c:ext>
            </c:extLst>
          </c:dPt>
          <c:cat>
            <c:strRef>
              <c:f>'Pivot table2'!$A$4:$A$6</c:f>
              <c:strCache>
                <c:ptCount val="2"/>
                <c:pt idx="0">
                  <c:v>Healthy Weight</c:v>
                </c:pt>
                <c:pt idx="1">
                  <c:v>Underweight</c:v>
                </c:pt>
              </c:strCache>
            </c:strRef>
          </c:cat>
          <c:val>
            <c:numRef>
              <c:f>'Pivot table2'!$B$4:$B$6</c:f>
              <c:numCache>
                <c:formatCode>0.00</c:formatCode>
                <c:ptCount val="2"/>
                <c:pt idx="0">
                  <c:v>1.5833333333333333</c:v>
                </c:pt>
                <c:pt idx="1">
                  <c:v>1.3026315789473684</c:v>
                </c:pt>
              </c:numCache>
            </c:numRef>
          </c:val>
          <c:extLst>
            <c:ext xmlns:c16="http://schemas.microsoft.com/office/drawing/2014/chart" uri="{C3380CC4-5D6E-409C-BE32-E72D297353CC}">
              <c16:uniqueId val="{00000004-EDF4-4727-B21F-7C97A8B040D0}"/>
            </c:ext>
          </c:extLst>
        </c:ser>
        <c:ser>
          <c:idx val="1"/>
          <c:order val="1"/>
          <c:tx>
            <c:strRef>
              <c:f>'Pivot table2'!$C$3</c:f>
              <c:strCache>
                <c:ptCount val="1"/>
                <c:pt idx="0">
                  <c:v>Average of ScreenTime_Hours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DF4-4727-B21F-7C97A8B040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DF4-4727-B21F-7C97A8B040D0}"/>
              </c:ext>
            </c:extLst>
          </c:dPt>
          <c:cat>
            <c:strRef>
              <c:f>'Pivot table2'!$A$4:$A$6</c:f>
              <c:strCache>
                <c:ptCount val="2"/>
                <c:pt idx="0">
                  <c:v>Healthy Weight</c:v>
                </c:pt>
                <c:pt idx="1">
                  <c:v>Underweight</c:v>
                </c:pt>
              </c:strCache>
            </c:strRef>
          </c:cat>
          <c:val>
            <c:numRef>
              <c:f>'Pivot table2'!$C$4:$C$6</c:f>
              <c:numCache>
                <c:formatCode>0.00</c:formatCode>
                <c:ptCount val="2"/>
                <c:pt idx="0">
                  <c:v>1.6875000000000002</c:v>
                </c:pt>
                <c:pt idx="1">
                  <c:v>1.2986842105263157</c:v>
                </c:pt>
              </c:numCache>
            </c:numRef>
          </c:val>
          <c:extLst>
            <c:ext xmlns:c16="http://schemas.microsoft.com/office/drawing/2014/chart" uri="{C3380CC4-5D6E-409C-BE32-E72D297353CC}">
              <c16:uniqueId val="{00000009-EDF4-4727-B21F-7C97A8B040D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798188790231005"/>
          <c:y val="0.62830667711855481"/>
          <c:w val="0.21201811209768992"/>
          <c:h val="0.23912711133990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table1!PivotTable1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14260717410327E-2"/>
          <c:y val="0.14249781277340332"/>
          <c:w val="0.6981323272090989"/>
          <c:h val="0.65890128317293672"/>
        </c:manualLayout>
      </c:layout>
      <c:barChart>
        <c:barDir val="col"/>
        <c:grouping val="clustered"/>
        <c:varyColors val="0"/>
        <c:ser>
          <c:idx val="0"/>
          <c:order val="0"/>
          <c:tx>
            <c:strRef>
              <c:f>'Pivot table1'!$B$3:$B$4</c:f>
              <c:strCache>
                <c:ptCount val="1"/>
                <c:pt idx="0">
                  <c:v>Healthy Weight</c:v>
                </c:pt>
              </c:strCache>
            </c:strRef>
          </c:tx>
          <c:spPr>
            <a:solidFill>
              <a:schemeClr val="accent1"/>
            </a:solidFill>
            <a:ln>
              <a:noFill/>
            </a:ln>
            <a:effectLst/>
          </c:spPr>
          <c:invertIfNegative val="0"/>
          <c:cat>
            <c:strRef>
              <c:f>'Pivot table1'!$A$5:$A$39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 table1'!$B$5:$B$39</c:f>
              <c:numCache>
                <c:formatCode>General</c:formatCode>
                <c:ptCount val="34"/>
                <c:pt idx="0">
                  <c:v>1</c:v>
                </c:pt>
                <c:pt idx="3">
                  <c:v>1</c:v>
                </c:pt>
                <c:pt idx="6">
                  <c:v>1</c:v>
                </c:pt>
                <c:pt idx="7">
                  <c:v>1</c:v>
                </c:pt>
                <c:pt idx="10">
                  <c:v>2</c:v>
                </c:pt>
                <c:pt idx="12">
                  <c:v>1</c:v>
                </c:pt>
                <c:pt idx="13">
                  <c:v>2</c:v>
                </c:pt>
                <c:pt idx="17">
                  <c:v>1</c:v>
                </c:pt>
                <c:pt idx="18">
                  <c:v>1</c:v>
                </c:pt>
                <c:pt idx="19">
                  <c:v>1</c:v>
                </c:pt>
                <c:pt idx="21">
                  <c:v>1</c:v>
                </c:pt>
                <c:pt idx="22">
                  <c:v>1</c:v>
                </c:pt>
                <c:pt idx="23">
                  <c:v>1</c:v>
                </c:pt>
                <c:pt idx="24">
                  <c:v>2</c:v>
                </c:pt>
                <c:pt idx="26">
                  <c:v>2</c:v>
                </c:pt>
                <c:pt idx="27">
                  <c:v>1</c:v>
                </c:pt>
                <c:pt idx="30">
                  <c:v>2</c:v>
                </c:pt>
                <c:pt idx="32">
                  <c:v>1</c:v>
                </c:pt>
                <c:pt idx="33">
                  <c:v>1</c:v>
                </c:pt>
              </c:numCache>
            </c:numRef>
          </c:val>
          <c:extLst>
            <c:ext xmlns:c16="http://schemas.microsoft.com/office/drawing/2014/chart" uri="{C3380CC4-5D6E-409C-BE32-E72D297353CC}">
              <c16:uniqueId val="{00000000-414A-4723-8F2A-9B7A9BCACBA8}"/>
            </c:ext>
          </c:extLst>
        </c:ser>
        <c:ser>
          <c:idx val="1"/>
          <c:order val="1"/>
          <c:tx>
            <c:strRef>
              <c:f>'Pivot table1'!$C$3:$C$4</c:f>
              <c:strCache>
                <c:ptCount val="1"/>
                <c:pt idx="0">
                  <c:v>Underweight</c:v>
                </c:pt>
              </c:strCache>
            </c:strRef>
          </c:tx>
          <c:spPr>
            <a:solidFill>
              <a:schemeClr val="accent2"/>
            </a:solidFill>
            <a:ln>
              <a:noFill/>
            </a:ln>
            <a:effectLst/>
          </c:spPr>
          <c:invertIfNegative val="0"/>
          <c:cat>
            <c:strRef>
              <c:f>'Pivot table1'!$A$5:$A$39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 table1'!$C$5:$C$39</c:f>
              <c:numCache>
                <c:formatCode>General</c:formatCode>
                <c:ptCount val="34"/>
                <c:pt idx="0">
                  <c:v>5</c:v>
                </c:pt>
                <c:pt idx="1">
                  <c:v>2</c:v>
                </c:pt>
                <c:pt idx="2">
                  <c:v>3</c:v>
                </c:pt>
                <c:pt idx="3">
                  <c:v>2</c:v>
                </c:pt>
                <c:pt idx="4">
                  <c:v>2</c:v>
                </c:pt>
                <c:pt idx="5">
                  <c:v>4</c:v>
                </c:pt>
                <c:pt idx="6">
                  <c:v>1</c:v>
                </c:pt>
                <c:pt idx="7">
                  <c:v>5</c:v>
                </c:pt>
                <c:pt idx="8">
                  <c:v>1</c:v>
                </c:pt>
                <c:pt idx="9">
                  <c:v>5</c:v>
                </c:pt>
                <c:pt idx="10">
                  <c:v>2</c:v>
                </c:pt>
                <c:pt idx="11">
                  <c:v>1</c:v>
                </c:pt>
                <c:pt idx="12">
                  <c:v>3</c:v>
                </c:pt>
                <c:pt idx="14">
                  <c:v>2</c:v>
                </c:pt>
                <c:pt idx="15">
                  <c:v>1</c:v>
                </c:pt>
                <c:pt idx="16">
                  <c:v>2</c:v>
                </c:pt>
                <c:pt idx="17">
                  <c:v>1</c:v>
                </c:pt>
                <c:pt idx="18">
                  <c:v>2</c:v>
                </c:pt>
                <c:pt idx="19">
                  <c:v>3</c:v>
                </c:pt>
                <c:pt idx="20">
                  <c:v>5</c:v>
                </c:pt>
                <c:pt idx="21">
                  <c:v>1</c:v>
                </c:pt>
                <c:pt idx="22">
                  <c:v>2</c:v>
                </c:pt>
                <c:pt idx="23">
                  <c:v>3</c:v>
                </c:pt>
                <c:pt idx="24">
                  <c:v>1</c:v>
                </c:pt>
                <c:pt idx="25">
                  <c:v>1</c:v>
                </c:pt>
                <c:pt idx="26">
                  <c:v>3</c:v>
                </c:pt>
                <c:pt idx="27">
                  <c:v>1</c:v>
                </c:pt>
                <c:pt idx="28">
                  <c:v>2</c:v>
                </c:pt>
                <c:pt idx="29">
                  <c:v>1</c:v>
                </c:pt>
                <c:pt idx="30">
                  <c:v>4</c:v>
                </c:pt>
                <c:pt idx="31">
                  <c:v>4</c:v>
                </c:pt>
                <c:pt idx="33">
                  <c:v>1</c:v>
                </c:pt>
              </c:numCache>
            </c:numRef>
          </c:val>
          <c:extLst>
            <c:ext xmlns:c16="http://schemas.microsoft.com/office/drawing/2014/chart" uri="{C3380CC4-5D6E-409C-BE32-E72D297353CC}">
              <c16:uniqueId val="{00000001-07D0-49A2-80E8-D92FE772BDC6}"/>
            </c:ext>
          </c:extLst>
        </c:ser>
        <c:dLbls>
          <c:showLegendKey val="0"/>
          <c:showVal val="0"/>
          <c:showCatName val="0"/>
          <c:showSerName val="0"/>
          <c:showPercent val="0"/>
          <c:showBubbleSize val="0"/>
        </c:dLbls>
        <c:gapWidth val="150"/>
        <c:axId val="35122879"/>
        <c:axId val="35125279"/>
      </c:barChart>
      <c:catAx>
        <c:axId val="351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5279"/>
        <c:crosses val="autoZero"/>
        <c:auto val="1"/>
        <c:lblAlgn val="ctr"/>
        <c:lblOffset val="100"/>
        <c:noMultiLvlLbl val="0"/>
      </c:catAx>
      <c:valAx>
        <c:axId val="3512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table1!PivotTable2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table1'!$F$20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table1'!$E$21:$E$50</c:f>
              <c:multiLvlStrCache>
                <c:ptCount val="24"/>
                <c:lvl>
                  <c:pt idx="0">
                    <c:v>0</c:v>
                  </c:pt>
                  <c:pt idx="1">
                    <c:v>1</c:v>
                  </c:pt>
                  <c:pt idx="2">
                    <c:v>2</c:v>
                  </c:pt>
                  <c:pt idx="3">
                    <c:v>3</c:v>
                  </c:pt>
                  <c:pt idx="4">
                    <c:v>4</c:v>
                  </c:pt>
                  <c:pt idx="5">
                    <c:v>0</c:v>
                  </c:pt>
                  <c:pt idx="6">
                    <c:v>1</c:v>
                  </c:pt>
                  <c:pt idx="7">
                    <c:v>2</c:v>
                  </c:pt>
                  <c:pt idx="8">
                    <c:v>3</c:v>
                  </c:pt>
                  <c:pt idx="9">
                    <c:v>4</c:v>
                  </c:pt>
                  <c:pt idx="10">
                    <c:v>0</c:v>
                  </c:pt>
                  <c:pt idx="11">
                    <c:v>1</c:v>
                  </c:pt>
                  <c:pt idx="12">
                    <c:v>2</c:v>
                  </c:pt>
                  <c:pt idx="13">
                    <c:v>4</c:v>
                  </c:pt>
                  <c:pt idx="14">
                    <c:v>0</c:v>
                  </c:pt>
                  <c:pt idx="15">
                    <c:v>1</c:v>
                  </c:pt>
                  <c:pt idx="16">
                    <c:v>2</c:v>
                  </c:pt>
                  <c:pt idx="17">
                    <c:v>3</c:v>
                  </c:pt>
                  <c:pt idx="18">
                    <c:v>4</c:v>
                  </c:pt>
                  <c:pt idx="19">
                    <c:v>0</c:v>
                  </c:pt>
                  <c:pt idx="20">
                    <c:v>1</c:v>
                  </c:pt>
                  <c:pt idx="21">
                    <c:v>2</c:v>
                  </c:pt>
                  <c:pt idx="22">
                    <c:v>3</c:v>
                  </c:pt>
                  <c:pt idx="23">
                    <c:v>4</c:v>
                  </c:pt>
                </c:lvl>
                <c:lvl>
                  <c:pt idx="0">
                    <c:v>0</c:v>
                  </c:pt>
                  <c:pt idx="5">
                    <c:v>1</c:v>
                  </c:pt>
                  <c:pt idx="10">
                    <c:v>2</c:v>
                  </c:pt>
                  <c:pt idx="14">
                    <c:v>3</c:v>
                  </c:pt>
                  <c:pt idx="19">
                    <c:v>4</c:v>
                  </c:pt>
                </c:lvl>
              </c:multiLvlStrCache>
            </c:multiLvlStrRef>
          </c:cat>
          <c:val>
            <c:numRef>
              <c:f>'Pivot table1'!$F$21:$F$50</c:f>
              <c:numCache>
                <c:formatCode>0.00</c:formatCode>
                <c:ptCount val="24"/>
                <c:pt idx="0">
                  <c:v>19.016420427584645</c:v>
                </c:pt>
                <c:pt idx="1">
                  <c:v>17.280117596560103</c:v>
                </c:pt>
                <c:pt idx="2">
                  <c:v>16.27305047255906</c:v>
                </c:pt>
                <c:pt idx="3">
                  <c:v>17.104134635526798</c:v>
                </c:pt>
                <c:pt idx="4">
                  <c:v>18.137073212360072</c:v>
                </c:pt>
                <c:pt idx="5">
                  <c:v>16.35248862763348</c:v>
                </c:pt>
                <c:pt idx="6">
                  <c:v>16.201722814253078</c:v>
                </c:pt>
                <c:pt idx="7">
                  <c:v>17.145357431721354</c:v>
                </c:pt>
                <c:pt idx="8">
                  <c:v>15.486892118792989</c:v>
                </c:pt>
                <c:pt idx="9">
                  <c:v>17.548662976364966</c:v>
                </c:pt>
                <c:pt idx="10">
                  <c:v>18.304030863042058</c:v>
                </c:pt>
                <c:pt idx="11">
                  <c:v>13.414804870225169</c:v>
                </c:pt>
                <c:pt idx="12">
                  <c:v>17.219114471226323</c:v>
                </c:pt>
                <c:pt idx="13">
                  <c:v>17.104693630968079</c:v>
                </c:pt>
                <c:pt idx="14">
                  <c:v>18.791232347431109</c:v>
                </c:pt>
                <c:pt idx="15">
                  <c:v>15.547827345547695</c:v>
                </c:pt>
                <c:pt idx="16">
                  <c:v>18.37904051788599</c:v>
                </c:pt>
                <c:pt idx="17">
                  <c:v>19.105850849662808</c:v>
                </c:pt>
                <c:pt idx="18">
                  <c:v>15.747317770125974</c:v>
                </c:pt>
                <c:pt idx="19">
                  <c:v>17.326942725016981</c:v>
                </c:pt>
                <c:pt idx="20">
                  <c:v>16.827714126941665</c:v>
                </c:pt>
                <c:pt idx="21">
                  <c:v>16.79563742079436</c:v>
                </c:pt>
                <c:pt idx="22">
                  <c:v>16.427913820241738</c:v>
                </c:pt>
                <c:pt idx="23">
                  <c:v>20.023541521230683</c:v>
                </c:pt>
              </c:numCache>
            </c:numRef>
          </c:val>
          <c:smooth val="0"/>
          <c:extLst>
            <c:ext xmlns:c16="http://schemas.microsoft.com/office/drawing/2014/chart" uri="{C3380CC4-5D6E-409C-BE32-E72D297353CC}">
              <c16:uniqueId val="{00000000-900B-483A-96E9-93B8BD5B3B99}"/>
            </c:ext>
          </c:extLst>
        </c:ser>
        <c:dLbls>
          <c:showLegendKey val="0"/>
          <c:showVal val="0"/>
          <c:showCatName val="0"/>
          <c:showSerName val="0"/>
          <c:showPercent val="0"/>
          <c:showBubbleSize val="0"/>
        </c:dLbls>
        <c:marker val="1"/>
        <c:smooth val="0"/>
        <c:axId val="139481119"/>
        <c:axId val="1269871695"/>
      </c:lineChart>
      <c:catAx>
        <c:axId val="13948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71695"/>
        <c:crosses val="autoZero"/>
        <c:auto val="1"/>
        <c:lblAlgn val="ctr"/>
        <c:lblOffset val="100"/>
        <c:noMultiLvlLbl val="0"/>
      </c:catAx>
      <c:valAx>
        <c:axId val="1269871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table2'!$B$3</c:f>
              <c:strCache>
                <c:ptCount val="1"/>
                <c:pt idx="0">
                  <c:v>Average of Daily_Sugar_Drinks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0B-43EC-BCF1-451A37E575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0B-43EC-BCF1-451A37E57584}"/>
              </c:ext>
            </c:extLst>
          </c:dPt>
          <c:cat>
            <c:strRef>
              <c:f>'Pivot table2'!$A$4:$A$6</c:f>
              <c:strCache>
                <c:ptCount val="2"/>
                <c:pt idx="0">
                  <c:v>Healthy Weight</c:v>
                </c:pt>
                <c:pt idx="1">
                  <c:v>Underweight</c:v>
                </c:pt>
              </c:strCache>
            </c:strRef>
          </c:cat>
          <c:val>
            <c:numRef>
              <c:f>'Pivot table2'!$B$4:$B$6</c:f>
              <c:numCache>
                <c:formatCode>0.00</c:formatCode>
                <c:ptCount val="2"/>
                <c:pt idx="0">
                  <c:v>1.5833333333333333</c:v>
                </c:pt>
                <c:pt idx="1">
                  <c:v>1.3026315789473684</c:v>
                </c:pt>
              </c:numCache>
            </c:numRef>
          </c:val>
          <c:extLst>
            <c:ext xmlns:c16="http://schemas.microsoft.com/office/drawing/2014/chart" uri="{C3380CC4-5D6E-409C-BE32-E72D297353CC}">
              <c16:uniqueId val="{00000000-7B90-4179-90AB-C265667AF0D5}"/>
            </c:ext>
          </c:extLst>
        </c:ser>
        <c:ser>
          <c:idx val="1"/>
          <c:order val="1"/>
          <c:tx>
            <c:strRef>
              <c:f>'Pivot table2'!$C$3</c:f>
              <c:strCache>
                <c:ptCount val="1"/>
                <c:pt idx="0">
                  <c:v>Average of ScreenTime_Hours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A0B-43EC-BCF1-451A37E575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A0B-43EC-BCF1-451A37E57584}"/>
              </c:ext>
            </c:extLst>
          </c:dPt>
          <c:cat>
            <c:strRef>
              <c:f>'Pivot table2'!$A$4:$A$6</c:f>
              <c:strCache>
                <c:ptCount val="2"/>
                <c:pt idx="0">
                  <c:v>Healthy Weight</c:v>
                </c:pt>
                <c:pt idx="1">
                  <c:v>Underweight</c:v>
                </c:pt>
              </c:strCache>
            </c:strRef>
          </c:cat>
          <c:val>
            <c:numRef>
              <c:f>'Pivot table2'!$C$4:$C$6</c:f>
              <c:numCache>
                <c:formatCode>0.00</c:formatCode>
                <c:ptCount val="2"/>
                <c:pt idx="0">
                  <c:v>1.6875000000000002</c:v>
                </c:pt>
                <c:pt idx="1">
                  <c:v>1.2986842105263157</c:v>
                </c:pt>
              </c:numCache>
            </c:numRef>
          </c:val>
          <c:extLst>
            <c:ext xmlns:c16="http://schemas.microsoft.com/office/drawing/2014/chart" uri="{C3380CC4-5D6E-409C-BE32-E72D297353CC}">
              <c16:uniqueId val="{00000001-7B90-4179-90AB-C265667AF0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table2!PivotTable4</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table2'!$F$3</c:f>
              <c:strCache>
                <c:ptCount val="1"/>
                <c:pt idx="0">
                  <c:v>Average of BMI </c:v>
                </c:pt>
              </c:strCache>
            </c:strRef>
          </c:tx>
          <c:spPr>
            <a:solidFill>
              <a:schemeClr val="accent1"/>
            </a:solidFill>
            <a:ln>
              <a:noFill/>
            </a:ln>
            <a:effectLst/>
          </c:spPr>
          <c:invertIfNegative val="0"/>
          <c:cat>
            <c:strRef>
              <c:f>'Pivot table2'!$E$4:$E$9</c:f>
              <c:strCache>
                <c:ptCount val="5"/>
                <c:pt idx="0">
                  <c:v>Central</c:v>
                </c:pt>
                <c:pt idx="1">
                  <c:v>East</c:v>
                </c:pt>
                <c:pt idx="2">
                  <c:v>North</c:v>
                </c:pt>
                <c:pt idx="3">
                  <c:v>South</c:v>
                </c:pt>
                <c:pt idx="4">
                  <c:v>West</c:v>
                </c:pt>
              </c:strCache>
            </c:strRef>
          </c:cat>
          <c:val>
            <c:numRef>
              <c:f>'Pivot table2'!$F$4:$F$9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5616-434D-9951-78DDCDFCA4F6}"/>
            </c:ext>
          </c:extLst>
        </c:ser>
        <c:ser>
          <c:idx val="1"/>
          <c:order val="1"/>
          <c:tx>
            <c:strRef>
              <c:f>'Pivot table2'!$G$3</c:f>
              <c:strCache>
                <c:ptCount val="1"/>
                <c:pt idx="0">
                  <c:v>Average of Daily_Fruit_Servings</c:v>
                </c:pt>
              </c:strCache>
            </c:strRef>
          </c:tx>
          <c:spPr>
            <a:solidFill>
              <a:schemeClr val="accent2"/>
            </a:solidFill>
            <a:ln>
              <a:noFill/>
            </a:ln>
            <a:effectLst/>
          </c:spPr>
          <c:invertIfNegative val="0"/>
          <c:cat>
            <c:strRef>
              <c:f>'Pivot table2'!$E$4:$E$9</c:f>
              <c:strCache>
                <c:ptCount val="5"/>
                <c:pt idx="0">
                  <c:v>Central</c:v>
                </c:pt>
                <c:pt idx="1">
                  <c:v>East</c:v>
                </c:pt>
                <c:pt idx="2">
                  <c:v>North</c:v>
                </c:pt>
                <c:pt idx="3">
                  <c:v>South</c:v>
                </c:pt>
                <c:pt idx="4">
                  <c:v>West</c:v>
                </c:pt>
              </c:strCache>
            </c:strRef>
          </c:cat>
          <c:val>
            <c:numRef>
              <c:f>'Pivot table2'!$G$4:$G$9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5616-434D-9951-78DDCDFCA4F6}"/>
            </c:ext>
          </c:extLst>
        </c:ser>
        <c:dLbls>
          <c:showLegendKey val="0"/>
          <c:showVal val="0"/>
          <c:showCatName val="0"/>
          <c:showSerName val="0"/>
          <c:showPercent val="0"/>
          <c:showBubbleSize val="0"/>
        </c:dLbls>
        <c:gapWidth val="219"/>
        <c:overlap val="-27"/>
        <c:axId val="32951183"/>
        <c:axId val="32951663"/>
      </c:barChart>
      <c:catAx>
        <c:axId val="329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1663"/>
        <c:crosses val="autoZero"/>
        <c:auto val="1"/>
        <c:lblAlgn val="ctr"/>
        <c:lblOffset val="100"/>
        <c:noMultiLvlLbl val="0"/>
      </c:catAx>
      <c:valAx>
        <c:axId val="3295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table1!PivotTable1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14260717410327E-2"/>
          <c:y val="0.14249781277340332"/>
          <c:w val="0.6981323272090989"/>
          <c:h val="0.65890128317293672"/>
        </c:manualLayout>
      </c:layout>
      <c:barChart>
        <c:barDir val="col"/>
        <c:grouping val="clustered"/>
        <c:varyColors val="0"/>
        <c:ser>
          <c:idx val="0"/>
          <c:order val="0"/>
          <c:tx>
            <c:strRef>
              <c:f>'Pivot table1'!$B$3:$B$4</c:f>
              <c:strCache>
                <c:ptCount val="1"/>
                <c:pt idx="0">
                  <c:v>Healthy Weight</c:v>
                </c:pt>
              </c:strCache>
            </c:strRef>
          </c:tx>
          <c:spPr>
            <a:solidFill>
              <a:schemeClr val="accent1"/>
            </a:solidFill>
            <a:ln>
              <a:noFill/>
            </a:ln>
            <a:effectLst/>
          </c:spPr>
          <c:invertIfNegative val="0"/>
          <c:cat>
            <c:strRef>
              <c:f>'Pivot table1'!$A$5:$A$39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 table1'!$B$5:$B$39</c:f>
              <c:numCache>
                <c:formatCode>General</c:formatCode>
                <c:ptCount val="34"/>
                <c:pt idx="0">
                  <c:v>1</c:v>
                </c:pt>
                <c:pt idx="3">
                  <c:v>1</c:v>
                </c:pt>
                <c:pt idx="6">
                  <c:v>1</c:v>
                </c:pt>
                <c:pt idx="7">
                  <c:v>1</c:v>
                </c:pt>
                <c:pt idx="10">
                  <c:v>2</c:v>
                </c:pt>
                <c:pt idx="12">
                  <c:v>1</c:v>
                </c:pt>
                <c:pt idx="13">
                  <c:v>2</c:v>
                </c:pt>
                <c:pt idx="17">
                  <c:v>1</c:v>
                </c:pt>
                <c:pt idx="18">
                  <c:v>1</c:v>
                </c:pt>
                <c:pt idx="19">
                  <c:v>1</c:v>
                </c:pt>
                <c:pt idx="21">
                  <c:v>1</c:v>
                </c:pt>
                <c:pt idx="22">
                  <c:v>1</c:v>
                </c:pt>
                <c:pt idx="23">
                  <c:v>1</c:v>
                </c:pt>
                <c:pt idx="24">
                  <c:v>2</c:v>
                </c:pt>
                <c:pt idx="26">
                  <c:v>2</c:v>
                </c:pt>
                <c:pt idx="27">
                  <c:v>1</c:v>
                </c:pt>
                <c:pt idx="30">
                  <c:v>2</c:v>
                </c:pt>
                <c:pt idx="32">
                  <c:v>1</c:v>
                </c:pt>
                <c:pt idx="33">
                  <c:v>1</c:v>
                </c:pt>
              </c:numCache>
            </c:numRef>
          </c:val>
          <c:extLst>
            <c:ext xmlns:c16="http://schemas.microsoft.com/office/drawing/2014/chart" uri="{C3380CC4-5D6E-409C-BE32-E72D297353CC}">
              <c16:uniqueId val="{00000000-4BDA-4176-9B3C-BE0A400B23F9}"/>
            </c:ext>
          </c:extLst>
        </c:ser>
        <c:ser>
          <c:idx val="1"/>
          <c:order val="1"/>
          <c:tx>
            <c:strRef>
              <c:f>'Pivot table1'!$C$3:$C$4</c:f>
              <c:strCache>
                <c:ptCount val="1"/>
                <c:pt idx="0">
                  <c:v>Underweight</c:v>
                </c:pt>
              </c:strCache>
            </c:strRef>
          </c:tx>
          <c:spPr>
            <a:solidFill>
              <a:schemeClr val="accent2"/>
            </a:solidFill>
            <a:ln>
              <a:noFill/>
            </a:ln>
            <a:effectLst/>
          </c:spPr>
          <c:invertIfNegative val="0"/>
          <c:cat>
            <c:strRef>
              <c:f>'Pivot table1'!$A$5:$A$39</c:f>
              <c:strCache>
                <c:ptCount val="34"/>
                <c:pt idx="0">
                  <c:v>25</c:v>
                </c:pt>
                <c:pt idx="1">
                  <c:v>26</c:v>
                </c:pt>
                <c:pt idx="2">
                  <c:v>27</c:v>
                </c:pt>
                <c:pt idx="3">
                  <c:v>28</c:v>
                </c:pt>
                <c:pt idx="4">
                  <c:v>29</c:v>
                </c:pt>
                <c:pt idx="5">
                  <c:v>30</c:v>
                </c:pt>
                <c:pt idx="6">
                  <c:v>31</c:v>
                </c:pt>
                <c:pt idx="7">
                  <c:v>32</c:v>
                </c:pt>
                <c:pt idx="8">
                  <c:v>33</c:v>
                </c:pt>
                <c:pt idx="9">
                  <c:v>34</c:v>
                </c:pt>
                <c:pt idx="10">
                  <c:v>35</c:v>
                </c:pt>
                <c:pt idx="11">
                  <c:v>36</c:v>
                </c:pt>
                <c:pt idx="12">
                  <c:v>38</c:v>
                </c:pt>
                <c:pt idx="13">
                  <c:v>39</c:v>
                </c:pt>
                <c:pt idx="14">
                  <c:v>40</c:v>
                </c:pt>
                <c:pt idx="15">
                  <c:v>41</c:v>
                </c:pt>
                <c:pt idx="16">
                  <c:v>42</c:v>
                </c:pt>
                <c:pt idx="17">
                  <c:v>43</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strCache>
            </c:strRef>
          </c:cat>
          <c:val>
            <c:numRef>
              <c:f>'Pivot table1'!$C$5:$C$39</c:f>
              <c:numCache>
                <c:formatCode>General</c:formatCode>
                <c:ptCount val="34"/>
                <c:pt idx="0">
                  <c:v>5</c:v>
                </c:pt>
                <c:pt idx="1">
                  <c:v>2</c:v>
                </c:pt>
                <c:pt idx="2">
                  <c:v>3</c:v>
                </c:pt>
                <c:pt idx="3">
                  <c:v>2</c:v>
                </c:pt>
                <c:pt idx="4">
                  <c:v>2</c:v>
                </c:pt>
                <c:pt idx="5">
                  <c:v>4</c:v>
                </c:pt>
                <c:pt idx="6">
                  <c:v>1</c:v>
                </c:pt>
                <c:pt idx="7">
                  <c:v>5</c:v>
                </c:pt>
                <c:pt idx="8">
                  <c:v>1</c:v>
                </c:pt>
                <c:pt idx="9">
                  <c:v>5</c:v>
                </c:pt>
                <c:pt idx="10">
                  <c:v>2</c:v>
                </c:pt>
                <c:pt idx="11">
                  <c:v>1</c:v>
                </c:pt>
                <c:pt idx="12">
                  <c:v>3</c:v>
                </c:pt>
                <c:pt idx="14">
                  <c:v>2</c:v>
                </c:pt>
                <c:pt idx="15">
                  <c:v>1</c:v>
                </c:pt>
                <c:pt idx="16">
                  <c:v>2</c:v>
                </c:pt>
                <c:pt idx="17">
                  <c:v>1</c:v>
                </c:pt>
                <c:pt idx="18">
                  <c:v>2</c:v>
                </c:pt>
                <c:pt idx="19">
                  <c:v>3</c:v>
                </c:pt>
                <c:pt idx="20">
                  <c:v>5</c:v>
                </c:pt>
                <c:pt idx="21">
                  <c:v>1</c:v>
                </c:pt>
                <c:pt idx="22">
                  <c:v>2</c:v>
                </c:pt>
                <c:pt idx="23">
                  <c:v>3</c:v>
                </c:pt>
                <c:pt idx="24">
                  <c:v>1</c:v>
                </c:pt>
                <c:pt idx="25">
                  <c:v>1</c:v>
                </c:pt>
                <c:pt idx="26">
                  <c:v>3</c:v>
                </c:pt>
                <c:pt idx="27">
                  <c:v>1</c:v>
                </c:pt>
                <c:pt idx="28">
                  <c:v>2</c:v>
                </c:pt>
                <c:pt idx="29">
                  <c:v>1</c:v>
                </c:pt>
                <c:pt idx="30">
                  <c:v>4</c:v>
                </c:pt>
                <c:pt idx="31">
                  <c:v>4</c:v>
                </c:pt>
                <c:pt idx="33">
                  <c:v>1</c:v>
                </c:pt>
              </c:numCache>
            </c:numRef>
          </c:val>
          <c:extLst>
            <c:ext xmlns:c16="http://schemas.microsoft.com/office/drawing/2014/chart" uri="{C3380CC4-5D6E-409C-BE32-E72D297353CC}">
              <c16:uniqueId val="{00000002-8644-4780-A322-8EC857F8CA3C}"/>
            </c:ext>
          </c:extLst>
        </c:ser>
        <c:dLbls>
          <c:showLegendKey val="0"/>
          <c:showVal val="0"/>
          <c:showCatName val="0"/>
          <c:showSerName val="0"/>
          <c:showPercent val="0"/>
          <c:showBubbleSize val="0"/>
        </c:dLbls>
        <c:gapWidth val="150"/>
        <c:axId val="35122879"/>
        <c:axId val="35125279"/>
      </c:barChart>
      <c:catAx>
        <c:axId val="3512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5279"/>
        <c:crosses val="autoZero"/>
        <c:auto val="1"/>
        <c:lblAlgn val="ctr"/>
        <c:lblOffset val="100"/>
        <c:noMultiLvlLbl val="0"/>
      </c:catAx>
      <c:valAx>
        <c:axId val="3512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[Day3CodingChallange.xlsx]Pivot table2!PivotTable4</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table2'!$F$3</c:f>
              <c:strCache>
                <c:ptCount val="1"/>
                <c:pt idx="0">
                  <c:v>Average of BMI </c:v>
                </c:pt>
              </c:strCache>
            </c:strRef>
          </c:tx>
          <c:spPr>
            <a:solidFill>
              <a:schemeClr val="accent1"/>
            </a:solidFill>
            <a:ln>
              <a:noFill/>
            </a:ln>
            <a:effectLst/>
          </c:spPr>
          <c:invertIfNegative val="0"/>
          <c:cat>
            <c:strRef>
              <c:f>'Pivot table2'!$E$4:$E$9</c:f>
              <c:strCache>
                <c:ptCount val="5"/>
                <c:pt idx="0">
                  <c:v>Central</c:v>
                </c:pt>
                <c:pt idx="1">
                  <c:v>East</c:v>
                </c:pt>
                <c:pt idx="2">
                  <c:v>North</c:v>
                </c:pt>
                <c:pt idx="3">
                  <c:v>South</c:v>
                </c:pt>
                <c:pt idx="4">
                  <c:v>West</c:v>
                </c:pt>
              </c:strCache>
            </c:strRef>
          </c:cat>
          <c:val>
            <c:numRef>
              <c:f>'Pivot table2'!$F$4:$F$9</c:f>
              <c:numCache>
                <c:formatCode>0.00</c:formatCode>
                <c:ptCount val="5"/>
                <c:pt idx="0">
                  <c:v>17.280514841003029</c:v>
                </c:pt>
                <c:pt idx="1">
                  <c:v>16.371172019628016</c:v>
                </c:pt>
                <c:pt idx="2">
                  <c:v>16.789441132947946</c:v>
                </c:pt>
                <c:pt idx="3">
                  <c:v>17.188810268120474</c:v>
                </c:pt>
                <c:pt idx="4">
                  <c:v>17.912368815419139</c:v>
                </c:pt>
              </c:numCache>
            </c:numRef>
          </c:val>
          <c:extLst>
            <c:ext xmlns:c16="http://schemas.microsoft.com/office/drawing/2014/chart" uri="{C3380CC4-5D6E-409C-BE32-E72D297353CC}">
              <c16:uniqueId val="{00000000-0AA3-4AA2-B42B-43F62498CE46}"/>
            </c:ext>
          </c:extLst>
        </c:ser>
        <c:ser>
          <c:idx val="1"/>
          <c:order val="1"/>
          <c:tx>
            <c:strRef>
              <c:f>'Pivot table2'!$G$3</c:f>
              <c:strCache>
                <c:ptCount val="1"/>
                <c:pt idx="0">
                  <c:v>Average of Daily_Fruit_Servings</c:v>
                </c:pt>
              </c:strCache>
            </c:strRef>
          </c:tx>
          <c:spPr>
            <a:solidFill>
              <a:schemeClr val="accent2"/>
            </a:solidFill>
            <a:ln>
              <a:noFill/>
            </a:ln>
            <a:effectLst/>
          </c:spPr>
          <c:invertIfNegative val="0"/>
          <c:cat>
            <c:strRef>
              <c:f>'Pivot table2'!$E$4:$E$9</c:f>
              <c:strCache>
                <c:ptCount val="5"/>
                <c:pt idx="0">
                  <c:v>Central</c:v>
                </c:pt>
                <c:pt idx="1">
                  <c:v>East</c:v>
                </c:pt>
                <c:pt idx="2">
                  <c:v>North</c:v>
                </c:pt>
                <c:pt idx="3">
                  <c:v>South</c:v>
                </c:pt>
                <c:pt idx="4">
                  <c:v>West</c:v>
                </c:pt>
              </c:strCache>
            </c:strRef>
          </c:cat>
          <c:val>
            <c:numRef>
              <c:f>'Pivot table2'!$G$4:$G$9</c:f>
              <c:numCache>
                <c:formatCode>0.00</c:formatCode>
                <c:ptCount val="5"/>
                <c:pt idx="0">
                  <c:v>2.3333333333333335</c:v>
                </c:pt>
                <c:pt idx="1">
                  <c:v>2.1428571428571428</c:v>
                </c:pt>
                <c:pt idx="2">
                  <c:v>2</c:v>
                </c:pt>
                <c:pt idx="3">
                  <c:v>2.5</c:v>
                </c:pt>
                <c:pt idx="4">
                  <c:v>1.5833333333333333</c:v>
                </c:pt>
              </c:numCache>
            </c:numRef>
          </c:val>
          <c:extLst>
            <c:ext xmlns:c16="http://schemas.microsoft.com/office/drawing/2014/chart" uri="{C3380CC4-5D6E-409C-BE32-E72D297353CC}">
              <c16:uniqueId val="{00000001-0AA3-4AA2-B42B-43F62498CE46}"/>
            </c:ext>
          </c:extLst>
        </c:ser>
        <c:dLbls>
          <c:showLegendKey val="0"/>
          <c:showVal val="0"/>
          <c:showCatName val="0"/>
          <c:showSerName val="0"/>
          <c:showPercent val="0"/>
          <c:showBubbleSize val="0"/>
        </c:dLbls>
        <c:gapWidth val="219"/>
        <c:overlap val="-27"/>
        <c:axId val="32951183"/>
        <c:axId val="32951663"/>
      </c:barChart>
      <c:catAx>
        <c:axId val="329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1663"/>
        <c:crosses val="autoZero"/>
        <c:auto val="1"/>
        <c:lblAlgn val="ctr"/>
        <c:lblOffset val="100"/>
        <c:noMultiLvlLbl val="0"/>
      </c:catAx>
      <c:valAx>
        <c:axId val="32951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365760</xdr:colOff>
      <xdr:row>2</xdr:row>
      <xdr:rowOff>0</xdr:rowOff>
    </xdr:from>
    <xdr:to>
      <xdr:col>20</xdr:col>
      <xdr:colOff>403860</xdr:colOff>
      <xdr:row>33</xdr:row>
      <xdr:rowOff>83820</xdr:rowOff>
    </xdr:to>
    <xdr:sp macro="" textlink="">
      <xdr:nvSpPr>
        <xdr:cNvPr id="2" name="Rectangle: Rounded Corners 1">
          <a:extLst>
            <a:ext uri="{FF2B5EF4-FFF2-40B4-BE49-F238E27FC236}">
              <a16:creationId xmlns:a16="http://schemas.microsoft.com/office/drawing/2014/main" id="{170401EC-7E3C-1664-1A78-D572FDBDDF3E}"/>
            </a:ext>
          </a:extLst>
        </xdr:cNvPr>
        <xdr:cNvSpPr/>
      </xdr:nvSpPr>
      <xdr:spPr>
        <a:xfrm>
          <a:off x="365760" y="365760"/>
          <a:ext cx="12230100" cy="5753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rgbClr val="FFFF00"/>
              </a:solidFill>
            </a:rPr>
            <a:t>The Healthy Kids Nutrition &amp; Growth Analysis </a:t>
          </a:r>
          <a:endParaRPr lang="en-IN" sz="2800" b="1">
            <a:solidFill>
              <a:srgbClr val="FFFF00"/>
            </a:solidFill>
          </a:endParaRPr>
        </a:p>
      </xdr:txBody>
    </xdr:sp>
    <xdr:clientData/>
  </xdr:twoCellAnchor>
  <xdr:twoCellAnchor editAs="oneCell">
    <xdr:from>
      <xdr:col>1</xdr:col>
      <xdr:colOff>129540</xdr:colOff>
      <xdr:row>3</xdr:row>
      <xdr:rowOff>175260</xdr:rowOff>
    </xdr:from>
    <xdr:to>
      <xdr:col>4</xdr:col>
      <xdr:colOff>76200</xdr:colOff>
      <xdr:row>31</xdr:row>
      <xdr:rowOff>114300</xdr:rowOff>
    </xdr:to>
    <xdr:pic>
      <xdr:nvPicPr>
        <xdr:cNvPr id="3" name="Picture 2">
          <a:extLst>
            <a:ext uri="{FF2B5EF4-FFF2-40B4-BE49-F238E27FC236}">
              <a16:creationId xmlns:a16="http://schemas.microsoft.com/office/drawing/2014/main" id="{CFFD82EA-12B3-E765-0085-F2250D7C8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9140" y="723900"/>
          <a:ext cx="1775460" cy="505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243840</xdr:colOff>
      <xdr:row>6</xdr:row>
      <xdr:rowOff>144780</xdr:rowOff>
    </xdr:from>
    <xdr:to>
      <xdr:col>11</xdr:col>
      <xdr:colOff>434340</xdr:colOff>
      <xdr:row>10</xdr:row>
      <xdr:rowOff>152400</xdr:rowOff>
    </xdr:to>
    <xdr:pic>
      <xdr:nvPicPr>
        <xdr:cNvPr id="4" name="Picture 3">
          <a:extLst>
            <a:ext uri="{FF2B5EF4-FFF2-40B4-BE49-F238E27FC236}">
              <a16:creationId xmlns:a16="http://schemas.microsoft.com/office/drawing/2014/main" id="{E8FCA274-7EE9-8C1D-4462-962CBD0B2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82240" y="1242060"/>
          <a:ext cx="4457700" cy="739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213360</xdr:colOff>
      <xdr:row>11</xdr:row>
      <xdr:rowOff>152400</xdr:rowOff>
    </xdr:from>
    <xdr:to>
      <xdr:col>11</xdr:col>
      <xdr:colOff>449580</xdr:colOff>
      <xdr:row>18</xdr:row>
      <xdr:rowOff>76200</xdr:rowOff>
    </xdr:to>
    <xdr:pic>
      <xdr:nvPicPr>
        <xdr:cNvPr id="5" name="Picture 4">
          <a:extLst>
            <a:ext uri="{FF2B5EF4-FFF2-40B4-BE49-F238E27FC236}">
              <a16:creationId xmlns:a16="http://schemas.microsoft.com/office/drawing/2014/main" id="{DCC5B33A-08FB-CD11-7B54-CD0348D64E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51760" y="2164080"/>
          <a:ext cx="4503420" cy="1203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182880</xdr:colOff>
      <xdr:row>18</xdr:row>
      <xdr:rowOff>167640</xdr:rowOff>
    </xdr:from>
    <xdr:to>
      <xdr:col>11</xdr:col>
      <xdr:colOff>487680</xdr:colOff>
      <xdr:row>31</xdr:row>
      <xdr:rowOff>106680</xdr:rowOff>
    </xdr:to>
    <xdr:graphicFrame macro="">
      <xdr:nvGraphicFramePr>
        <xdr:cNvPr id="9" name="Chart 8">
          <a:extLst>
            <a:ext uri="{FF2B5EF4-FFF2-40B4-BE49-F238E27FC236}">
              <a16:creationId xmlns:a16="http://schemas.microsoft.com/office/drawing/2014/main" id="{240B2D99-B11E-4084-BA73-0F1FBD375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327660</xdr:colOff>
      <xdr:row>6</xdr:row>
      <xdr:rowOff>99060</xdr:rowOff>
    </xdr:from>
    <xdr:to>
      <xdr:col>18</xdr:col>
      <xdr:colOff>441960</xdr:colOff>
      <xdr:row>18</xdr:row>
      <xdr:rowOff>106680</xdr:rowOff>
    </xdr:to>
    <xdr:graphicFrame macro="">
      <xdr:nvGraphicFramePr>
        <xdr:cNvPr id="10" name="Chart 9">
          <a:extLst>
            <a:ext uri="{FF2B5EF4-FFF2-40B4-BE49-F238E27FC236}">
              <a16:creationId xmlns:a16="http://schemas.microsoft.com/office/drawing/2014/main" id="{A1C81EC4-62A6-4B81-9912-BEAC7E0F4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259080</xdr:colOff>
      <xdr:row>19</xdr:row>
      <xdr:rowOff>1</xdr:rowOff>
    </xdr:from>
    <xdr:to>
      <xdr:col>15</xdr:col>
      <xdr:colOff>76200</xdr:colOff>
      <xdr:row>31</xdr:row>
      <xdr:rowOff>137161</xdr:rowOff>
    </xdr:to>
    <mc:AlternateContent xmlns:mc="http://schemas.openxmlformats.org/markup-compatibility/2006" xmlns:a14="http://schemas.microsoft.com/office/drawing/2010/main">
      <mc:Choice Requires="a14">
        <xdr:graphicFrame macro="">
          <xdr:nvGraphicFramePr>
            <xdr:cNvPr id="13" name="Age_Months 1">
              <a:extLst>
                <a:ext uri="{FF2B5EF4-FFF2-40B4-BE49-F238E27FC236}">
                  <a16:creationId xmlns:a16="http://schemas.microsoft.com/office/drawing/2014/main" id="{7C4D15D5-5CE8-493C-B33D-DD52A677D6E1}"/>
                </a:ext>
              </a:extLst>
            </xdr:cNvPr>
            <xdr:cNvGraphicFramePr/>
          </xdr:nvGraphicFramePr>
          <xdr:xfrm>
            <a:off x="0" y="0"/>
            <a:ext cx="0" cy="0"/>
          </xdr:xfrm>
          <a:graphic>
            <a:graphicData uri="http://schemas.microsoft.com/office/drawing/2010/slicer">
              <sle:slicer xmlns:sle="http://schemas.microsoft.com/office/drawing/2010/slicer" name="Age_Months 1"/>
            </a:graphicData>
          </a:graphic>
        </xdr:graphicFrame>
      </mc:Choice>
      <mc:Fallback xmlns="">
        <xdr:sp macro="" textlink="">
          <xdr:nvSpPr>
            <xdr:cNvPr id="0" name=""/>
            <xdr:cNvSpPr>
              <a:spLocks noTextEdit="1"/>
            </xdr:cNvSpPr>
          </xdr:nvSpPr>
          <xdr:spPr>
            <a:xfrm>
              <a:off x="7574280" y="3474721"/>
              <a:ext cx="164592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251460</xdr:colOff>
      <xdr:row>18</xdr:row>
      <xdr:rowOff>160021</xdr:rowOff>
    </xdr:from>
    <xdr:to>
      <xdr:col>18</xdr:col>
      <xdr:colOff>60960</xdr:colOff>
      <xdr:row>31</xdr:row>
      <xdr:rowOff>114301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06697224-1660-4883-95F4-4D73BAB17C2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95460" y="3451861"/>
              <a:ext cx="16383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160020</xdr:colOff>
      <xdr:row>1</xdr:row>
      <xdr:rowOff>125730</xdr:rowOff>
    </xdr:from>
    <xdr:to>
      <xdr:col>11</xdr:col>
      <xdr:colOff>464820</xdr:colOff>
      <xdr:row>16</xdr:row>
      <xdr:rowOff>125730</xdr:rowOff>
    </xdr:to>
    <xdr:graphicFrame macro="">
      <xdr:nvGraphicFramePr>
        <xdr:cNvPr id="2" name="Chart 1">
          <a:extLst>
            <a:ext uri="{FF2B5EF4-FFF2-40B4-BE49-F238E27FC236}">
              <a16:creationId xmlns:a16="http://schemas.microsoft.com/office/drawing/2014/main" id="{D9D390FA-A11E-85A3-F5C7-1F42C486D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251460</xdr:colOff>
      <xdr:row>19</xdr:row>
      <xdr:rowOff>19050</xdr:rowOff>
    </xdr:from>
    <xdr:to>
      <xdr:col>13</xdr:col>
      <xdr:colOff>556260</xdr:colOff>
      <xdr:row>34</xdr:row>
      <xdr:rowOff>19050</xdr:rowOff>
    </xdr:to>
    <xdr:graphicFrame macro="">
      <xdr:nvGraphicFramePr>
        <xdr:cNvPr id="3" name="Chart 2">
          <a:extLst>
            <a:ext uri="{FF2B5EF4-FFF2-40B4-BE49-F238E27FC236}">
              <a16:creationId xmlns:a16="http://schemas.microsoft.com/office/drawing/2014/main" id="{C51CBC2E-247C-641E-46FB-132D54A3C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472440</xdr:colOff>
      <xdr:row>19</xdr:row>
      <xdr:rowOff>68580</xdr:rowOff>
    </xdr:from>
    <xdr:to>
      <xdr:col>17</xdr:col>
      <xdr:colOff>472440</xdr:colOff>
      <xdr:row>33</xdr:row>
      <xdr:rowOff>89535</xdr:rowOff>
    </xdr:to>
    <mc:AlternateContent xmlns:mc="http://schemas.openxmlformats.org/markup-compatibility/2006">
      <mc:Choice xmlns:a14="http://schemas.microsoft.com/office/drawing/2010/main" Requires="a14">
        <xdr:graphicFrame macro="">
          <xdr:nvGraphicFramePr>
            <xdr:cNvPr id="4" name="Age_Months">
              <a:extLst>
                <a:ext uri="{FF2B5EF4-FFF2-40B4-BE49-F238E27FC236}">
                  <a16:creationId xmlns:a16="http://schemas.microsoft.com/office/drawing/2014/main" id="{E1CD1823-3C78-D214-1D5D-92D3D4E83DB2}"/>
                </a:ext>
              </a:extLst>
            </xdr:cNvPr>
            <xdr:cNvGraphicFramePr/>
          </xdr:nvGraphicFramePr>
          <xdr:xfrm>
            <a:off x="0" y="0"/>
            <a:ext cx="0" cy="0"/>
          </xdr:xfrm>
          <a:graphic>
            <a:graphicData uri="http://schemas.microsoft.com/office/drawing/2010/slicer">
              <sle:slicer xmlns:sle="http://schemas.microsoft.com/office/drawing/2010/slicer" name="Age_Months"/>
            </a:graphicData>
          </a:graphic>
        </xdr:graphicFrame>
      </mc:Choice>
      <mc:Fallback>
        <xdr:sp macro="" textlink="">
          <xdr:nvSpPr>
            <xdr:cNvPr id="0" name=""/>
            <xdr:cNvSpPr>
              <a:spLocks noTextEdit="1"/>
            </xdr:cNvSpPr>
          </xdr:nvSpPr>
          <xdr:spPr>
            <a:xfrm>
              <a:off x="10683240" y="3543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163830</xdr:rowOff>
    </xdr:from>
    <xdr:to>
      <xdr:col>2</xdr:col>
      <xdr:colOff>1615440</xdr:colOff>
      <xdr:row>20</xdr:row>
      <xdr:rowOff>167640</xdr:rowOff>
    </xdr:to>
    <xdr:graphicFrame macro="">
      <xdr:nvGraphicFramePr>
        <xdr:cNvPr id="2" name="Chart 1">
          <a:extLst>
            <a:ext uri="{FF2B5EF4-FFF2-40B4-BE49-F238E27FC236}">
              <a16:creationId xmlns:a16="http://schemas.microsoft.com/office/drawing/2014/main" id="{4B78ECEE-0441-DE95-F6D2-B30E8F130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358140</xdr:colOff>
      <xdr:row>9</xdr:row>
      <xdr:rowOff>87630</xdr:rowOff>
    </xdr:from>
    <xdr:to>
      <xdr:col>8</xdr:col>
      <xdr:colOff>99060</xdr:colOff>
      <xdr:row>24</xdr:row>
      <xdr:rowOff>87630</xdr:rowOff>
    </xdr:to>
    <xdr:graphicFrame macro="">
      <xdr:nvGraphicFramePr>
        <xdr:cNvPr id="3" name="Chart 2">
          <a:extLst>
            <a:ext uri="{FF2B5EF4-FFF2-40B4-BE49-F238E27FC236}">
              <a16:creationId xmlns:a16="http://schemas.microsoft.com/office/drawing/2014/main" id="{59063A30-2997-62D9-BDA6-6B02B0D42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320040</xdr:colOff>
      <xdr:row>1</xdr:row>
      <xdr:rowOff>152400</xdr:rowOff>
    </xdr:from>
    <xdr:to>
      <xdr:col>11</xdr:col>
      <xdr:colOff>320040</xdr:colOff>
      <xdr:row>15</xdr:row>
      <xdr:rowOff>173355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F581D1E-76C3-EA7E-08EB-F0F8BBEA78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1200" y="335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53340</xdr:colOff>
      <xdr:row>2</xdr:row>
      <xdr:rowOff>30480</xdr:rowOff>
    </xdr:from>
    <xdr:to>
      <xdr:col>20</xdr:col>
      <xdr:colOff>266700</xdr:colOff>
      <xdr:row>32</xdr:row>
      <xdr:rowOff>38100</xdr:rowOff>
    </xdr:to>
    <xdr:sp macro="" textlink="">
      <xdr:nvSpPr>
        <xdr:cNvPr id="2" name="Rectangle: Rounded Corners 1">
          <a:extLst>
            <a:ext uri="{FF2B5EF4-FFF2-40B4-BE49-F238E27FC236}">
              <a16:creationId xmlns:a16="http://schemas.microsoft.com/office/drawing/2014/main" id="{1F2525DD-73DA-6FED-049B-E166D5B8C24E}"/>
            </a:ext>
          </a:extLst>
        </xdr:cNvPr>
        <xdr:cNvSpPr/>
      </xdr:nvSpPr>
      <xdr:spPr>
        <a:xfrm>
          <a:off x="662940" y="396240"/>
          <a:ext cx="11795760" cy="5494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 </a:t>
          </a:r>
          <a:r>
            <a:rPr lang="en-IN" sz="2400">
              <a:solidFill>
                <a:srgbClr val="FFFF00"/>
              </a:solidFill>
            </a:rPr>
            <a:t>The Healthy Kids</a:t>
          </a:r>
          <a:r>
            <a:rPr lang="en-IN" sz="2400" baseline="0">
              <a:solidFill>
                <a:srgbClr val="FFFF00"/>
              </a:solidFill>
            </a:rPr>
            <a:t> </a:t>
          </a:r>
          <a:r>
            <a:rPr lang="en-IN" sz="2400">
              <a:solidFill>
                <a:srgbClr val="FFFF00"/>
              </a:solidFill>
            </a:rPr>
            <a:t>Nutrition &amp; Growth Analysis </a:t>
          </a:r>
        </a:p>
      </xdr:txBody>
    </xdr:sp>
    <xdr:clientData/>
  </xdr:twoCellAnchor>
  <xdr:twoCellAnchor editAs="oneCell">
    <xdr:from>
      <xdr:col>1</xdr:col>
      <xdr:colOff>365760</xdr:colOff>
      <xdr:row>6</xdr:row>
      <xdr:rowOff>15240</xdr:rowOff>
    </xdr:from>
    <xdr:to>
      <xdr:col>7</xdr:col>
      <xdr:colOff>281940</xdr:colOff>
      <xdr:row>30</xdr:row>
      <xdr:rowOff>129540</xdr:rowOff>
    </xdr:to>
    <xdr:pic>
      <xdr:nvPicPr>
        <xdr:cNvPr id="3" name="Picture 2">
          <a:extLst>
            <a:ext uri="{FF2B5EF4-FFF2-40B4-BE49-F238E27FC236}">
              <a16:creationId xmlns:a16="http://schemas.microsoft.com/office/drawing/2014/main" id="{07A25306-B7E8-7EE1-3B5C-2CAA6E912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5360" y="1112520"/>
          <a:ext cx="3573780" cy="450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434340</xdr:colOff>
      <xdr:row>6</xdr:row>
      <xdr:rowOff>15240</xdr:rowOff>
    </xdr:from>
    <xdr:to>
      <xdr:col>15</xdr:col>
      <xdr:colOff>365760</xdr:colOff>
      <xdr:row>20</xdr:row>
      <xdr:rowOff>7620</xdr:rowOff>
    </xdr:to>
    <xdr:graphicFrame macro="">
      <xdr:nvGraphicFramePr>
        <xdr:cNvPr id="4" name="Chart 3">
          <a:extLst>
            <a:ext uri="{FF2B5EF4-FFF2-40B4-BE49-F238E27FC236}">
              <a16:creationId xmlns:a16="http://schemas.microsoft.com/office/drawing/2014/main" id="{B474BB15-81C7-484A-9418-68C4DF224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434340</xdr:colOff>
      <xdr:row>20</xdr:row>
      <xdr:rowOff>45720</xdr:rowOff>
    </xdr:from>
    <xdr:to>
      <xdr:col>15</xdr:col>
      <xdr:colOff>388620</xdr:colOff>
      <xdr:row>31</xdr:row>
      <xdr:rowOff>99060</xdr:rowOff>
    </xdr:to>
    <xdr:graphicFrame macro="">
      <xdr:nvGraphicFramePr>
        <xdr:cNvPr id="5" name="Chart 4">
          <a:extLst>
            <a:ext uri="{FF2B5EF4-FFF2-40B4-BE49-F238E27FC236}">
              <a16:creationId xmlns:a16="http://schemas.microsoft.com/office/drawing/2014/main" id="{CE70B547-A1AC-46A2-B436-61A7E1B2A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586740</xdr:colOff>
      <xdr:row>6</xdr:row>
      <xdr:rowOff>15240</xdr:rowOff>
    </xdr:from>
    <xdr:to>
      <xdr:col>18</xdr:col>
      <xdr:colOff>403860</xdr:colOff>
      <xdr:row>18</xdr:row>
      <xdr:rowOff>152400</xdr:rowOff>
    </xdr:to>
    <mc:AlternateContent xmlns:mc="http://schemas.openxmlformats.org/markup-compatibility/2006" xmlns:a14="http://schemas.microsoft.com/office/drawing/2010/main">
      <mc:Choice Requires="a14">
        <xdr:graphicFrame macro="">
          <xdr:nvGraphicFramePr>
            <xdr:cNvPr id="6" name="Age_Months 2">
              <a:extLst>
                <a:ext uri="{FF2B5EF4-FFF2-40B4-BE49-F238E27FC236}">
                  <a16:creationId xmlns:a16="http://schemas.microsoft.com/office/drawing/2014/main" id="{63C608DF-0722-4D2A-BB27-74832732ACF9}"/>
                </a:ext>
              </a:extLst>
            </xdr:cNvPr>
            <xdr:cNvGraphicFramePr/>
          </xdr:nvGraphicFramePr>
          <xdr:xfrm>
            <a:off x="0" y="0"/>
            <a:ext cx="0" cy="0"/>
          </xdr:xfrm>
          <a:graphic>
            <a:graphicData uri="http://schemas.microsoft.com/office/drawing/2010/slicer">
              <sle:slicer xmlns:sle="http://schemas.microsoft.com/office/drawing/2010/slicer" name="Age_Months 2"/>
            </a:graphicData>
          </a:graphic>
        </xdr:graphicFrame>
      </mc:Choice>
      <mc:Fallback xmlns="">
        <xdr:sp macro="" textlink="">
          <xdr:nvSpPr>
            <xdr:cNvPr id="0" name=""/>
            <xdr:cNvSpPr>
              <a:spLocks noTextEdit="1"/>
            </xdr:cNvSpPr>
          </xdr:nvSpPr>
          <xdr:spPr>
            <a:xfrm>
              <a:off x="9730740" y="1112520"/>
              <a:ext cx="164592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19</xdr:row>
      <xdr:rowOff>53340</xdr:rowOff>
    </xdr:from>
    <xdr:to>
      <xdr:col>18</xdr:col>
      <xdr:colOff>365760</xdr:colOff>
      <xdr:row>32</xdr:row>
      <xdr:rowOff>7620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88673868-12DD-4305-839A-6873D3091B5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700260" y="3528060"/>
              <a:ext cx="16383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Belide" refreshedDate="46099.564469791665" createdVersion="8" refreshedVersion="8" minRefreshableVersion="3" recordCount="100" xr:uid="{8CD3ADCD-BCA6-4495-9920-447197C2F43C}">
  <cacheSource type="worksheet">
    <worksheetSource ref="A1:L101" sheet="Child_Health_Data"/>
  </cacheSource>
  <cacheFields count="12">
    <cacheField name="ChildID" numFmtId="0">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Age_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cacheField>
    <cacheField name="Gender" numFmtId="0">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acheField>
    <cacheField name="ScreenTime_Hours" numFmtId="0">
      <sharedItems containsSemiMixedTypes="0" containsString="0" containsNumber="1" minValue="0.5" maxValue="3.8"/>
    </cacheField>
    <cacheField name="Region" numFmtId="0">
      <sharedItems count="5">
        <s v="South"/>
        <s v="Central"/>
        <s v="East"/>
        <s v="North"/>
        <s v="West"/>
      </sharedItems>
    </cacheField>
    <cacheField name="BMI " numFmtId="0">
      <sharedItems containsSemiMixedTypes="0" containsString="0" containsNumber="1" minValue="11.23198275256877" maxValue="21.36231277340449" count="100">
        <n v="15.90614369846883"/>
        <n v="16.512431120446177"/>
        <n v="19.185127564907393"/>
        <n v="19.75238446372795"/>
        <n v="14.992349216790304"/>
        <n v="18.189813900132215"/>
        <n v="17.67025840775398"/>
        <n v="18.553628408784363"/>
        <n v="19.589420799631078"/>
        <n v="14.337779767724934"/>
        <n v="14.572440546466519"/>
        <n v="17.950419185130364"/>
        <n v="16.401367255945466"/>
        <n v="17.108724180222072"/>
        <n v="17.652433135313405"/>
        <n v="17.059205462973896"/>
        <n v="19.92193117497148"/>
        <n v="15.801108000799067"/>
        <n v="17.264563375422682"/>
        <n v="16.056524938447225"/>
        <n v="16.423256883921791"/>
        <n v="17.610292772445963"/>
        <n v="18.053148301698982"/>
        <n v="13.082090287312587"/>
        <n v="16.548488389191526"/>
        <n v="16.821669829165565"/>
        <n v="18.912896252767929"/>
        <n v="11.23198275256877"/>
        <n v="15.637452318001349"/>
        <n v="19.466193791459283"/>
        <n v="18.203288786295403"/>
        <n v="13.618099737124188"/>
        <n v="17.26538862847617"/>
        <n v="15.304371025015923"/>
        <n v="16.411348608910586"/>
        <n v="18.706628300517327"/>
        <n v="12.742738810730817"/>
        <n v="19.026574134418222"/>
        <n v="15.839176320537135"/>
        <n v="17.927675301525785"/>
        <n v="16.069720480391116"/>
        <n v="19.727374806364303"/>
        <n v="16.889044889405064"/>
        <n v="16.309099267089127"/>
        <n v="15.058048908803379"/>
        <n v="17.740865378038603"/>
        <n v="17.89420860909388"/>
        <n v="16.27511447065158"/>
        <n v="13.708060833090812"/>
        <n v="14.190800401461026"/>
        <n v="15.864875656303504"/>
        <n v="17.104134635526798"/>
        <n v="19.570875087215928"/>
        <n v="17.983410512341237"/>
        <n v="13.744544356487417"/>
        <n v="18.166443980296357"/>
        <n v="16.765898919707524"/>
        <n v="17.912132789452027"/>
        <n v="20.023541521230683"/>
        <n v="19.067215363511657"/>
        <n v="18.462404679483562"/>
        <n v="20.630676133633052"/>
        <n v="18.26218788176115"/>
        <n v="15.930649869244029"/>
        <n v="18.041335784504604"/>
        <n v="19.775366471749727"/>
        <n v="17.188983711262917"/>
        <n v="14.092887263873765"/>
        <n v="20.483024296966988"/>
        <n v="12.656431304061822"/>
        <n v="16.692896572247317"/>
        <n v="18.903242860743426"/>
        <n v="20.656995702972939"/>
        <n v="19.59905418252098"/>
        <n v="18.130769749107163"/>
        <n v="15.500923261601326"/>
        <n v="15.886491841187462"/>
        <n v="16.920666215969256"/>
        <n v="21.36231277340449"/>
        <n v="17.699292730459444"/>
        <n v="14.273984861929826"/>
        <n v="17.876437608609475"/>
        <n v="14.159684100694896"/>
        <n v="13.817573013462967"/>
        <n v="15.645800657682841"/>
        <n v="16.43701290971967"/>
        <n v="21.147731176326783"/>
        <n v="14.983791760933824"/>
        <n v="15.877277353299789"/>
        <n v="18.29740792193558"/>
        <n v="16.445281479979926"/>
        <n v="19.611831543124822"/>
        <n v="18.033368785198682"/>
        <n v="16.500272071630885"/>
        <n v="16.47325214515973"/>
        <n v="18.541643890060385"/>
        <n v="16.446228448404973"/>
        <n v="17.054436677671966"/>
        <n v="15.264198789050129"/>
        <n v="18.664925428298883"/>
      </sharedItems>
    </cacheField>
    <cacheField name="Health_Status" numFmtId="0">
      <sharedItems count="2">
        <s v="Underweight"/>
        <s v="Healthy Weight"/>
      </sharedItems>
    </cacheField>
  </cacheFields>
  <extLst>
    <ext xmlns:x14="http://schemas.microsoft.com/office/spreadsheetml/2009/9/main" uri="{725AE2AE-9491-48be-B2B4-4EB974FC3084}">
      <x14:pivotCacheDefinition pivotCacheId="1759093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Female"/>
    <n v="104.41"/>
    <n v="17.34"/>
    <x v="0"/>
    <x v="0"/>
    <n v="3"/>
    <n v="1.2"/>
    <x v="0"/>
    <x v="0"/>
    <x v="0"/>
  </r>
  <r>
    <x v="1"/>
    <x v="1"/>
    <s v="Female"/>
    <n v="99.08"/>
    <n v="16.21"/>
    <x v="1"/>
    <x v="1"/>
    <n v="1"/>
    <n v="1.4"/>
    <x v="1"/>
    <x v="1"/>
    <x v="0"/>
  </r>
  <r>
    <x v="2"/>
    <x v="2"/>
    <s v="Female"/>
    <n v="94.96"/>
    <n v="17.3"/>
    <x v="2"/>
    <x v="2"/>
    <n v="2"/>
    <n v="0.6"/>
    <x v="1"/>
    <x v="2"/>
    <x v="1"/>
  </r>
  <r>
    <x v="3"/>
    <x v="3"/>
    <s v="Female"/>
    <n v="100.65"/>
    <n v="20.010000000000002"/>
    <x v="3"/>
    <x v="3"/>
    <n v="1"/>
    <n v="1.5"/>
    <x v="1"/>
    <x v="3"/>
    <x v="1"/>
  </r>
  <r>
    <x v="4"/>
    <x v="4"/>
    <s v="Female"/>
    <n v="90.06"/>
    <n v="12.16"/>
    <x v="1"/>
    <x v="1"/>
    <n v="0"/>
    <n v="0.9"/>
    <x v="0"/>
    <x v="4"/>
    <x v="0"/>
  </r>
  <r>
    <x v="5"/>
    <x v="5"/>
    <s v="Male"/>
    <n v="108.82"/>
    <n v="21.54"/>
    <x v="1"/>
    <x v="1"/>
    <n v="1"/>
    <n v="0.9"/>
    <x v="2"/>
    <x v="5"/>
    <x v="0"/>
  </r>
  <r>
    <x v="6"/>
    <x v="6"/>
    <s v="Male"/>
    <n v="110.28"/>
    <n v="21.49"/>
    <x v="4"/>
    <x v="3"/>
    <n v="2"/>
    <n v="2.8"/>
    <x v="0"/>
    <x v="6"/>
    <x v="0"/>
  </r>
  <r>
    <x v="7"/>
    <x v="6"/>
    <s v="Female"/>
    <n v="102.65"/>
    <n v="19.55"/>
    <x v="3"/>
    <x v="0"/>
    <n v="1"/>
    <n v="1.3"/>
    <x v="1"/>
    <x v="7"/>
    <x v="1"/>
  </r>
  <r>
    <x v="8"/>
    <x v="7"/>
    <s v="Male"/>
    <n v="91.47"/>
    <n v="16.39"/>
    <x v="2"/>
    <x v="0"/>
    <n v="3"/>
    <n v="0.8"/>
    <x v="3"/>
    <x v="8"/>
    <x v="1"/>
  </r>
  <r>
    <x v="9"/>
    <x v="8"/>
    <s v="Female"/>
    <n v="111.89"/>
    <n v="17.95"/>
    <x v="0"/>
    <x v="2"/>
    <n v="0"/>
    <n v="0.8"/>
    <x v="1"/>
    <x v="9"/>
    <x v="0"/>
  </r>
  <r>
    <x v="10"/>
    <x v="9"/>
    <s v="Male"/>
    <n v="96.25"/>
    <n v="13.5"/>
    <x v="2"/>
    <x v="4"/>
    <n v="0"/>
    <n v="0.6"/>
    <x v="4"/>
    <x v="10"/>
    <x v="0"/>
  </r>
  <r>
    <x v="11"/>
    <x v="10"/>
    <s v="Female"/>
    <n v="96.02"/>
    <n v="16.55"/>
    <x v="3"/>
    <x v="3"/>
    <n v="2"/>
    <n v="1"/>
    <x v="3"/>
    <x v="11"/>
    <x v="0"/>
  </r>
  <r>
    <x v="12"/>
    <x v="1"/>
    <s v="Male"/>
    <n v="97.37"/>
    <n v="15.55"/>
    <x v="1"/>
    <x v="1"/>
    <n v="2"/>
    <n v="1.3"/>
    <x v="2"/>
    <x v="12"/>
    <x v="0"/>
  </r>
  <r>
    <x v="13"/>
    <x v="11"/>
    <s v="Male"/>
    <n v="108.39"/>
    <n v="20.100000000000001"/>
    <x v="1"/>
    <x v="0"/>
    <n v="3"/>
    <n v="0.6"/>
    <x v="2"/>
    <x v="13"/>
    <x v="0"/>
  </r>
  <r>
    <x v="14"/>
    <x v="9"/>
    <s v="Male"/>
    <n v="92.58"/>
    <n v="15.13"/>
    <x v="3"/>
    <x v="0"/>
    <n v="2"/>
    <n v="1.6"/>
    <x v="1"/>
    <x v="14"/>
    <x v="0"/>
  </r>
  <r>
    <x v="15"/>
    <x v="12"/>
    <s v="Male"/>
    <n v="99.65"/>
    <n v="16.940000000000001"/>
    <x v="0"/>
    <x v="2"/>
    <n v="3"/>
    <n v="2.1"/>
    <x v="1"/>
    <x v="15"/>
    <x v="0"/>
  </r>
  <r>
    <x v="16"/>
    <x v="12"/>
    <s v="Female"/>
    <n v="98.91"/>
    <n v="19.489999999999998"/>
    <x v="1"/>
    <x v="3"/>
    <n v="3"/>
    <n v="3.1"/>
    <x v="1"/>
    <x v="16"/>
    <x v="1"/>
  </r>
  <r>
    <x v="17"/>
    <x v="9"/>
    <s v="Female"/>
    <n v="96.42"/>
    <n v="14.69"/>
    <x v="0"/>
    <x v="2"/>
    <n v="2"/>
    <n v="1.2"/>
    <x v="3"/>
    <x v="17"/>
    <x v="0"/>
  </r>
  <r>
    <x v="18"/>
    <x v="13"/>
    <s v="Female"/>
    <n v="109.26"/>
    <n v="20.61"/>
    <x v="2"/>
    <x v="0"/>
    <n v="1"/>
    <n v="2"/>
    <x v="2"/>
    <x v="18"/>
    <x v="0"/>
  </r>
  <r>
    <x v="19"/>
    <x v="1"/>
    <s v="Male"/>
    <n v="98.22"/>
    <n v="15.49"/>
    <x v="0"/>
    <x v="0"/>
    <n v="0"/>
    <n v="0.8"/>
    <x v="1"/>
    <x v="19"/>
    <x v="0"/>
  </r>
  <r>
    <x v="20"/>
    <x v="2"/>
    <s v="Female"/>
    <n v="101.02"/>
    <n v="16.760000000000002"/>
    <x v="2"/>
    <x v="0"/>
    <n v="2"/>
    <n v="1.9"/>
    <x v="0"/>
    <x v="20"/>
    <x v="0"/>
  </r>
  <r>
    <x v="21"/>
    <x v="14"/>
    <s v="Male"/>
    <n v="111.44"/>
    <n v="21.87"/>
    <x v="4"/>
    <x v="1"/>
    <n v="2"/>
    <n v="1.9"/>
    <x v="2"/>
    <x v="21"/>
    <x v="0"/>
  </r>
  <r>
    <x v="22"/>
    <x v="15"/>
    <s v="Male"/>
    <n v="103.85"/>
    <n v="19.47"/>
    <x v="3"/>
    <x v="4"/>
    <n v="3"/>
    <n v="2.9"/>
    <x v="2"/>
    <x v="22"/>
    <x v="0"/>
  </r>
  <r>
    <x v="23"/>
    <x v="2"/>
    <s v="Female"/>
    <n v="102.67"/>
    <n v="13.79"/>
    <x v="4"/>
    <x v="1"/>
    <n v="1"/>
    <n v="2"/>
    <x v="1"/>
    <x v="23"/>
    <x v="0"/>
  </r>
  <r>
    <x v="24"/>
    <x v="6"/>
    <s v="Male"/>
    <n v="107.91"/>
    <n v="19.27"/>
    <x v="4"/>
    <x v="3"/>
    <n v="0"/>
    <n v="0.8"/>
    <x v="2"/>
    <x v="24"/>
    <x v="0"/>
  </r>
  <r>
    <x v="25"/>
    <x v="16"/>
    <s v="Female"/>
    <n v="96.67"/>
    <n v="15.72"/>
    <x v="2"/>
    <x v="1"/>
    <n v="2"/>
    <n v="1.2"/>
    <x v="3"/>
    <x v="25"/>
    <x v="0"/>
  </r>
  <r>
    <x v="26"/>
    <x v="2"/>
    <s v="Male"/>
    <n v="101.41"/>
    <n v="19.45"/>
    <x v="1"/>
    <x v="4"/>
    <n v="2"/>
    <n v="1.9"/>
    <x v="0"/>
    <x v="26"/>
    <x v="1"/>
  </r>
  <r>
    <x v="27"/>
    <x v="10"/>
    <s v="Female"/>
    <n v="102.28"/>
    <n v="11.75"/>
    <x v="3"/>
    <x v="1"/>
    <n v="1"/>
    <n v="1.3"/>
    <x v="2"/>
    <x v="27"/>
    <x v="0"/>
  </r>
  <r>
    <x v="28"/>
    <x v="15"/>
    <s v="Male"/>
    <n v="105.06"/>
    <n v="17.260000000000002"/>
    <x v="4"/>
    <x v="1"/>
    <n v="2"/>
    <n v="0.8"/>
    <x v="1"/>
    <x v="28"/>
    <x v="0"/>
  </r>
  <r>
    <x v="29"/>
    <x v="17"/>
    <s v="Male"/>
    <n v="103.22"/>
    <n v="20.74"/>
    <x v="3"/>
    <x v="0"/>
    <n v="3"/>
    <n v="2.1"/>
    <x v="0"/>
    <x v="29"/>
    <x v="1"/>
  </r>
  <r>
    <x v="30"/>
    <x v="15"/>
    <s v="Female"/>
    <n v="105.42"/>
    <n v="20.23"/>
    <x v="4"/>
    <x v="3"/>
    <n v="2"/>
    <n v="2.2999999999999998"/>
    <x v="4"/>
    <x v="30"/>
    <x v="0"/>
  </r>
  <r>
    <x v="31"/>
    <x v="10"/>
    <s v="Male"/>
    <n v="97.29"/>
    <n v="12.89"/>
    <x v="4"/>
    <x v="0"/>
    <n v="2"/>
    <n v="1.3"/>
    <x v="1"/>
    <x v="31"/>
    <x v="0"/>
  </r>
  <r>
    <x v="32"/>
    <x v="15"/>
    <s v="Male"/>
    <n v="106.22"/>
    <n v="19.48"/>
    <x v="4"/>
    <x v="2"/>
    <n v="0"/>
    <n v="0.7"/>
    <x v="0"/>
    <x v="32"/>
    <x v="0"/>
  </r>
  <r>
    <x v="33"/>
    <x v="14"/>
    <s v="Female"/>
    <n v="114.63"/>
    <n v="20.11"/>
    <x v="3"/>
    <x v="1"/>
    <n v="0"/>
    <n v="0.8"/>
    <x v="4"/>
    <x v="33"/>
    <x v="0"/>
  </r>
  <r>
    <x v="34"/>
    <x v="16"/>
    <s v="Female"/>
    <n v="93.15"/>
    <n v="14.24"/>
    <x v="0"/>
    <x v="1"/>
    <n v="2"/>
    <n v="1.3"/>
    <x v="1"/>
    <x v="34"/>
    <x v="0"/>
  </r>
  <r>
    <x v="35"/>
    <x v="8"/>
    <s v="Female"/>
    <n v="102.36"/>
    <n v="19.600000000000001"/>
    <x v="0"/>
    <x v="0"/>
    <n v="0"/>
    <n v="0.9"/>
    <x v="4"/>
    <x v="35"/>
    <x v="1"/>
  </r>
  <r>
    <x v="36"/>
    <x v="17"/>
    <s v="Female"/>
    <n v="105.34"/>
    <n v="14.14"/>
    <x v="4"/>
    <x v="2"/>
    <n v="0"/>
    <n v="0.8"/>
    <x v="2"/>
    <x v="36"/>
    <x v="0"/>
  </r>
  <r>
    <x v="37"/>
    <x v="18"/>
    <s v="Female"/>
    <n v="96.26"/>
    <n v="17.63"/>
    <x v="2"/>
    <x v="2"/>
    <n v="2"/>
    <n v="1.7"/>
    <x v="2"/>
    <x v="37"/>
    <x v="1"/>
  </r>
  <r>
    <x v="38"/>
    <x v="7"/>
    <s v="Male"/>
    <n v="97.25"/>
    <n v="14.98"/>
    <x v="2"/>
    <x v="4"/>
    <n v="3"/>
    <n v="3.2"/>
    <x v="1"/>
    <x v="38"/>
    <x v="0"/>
  </r>
  <r>
    <x v="39"/>
    <x v="19"/>
    <s v="Male"/>
    <n v="108.23"/>
    <n v="21"/>
    <x v="2"/>
    <x v="4"/>
    <n v="0"/>
    <n v="0.6"/>
    <x v="1"/>
    <x v="39"/>
    <x v="0"/>
  </r>
  <r>
    <x v="40"/>
    <x v="20"/>
    <s v="Male"/>
    <n v="97"/>
    <n v="15.12"/>
    <x v="4"/>
    <x v="3"/>
    <n v="1"/>
    <n v="1.7"/>
    <x v="3"/>
    <x v="40"/>
    <x v="0"/>
  </r>
  <r>
    <x v="41"/>
    <x v="21"/>
    <s v="Male"/>
    <n v="107.27"/>
    <n v="22.7"/>
    <x v="4"/>
    <x v="3"/>
    <n v="0"/>
    <n v="0.8"/>
    <x v="0"/>
    <x v="41"/>
    <x v="1"/>
  </r>
  <r>
    <x v="42"/>
    <x v="22"/>
    <s v="Male"/>
    <n v="112.46"/>
    <n v="21.36"/>
    <x v="3"/>
    <x v="3"/>
    <n v="1"/>
    <n v="1"/>
    <x v="1"/>
    <x v="42"/>
    <x v="0"/>
  </r>
  <r>
    <x v="43"/>
    <x v="23"/>
    <s v="Male"/>
    <n v="103.32"/>
    <n v="17.41"/>
    <x v="0"/>
    <x v="3"/>
    <n v="2"/>
    <n v="2"/>
    <x v="2"/>
    <x v="43"/>
    <x v="0"/>
  </r>
  <r>
    <x v="44"/>
    <x v="6"/>
    <s v="Female"/>
    <n v="107.31"/>
    <n v="17.34"/>
    <x v="0"/>
    <x v="2"/>
    <n v="0"/>
    <n v="0.5"/>
    <x v="3"/>
    <x v="44"/>
    <x v="0"/>
  </r>
  <r>
    <x v="45"/>
    <x v="1"/>
    <s v="Male"/>
    <n v="99.12"/>
    <n v="17.43"/>
    <x v="2"/>
    <x v="4"/>
    <n v="3"/>
    <n v="1.6"/>
    <x v="0"/>
    <x v="45"/>
    <x v="0"/>
  </r>
  <r>
    <x v="46"/>
    <x v="20"/>
    <s v="Male"/>
    <n v="93.16"/>
    <n v="15.53"/>
    <x v="3"/>
    <x v="0"/>
    <n v="0"/>
    <n v="0.8"/>
    <x v="1"/>
    <x v="46"/>
    <x v="0"/>
  </r>
  <r>
    <x v="47"/>
    <x v="24"/>
    <s v="Male"/>
    <n v="111.49"/>
    <n v="20.23"/>
    <x v="0"/>
    <x v="3"/>
    <n v="1"/>
    <n v="1.6"/>
    <x v="3"/>
    <x v="47"/>
    <x v="0"/>
  </r>
  <r>
    <x v="48"/>
    <x v="25"/>
    <s v="Female"/>
    <n v="108.71"/>
    <n v="16.2"/>
    <x v="3"/>
    <x v="1"/>
    <n v="3"/>
    <n v="1.1000000000000001"/>
    <x v="3"/>
    <x v="48"/>
    <x v="0"/>
  </r>
  <r>
    <x v="49"/>
    <x v="26"/>
    <s v="Female"/>
    <n v="97.21"/>
    <n v="13.41"/>
    <x v="4"/>
    <x v="2"/>
    <n v="1"/>
    <n v="0.9"/>
    <x v="1"/>
    <x v="49"/>
    <x v="0"/>
  </r>
  <r>
    <x v="50"/>
    <x v="1"/>
    <s v="Female"/>
    <n v="98.46"/>
    <n v="15.38"/>
    <x v="2"/>
    <x v="0"/>
    <n v="2"/>
    <n v="1.2"/>
    <x v="0"/>
    <x v="50"/>
    <x v="0"/>
  </r>
  <r>
    <x v="51"/>
    <x v="23"/>
    <s v="Female"/>
    <n v="100.6"/>
    <n v="17.309999999999999"/>
    <x v="1"/>
    <x v="2"/>
    <n v="0"/>
    <n v="0.6"/>
    <x v="4"/>
    <x v="51"/>
    <x v="0"/>
  </r>
  <r>
    <x v="52"/>
    <x v="3"/>
    <s v="Female"/>
    <n v="96.54"/>
    <n v="18.239999999999998"/>
    <x v="4"/>
    <x v="2"/>
    <n v="1"/>
    <n v="1.9"/>
    <x v="4"/>
    <x v="52"/>
    <x v="1"/>
  </r>
  <r>
    <x v="53"/>
    <x v="13"/>
    <s v="Male"/>
    <n v="110.58"/>
    <n v="21.99"/>
    <x v="2"/>
    <x v="3"/>
    <n v="0"/>
    <n v="0.9"/>
    <x v="0"/>
    <x v="53"/>
    <x v="0"/>
  </r>
  <r>
    <x v="54"/>
    <x v="27"/>
    <s v="Female"/>
    <n v="114.47"/>
    <n v="18.010000000000002"/>
    <x v="0"/>
    <x v="2"/>
    <n v="0"/>
    <n v="0.6"/>
    <x v="3"/>
    <x v="54"/>
    <x v="0"/>
  </r>
  <r>
    <x v="55"/>
    <x v="18"/>
    <s v="Female"/>
    <n v="96.28"/>
    <n v="16.84"/>
    <x v="4"/>
    <x v="0"/>
    <n v="3"/>
    <n v="0.5"/>
    <x v="2"/>
    <x v="55"/>
    <x v="0"/>
  </r>
  <r>
    <x v="56"/>
    <x v="8"/>
    <s v="Female"/>
    <n v="104.76"/>
    <n v="18.399999999999999"/>
    <x v="4"/>
    <x v="0"/>
    <n v="1"/>
    <n v="0.7"/>
    <x v="0"/>
    <x v="56"/>
    <x v="0"/>
  </r>
  <r>
    <x v="57"/>
    <x v="25"/>
    <s v="Male"/>
    <n v="105.35"/>
    <n v="19.88"/>
    <x v="0"/>
    <x v="0"/>
    <n v="2"/>
    <n v="2.8"/>
    <x v="2"/>
    <x v="57"/>
    <x v="0"/>
  </r>
  <r>
    <x v="58"/>
    <x v="28"/>
    <s v="Male"/>
    <n v="110.75"/>
    <n v="24.56"/>
    <x v="4"/>
    <x v="4"/>
    <n v="1"/>
    <n v="1.7"/>
    <x v="0"/>
    <x v="58"/>
    <x v="1"/>
  </r>
  <r>
    <x v="59"/>
    <x v="14"/>
    <s v="Male"/>
    <n v="108"/>
    <n v="22.24"/>
    <x v="3"/>
    <x v="4"/>
    <n v="2"/>
    <n v="1.1000000000000001"/>
    <x v="1"/>
    <x v="59"/>
    <x v="1"/>
  </r>
  <r>
    <x v="60"/>
    <x v="10"/>
    <s v="Female"/>
    <n v="98.63"/>
    <n v="17.96"/>
    <x v="1"/>
    <x v="3"/>
    <n v="2"/>
    <n v="2.6"/>
    <x v="3"/>
    <x v="60"/>
    <x v="0"/>
  </r>
  <r>
    <x v="61"/>
    <x v="0"/>
    <s v="Female"/>
    <n v="103.57"/>
    <n v="22.13"/>
    <x v="2"/>
    <x v="0"/>
    <n v="0"/>
    <n v="0.6"/>
    <x v="0"/>
    <x v="61"/>
    <x v="1"/>
  </r>
  <r>
    <x v="62"/>
    <x v="7"/>
    <s v="Male"/>
    <n v="92.72"/>
    <n v="15.7"/>
    <x v="4"/>
    <x v="3"/>
    <n v="1"/>
    <n v="0.5"/>
    <x v="3"/>
    <x v="62"/>
    <x v="0"/>
  </r>
  <r>
    <x v="63"/>
    <x v="14"/>
    <s v="Male"/>
    <n v="113.3"/>
    <n v="20.45"/>
    <x v="3"/>
    <x v="0"/>
    <n v="2"/>
    <n v="0.5"/>
    <x v="4"/>
    <x v="63"/>
    <x v="0"/>
  </r>
  <r>
    <x v="64"/>
    <x v="12"/>
    <s v="Male"/>
    <n v="104.84"/>
    <n v="19.829999999999998"/>
    <x v="4"/>
    <x v="3"/>
    <n v="0"/>
    <n v="0.8"/>
    <x v="3"/>
    <x v="64"/>
    <x v="0"/>
  </r>
  <r>
    <x v="65"/>
    <x v="27"/>
    <s v="Female"/>
    <n v="104.56"/>
    <n v="21.62"/>
    <x v="4"/>
    <x v="1"/>
    <n v="1"/>
    <n v="2"/>
    <x v="0"/>
    <x v="65"/>
    <x v="1"/>
  </r>
  <r>
    <x v="66"/>
    <x v="20"/>
    <s v="Male"/>
    <n v="97.32"/>
    <n v="16.28"/>
    <x v="3"/>
    <x v="4"/>
    <n v="0"/>
    <n v="0.8"/>
    <x v="0"/>
    <x v="66"/>
    <x v="0"/>
  </r>
  <r>
    <x v="67"/>
    <x v="10"/>
    <s v="Female"/>
    <n v="103.58"/>
    <n v="15.12"/>
    <x v="4"/>
    <x v="3"/>
    <n v="2"/>
    <n v="1.8"/>
    <x v="2"/>
    <x v="67"/>
    <x v="0"/>
  </r>
  <r>
    <x v="68"/>
    <x v="29"/>
    <s v="Male"/>
    <n v="105.92"/>
    <n v="22.98"/>
    <x v="3"/>
    <x v="3"/>
    <n v="0"/>
    <n v="0.8"/>
    <x v="4"/>
    <x v="68"/>
    <x v="1"/>
  </r>
  <r>
    <x v="69"/>
    <x v="30"/>
    <s v="Male"/>
    <n v="104.76"/>
    <n v="13.89"/>
    <x v="2"/>
    <x v="4"/>
    <n v="0"/>
    <n v="0.5"/>
    <x v="2"/>
    <x v="69"/>
    <x v="0"/>
  </r>
  <r>
    <x v="70"/>
    <x v="11"/>
    <s v="Male"/>
    <n v="108.22"/>
    <n v="19.55"/>
    <x v="0"/>
    <x v="1"/>
    <n v="2"/>
    <n v="1.6"/>
    <x v="2"/>
    <x v="70"/>
    <x v="0"/>
  </r>
  <r>
    <x v="71"/>
    <x v="10"/>
    <s v="Female"/>
    <n v="97.69"/>
    <n v="18.04"/>
    <x v="2"/>
    <x v="0"/>
    <n v="2"/>
    <n v="2.2000000000000002"/>
    <x v="0"/>
    <x v="71"/>
    <x v="1"/>
  </r>
  <r>
    <x v="72"/>
    <x v="6"/>
    <s v="Female"/>
    <n v="104.99"/>
    <n v="22.77"/>
    <x v="2"/>
    <x v="0"/>
    <n v="1"/>
    <n v="1.1000000000000001"/>
    <x v="1"/>
    <x v="72"/>
    <x v="1"/>
  </r>
  <r>
    <x v="73"/>
    <x v="9"/>
    <s v="Male"/>
    <n v="88.93"/>
    <n v="15.5"/>
    <x v="2"/>
    <x v="3"/>
    <n v="3"/>
    <n v="3.8"/>
    <x v="1"/>
    <x v="73"/>
    <x v="1"/>
  </r>
  <r>
    <x v="74"/>
    <x v="31"/>
    <s v="Female"/>
    <n v="105.5"/>
    <n v="20.18"/>
    <x v="0"/>
    <x v="4"/>
    <n v="3"/>
    <n v="1.9"/>
    <x v="3"/>
    <x v="74"/>
    <x v="0"/>
  </r>
  <r>
    <x v="75"/>
    <x v="12"/>
    <s v="Male"/>
    <n v="101.47"/>
    <n v="15.96"/>
    <x v="0"/>
    <x v="1"/>
    <n v="0"/>
    <n v="0.8"/>
    <x v="0"/>
    <x v="75"/>
    <x v="0"/>
  </r>
  <r>
    <x v="76"/>
    <x v="15"/>
    <s v="Male"/>
    <n v="103.84"/>
    <n v="17.13"/>
    <x v="1"/>
    <x v="4"/>
    <n v="1"/>
    <n v="0.7"/>
    <x v="2"/>
    <x v="76"/>
    <x v="0"/>
  </r>
  <r>
    <x v="77"/>
    <x v="21"/>
    <s v="Male"/>
    <n v="103.74"/>
    <n v="18.21"/>
    <x v="0"/>
    <x v="2"/>
    <n v="0"/>
    <n v="0.5"/>
    <x v="2"/>
    <x v="77"/>
    <x v="0"/>
  </r>
  <r>
    <x v="78"/>
    <x v="19"/>
    <s v="Male"/>
    <n v="101.32"/>
    <n v="21.93"/>
    <x v="4"/>
    <x v="0"/>
    <n v="2"/>
    <n v="2.8"/>
    <x v="1"/>
    <x v="78"/>
    <x v="1"/>
  </r>
  <r>
    <x v="79"/>
    <x v="22"/>
    <s v="Female"/>
    <n v="109.83"/>
    <n v="21.35"/>
    <x v="2"/>
    <x v="0"/>
    <n v="1"/>
    <n v="0.7"/>
    <x v="3"/>
    <x v="79"/>
    <x v="0"/>
  </r>
  <r>
    <x v="80"/>
    <x v="11"/>
    <s v="Male"/>
    <n v="112.98"/>
    <n v="18.22"/>
    <x v="2"/>
    <x v="1"/>
    <n v="1"/>
    <n v="1.7"/>
    <x v="0"/>
    <x v="80"/>
    <x v="0"/>
  </r>
  <r>
    <x v="81"/>
    <x v="21"/>
    <s v="Female"/>
    <n v="104.87"/>
    <n v="19.66"/>
    <x v="0"/>
    <x v="4"/>
    <n v="2"/>
    <n v="1.1000000000000001"/>
    <x v="4"/>
    <x v="81"/>
    <x v="0"/>
  </r>
  <r>
    <x v="82"/>
    <x v="16"/>
    <s v="Male"/>
    <n v="100.81"/>
    <n v="14.39"/>
    <x v="3"/>
    <x v="4"/>
    <n v="2"/>
    <n v="2.6"/>
    <x v="0"/>
    <x v="82"/>
    <x v="0"/>
  </r>
  <r>
    <x v="83"/>
    <x v="32"/>
    <s v="Female"/>
    <n v="101.16"/>
    <n v="14.14"/>
    <x v="3"/>
    <x v="0"/>
    <n v="3"/>
    <n v="1.3"/>
    <x v="0"/>
    <x v="83"/>
    <x v="0"/>
  </r>
  <r>
    <x v="84"/>
    <x v="13"/>
    <s v="Female"/>
    <n v="115.19"/>
    <n v="20.76"/>
    <x v="0"/>
    <x v="4"/>
    <n v="0"/>
    <n v="1"/>
    <x v="0"/>
    <x v="84"/>
    <x v="0"/>
  </r>
  <r>
    <x v="85"/>
    <x v="14"/>
    <s v="Male"/>
    <n v="110.72"/>
    <n v="20.149999999999999"/>
    <x v="1"/>
    <x v="1"/>
    <n v="1"/>
    <n v="2"/>
    <x v="4"/>
    <x v="85"/>
    <x v="0"/>
  </r>
  <r>
    <x v="86"/>
    <x v="14"/>
    <s v="Female"/>
    <n v="106.73"/>
    <n v="24.09"/>
    <x v="1"/>
    <x v="1"/>
    <n v="3"/>
    <n v="1.7"/>
    <x v="4"/>
    <x v="86"/>
    <x v="1"/>
  </r>
  <r>
    <x v="87"/>
    <x v="9"/>
    <s v="Female"/>
    <n v="99.72"/>
    <n v="14.9"/>
    <x v="4"/>
    <x v="0"/>
    <n v="3"/>
    <n v="2.2000000000000002"/>
    <x v="1"/>
    <x v="87"/>
    <x v="0"/>
  </r>
  <r>
    <x v="88"/>
    <x v="16"/>
    <s v="Female"/>
    <n v="96.45"/>
    <n v="14.77"/>
    <x v="4"/>
    <x v="0"/>
    <n v="0"/>
    <n v="0.6"/>
    <x v="3"/>
    <x v="88"/>
    <x v="0"/>
  </r>
  <r>
    <x v="89"/>
    <x v="29"/>
    <s v="Male"/>
    <n v="106.44"/>
    <n v="20.73"/>
    <x v="4"/>
    <x v="2"/>
    <n v="2"/>
    <n v="2"/>
    <x v="0"/>
    <x v="89"/>
    <x v="0"/>
  </r>
  <r>
    <x v="90"/>
    <x v="32"/>
    <s v="Female"/>
    <n v="97.77"/>
    <n v="15.72"/>
    <x v="3"/>
    <x v="3"/>
    <n v="0"/>
    <n v="0.9"/>
    <x v="0"/>
    <x v="90"/>
    <x v="0"/>
  </r>
  <r>
    <x v="91"/>
    <x v="33"/>
    <s v="Male"/>
    <n v="113.49"/>
    <n v="25.26"/>
    <x v="1"/>
    <x v="4"/>
    <n v="3"/>
    <n v="3"/>
    <x v="4"/>
    <x v="91"/>
    <x v="1"/>
  </r>
  <r>
    <x v="92"/>
    <x v="4"/>
    <s v="Male"/>
    <n v="92.08"/>
    <n v="15.29"/>
    <x v="4"/>
    <x v="1"/>
    <n v="2"/>
    <n v="2.6"/>
    <x v="2"/>
    <x v="92"/>
    <x v="0"/>
  </r>
  <r>
    <x v="93"/>
    <x v="9"/>
    <s v="Female"/>
    <n v="96.42"/>
    <n v="15.34"/>
    <x v="4"/>
    <x v="2"/>
    <n v="2"/>
    <n v="0.9"/>
    <x v="2"/>
    <x v="93"/>
    <x v="0"/>
  </r>
  <r>
    <x v="94"/>
    <x v="28"/>
    <s v="Female"/>
    <n v="108.1"/>
    <n v="19.25"/>
    <x v="0"/>
    <x v="3"/>
    <n v="1"/>
    <n v="1"/>
    <x v="0"/>
    <x v="94"/>
    <x v="0"/>
  </r>
  <r>
    <x v="95"/>
    <x v="27"/>
    <s v="Female"/>
    <n v="109.15"/>
    <n v="22.09"/>
    <x v="0"/>
    <x v="4"/>
    <n v="0"/>
    <n v="0.6"/>
    <x v="1"/>
    <x v="95"/>
    <x v="1"/>
  </r>
  <r>
    <x v="96"/>
    <x v="19"/>
    <s v="Male"/>
    <n v="107.71"/>
    <n v="19.079999999999998"/>
    <x v="1"/>
    <x v="0"/>
    <n v="2"/>
    <n v="1.8"/>
    <x v="2"/>
    <x v="96"/>
    <x v="0"/>
  </r>
  <r>
    <x v="97"/>
    <x v="13"/>
    <s v="Male"/>
    <n v="112.41"/>
    <n v="21.55"/>
    <x v="3"/>
    <x v="4"/>
    <n v="0"/>
    <n v="0.9"/>
    <x v="0"/>
    <x v="97"/>
    <x v="0"/>
  </r>
  <r>
    <x v="98"/>
    <x v="21"/>
    <s v="Male"/>
    <n v="110.12"/>
    <n v="18.510000000000002"/>
    <x v="1"/>
    <x v="0"/>
    <n v="0"/>
    <n v="0.9"/>
    <x v="3"/>
    <x v="98"/>
    <x v="0"/>
  </r>
  <r>
    <x v="99"/>
    <x v="11"/>
    <s v="Male"/>
    <n v="106.6"/>
    <n v="21.21"/>
    <x v="1"/>
    <x v="3"/>
    <n v="2"/>
    <n v="2.5"/>
    <x v="3"/>
    <x v="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B1E55-D8CE-4242-9187-200DC4582B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E20:F50" firstHeaderRow="1" firstDataRow="1" firstDataCol="1"/>
  <pivotFields count="12">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showAll="0"/>
    <pivotField showAll="0"/>
    <pivotField axis="axisRow" showAll="0">
      <items count="6">
        <item x="1"/>
        <item x="0"/>
        <item x="3"/>
        <item x="2"/>
        <item x="4"/>
        <item t="default"/>
      </items>
    </pivotField>
    <pivotField axis="axisRow" showAll="0">
      <items count="6">
        <item x="3"/>
        <item x="1"/>
        <item x="0"/>
        <item x="2"/>
        <item x="4"/>
        <item t="default"/>
      </items>
    </pivotField>
    <pivotField showAll="0"/>
    <pivotField showAll="0"/>
    <pivotField showAll="0">
      <items count="6">
        <item x="1"/>
        <item x="2"/>
        <item x="3"/>
        <item x="0"/>
        <item x="4"/>
        <item t="default"/>
      </items>
    </pivotField>
    <pivotField dataField="1" showAll="0">
      <items count="101">
        <item x="27"/>
        <item x="69"/>
        <item x="36"/>
        <item x="23"/>
        <item x="31"/>
        <item x="48"/>
        <item x="54"/>
        <item x="83"/>
        <item x="67"/>
        <item x="82"/>
        <item x="49"/>
        <item x="80"/>
        <item x="9"/>
        <item x="10"/>
        <item x="87"/>
        <item x="4"/>
        <item x="44"/>
        <item x="98"/>
        <item x="33"/>
        <item x="75"/>
        <item x="28"/>
        <item x="84"/>
        <item x="17"/>
        <item x="38"/>
        <item x="50"/>
        <item x="88"/>
        <item x="76"/>
        <item x="0"/>
        <item x="63"/>
        <item x="19"/>
        <item x="40"/>
        <item x="47"/>
        <item x="43"/>
        <item x="12"/>
        <item x="34"/>
        <item x="20"/>
        <item x="85"/>
        <item x="90"/>
        <item x="96"/>
        <item x="94"/>
        <item x="93"/>
        <item x="1"/>
        <item x="24"/>
        <item x="70"/>
        <item x="56"/>
        <item x="25"/>
        <item x="42"/>
        <item x="77"/>
        <item x="97"/>
        <item x="15"/>
        <item x="51"/>
        <item x="13"/>
        <item x="66"/>
        <item x="18"/>
        <item x="32"/>
        <item x="21"/>
        <item x="14"/>
        <item x="6"/>
        <item x="79"/>
        <item x="45"/>
        <item x="81"/>
        <item x="46"/>
        <item x="57"/>
        <item x="39"/>
        <item x="11"/>
        <item x="53"/>
        <item x="92"/>
        <item x="64"/>
        <item x="22"/>
        <item x="74"/>
        <item x="55"/>
        <item x="5"/>
        <item x="30"/>
        <item x="62"/>
        <item x="89"/>
        <item x="60"/>
        <item x="95"/>
        <item x="7"/>
        <item x="99"/>
        <item x="35"/>
        <item x="71"/>
        <item x="26"/>
        <item x="37"/>
        <item x="59"/>
        <item x="2"/>
        <item x="29"/>
        <item x="52"/>
        <item x="8"/>
        <item x="73"/>
        <item x="91"/>
        <item x="41"/>
        <item x="3"/>
        <item x="65"/>
        <item x="16"/>
        <item x="58"/>
        <item x="68"/>
        <item x="61"/>
        <item x="72"/>
        <item x="86"/>
        <item x="78"/>
        <item t="default"/>
      </items>
    </pivotField>
    <pivotField showAll="0"/>
  </pivotFields>
  <rowFields count="2">
    <field x="5"/>
    <field x="6"/>
  </rowFields>
  <rowItems count="30">
    <i>
      <x/>
    </i>
    <i r="1">
      <x/>
    </i>
    <i r="1">
      <x v="1"/>
    </i>
    <i r="1">
      <x v="2"/>
    </i>
    <i r="1">
      <x v="3"/>
    </i>
    <i r="1">
      <x v="4"/>
    </i>
    <i>
      <x v="1"/>
    </i>
    <i r="1">
      <x/>
    </i>
    <i r="1">
      <x v="1"/>
    </i>
    <i r="1">
      <x v="2"/>
    </i>
    <i r="1">
      <x v="3"/>
    </i>
    <i r="1">
      <x v="4"/>
    </i>
    <i>
      <x v="2"/>
    </i>
    <i r="1">
      <x/>
    </i>
    <i r="1">
      <x v="1"/>
    </i>
    <i r="1">
      <x v="2"/>
    </i>
    <i r="1">
      <x v="4"/>
    </i>
    <i>
      <x v="3"/>
    </i>
    <i r="1">
      <x/>
    </i>
    <i r="1">
      <x v="1"/>
    </i>
    <i r="1">
      <x v="2"/>
    </i>
    <i r="1">
      <x v="3"/>
    </i>
    <i r="1">
      <x v="4"/>
    </i>
    <i>
      <x v="4"/>
    </i>
    <i r="1">
      <x/>
    </i>
    <i r="1">
      <x v="1"/>
    </i>
    <i r="1">
      <x v="2"/>
    </i>
    <i r="1">
      <x v="3"/>
    </i>
    <i r="1">
      <x v="4"/>
    </i>
    <i t="grand">
      <x/>
    </i>
  </rowItems>
  <colItems count="1">
    <i/>
  </colItems>
  <dataFields count="1">
    <dataField name="Average of BMI " fld="10" subtotal="average" baseField="5" baseItem="0" numFmtId="2"/>
  </dataFields>
  <chartFormats count="2">
    <chartFormat chart="36"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8BD07-E8A2-491C-B37E-98220F4282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39" firstHeaderRow="1" firstDataRow="2" firstDataCol="1"/>
  <pivotFields count="12">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showAll="0"/>
    <pivotField showAll="0"/>
    <pivotField showAll="0"/>
    <pivotField showAll="0"/>
    <pivotField showAll="0"/>
    <pivotField showAll="0"/>
    <pivotField showAll="0">
      <items count="6">
        <item x="1"/>
        <item x="2"/>
        <item x="3"/>
        <item x="0"/>
        <item x="4"/>
        <item t="default"/>
      </items>
    </pivotField>
    <pivotField showAll="0"/>
    <pivotField axis="axisCol" showAll="0">
      <items count="3">
        <item x="1"/>
        <item x="0"/>
        <item t="default"/>
      </items>
    </pivotField>
  </pivotFields>
  <rowFields count="1">
    <field x="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11"/>
  </colFields>
  <colItems count="3">
    <i>
      <x/>
    </i>
    <i>
      <x v="1"/>
    </i>
    <i t="grand">
      <x/>
    </i>
  </colItems>
  <dataFields count="1">
    <dataField name="Count of ChildID" fld="0" subtotal="count" baseField="0" baseItem="0"/>
  </dataFields>
  <chartFormats count="6">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7" format="4" series="1">
      <pivotArea type="data" outline="0" fieldPosition="0">
        <references count="2">
          <reference field="4294967294" count="1" selected="0">
            <x v="0"/>
          </reference>
          <reference field="11" count="1" selected="0">
            <x v="0"/>
          </reference>
        </references>
      </pivotArea>
    </chartFormat>
    <chartFormat chart="7" format="5" series="1">
      <pivotArea type="data" outline="0" fieldPosition="0">
        <references count="2">
          <reference field="4294967294" count="1" selected="0">
            <x v="0"/>
          </reference>
          <reference field="11" count="1" selected="0">
            <x v="1"/>
          </reference>
        </references>
      </pivotArea>
    </chartFormat>
    <chartFormat chart="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B46C1-C92E-4937-9295-F05CAE0F6F9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12">
    <pivotField showAll="0"/>
    <pivotField showAll="0">
      <items count="35">
        <item x="9"/>
        <item x="4"/>
        <item x="20"/>
        <item x="7"/>
        <item x="32"/>
        <item x="16"/>
        <item x="18"/>
        <item x="10"/>
        <item x="30"/>
        <item x="1"/>
        <item x="2"/>
        <item x="26"/>
        <item x="12"/>
        <item x="3"/>
        <item x="23"/>
        <item x="31"/>
        <item x="25"/>
        <item x="17"/>
        <item x="8"/>
        <item x="21"/>
        <item x="15"/>
        <item x="0"/>
        <item x="19"/>
        <item x="11"/>
        <item x="27"/>
        <item x="5"/>
        <item x="6"/>
        <item x="29"/>
        <item x="22"/>
        <item x="24"/>
        <item x="14"/>
        <item x="13"/>
        <item x="33"/>
        <item x="28"/>
        <item t="default"/>
      </items>
    </pivotField>
    <pivotField showAll="0"/>
    <pivotField showAll="0"/>
    <pivotField showAll="0"/>
    <pivotField showAll="0"/>
    <pivotField showAll="0"/>
    <pivotField dataField="1" showAll="0"/>
    <pivotField dataField="1" showAll="0"/>
    <pivotField showAll="0">
      <items count="6">
        <item x="1"/>
        <item x="2"/>
        <item x="3"/>
        <item x="0"/>
        <item x="4"/>
        <item t="default"/>
      </items>
    </pivotField>
    <pivotField showAll="0"/>
    <pivotField axis="axisRow" showAll="0">
      <items count="3">
        <item x="1"/>
        <item x="0"/>
        <item t="default"/>
      </items>
    </pivotField>
  </pivotFields>
  <rowFields count="1">
    <field x="11"/>
  </rowFields>
  <rowItems count="3">
    <i>
      <x/>
    </i>
    <i>
      <x v="1"/>
    </i>
    <i t="grand">
      <x/>
    </i>
  </rowItems>
  <colFields count="1">
    <field x="-2"/>
  </colFields>
  <colItems count="2">
    <i>
      <x/>
    </i>
    <i i="1">
      <x v="1"/>
    </i>
  </colItems>
  <dataFields count="2">
    <dataField name="Average of Daily_Sugar_Drinks" fld="7" subtotal="average" baseField="11" baseItem="0" numFmtId="2"/>
    <dataField name="Average of ScreenTime_Hours" fld="8" subtotal="average" baseField="11" baseItem="0" numFmtId="2"/>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11" count="1" selected="0">
            <x v="0"/>
          </reference>
        </references>
      </pivotArea>
    </chartFormat>
    <chartFormat chart="6" format="13">
      <pivotArea type="data" outline="0" fieldPosition="0">
        <references count="2">
          <reference field="4294967294" count="1" selected="0">
            <x v="1"/>
          </reference>
          <reference field="11" count="1" selected="0">
            <x v="1"/>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1"/>
          </reference>
          <reference field="11" count="1" selected="0">
            <x v="0"/>
          </reference>
        </references>
      </pivotArea>
    </chartFormat>
    <chartFormat chart="1" format="5">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4C0D6-6CCC-4CB9-B17B-4E5968B557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E3:G9" firstHeaderRow="0" firstDataRow="1" firstDataCol="1"/>
  <pivotFields count="12">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pivotFields>
  <rowFields count="1">
    <field x="9"/>
  </rowFields>
  <rowItems count="6">
    <i>
      <x/>
    </i>
    <i>
      <x v="1"/>
    </i>
    <i>
      <x v="2"/>
    </i>
    <i>
      <x v="3"/>
    </i>
    <i>
      <x v="4"/>
    </i>
    <i t="grand">
      <x/>
    </i>
  </rowItems>
  <colFields count="1">
    <field x="-2"/>
  </colFields>
  <colItems count="2">
    <i>
      <x/>
    </i>
    <i i="1">
      <x v="1"/>
    </i>
  </colItems>
  <dataFields count="2">
    <dataField name="Average of BMI " fld="10" subtotal="average" baseField="9" baseItem="0" numFmtId="2"/>
    <dataField name="Average of Daily_Fruit_Servings" fld="5" subtotal="average" baseField="9" baseItem="0" numFmtId="2"/>
  </dataFields>
  <chartFormats count="4">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Months" xr10:uid="{5AD04D8B-DEB6-44C5-99C1-EA0E8EF74852}" sourceName="Age_Months">
  <pivotTables>
    <pivotTable tabId="2" name="PivotTable2"/>
    <pivotTable tabId="2" name="PivotTable1"/>
    <pivotTable tabId="3" name="PivotTable3"/>
  </pivotTables>
  <data>
    <tabular pivotCacheId="1759093223">
      <items count="34">
        <i x="9" s="1"/>
        <i x="4" s="1"/>
        <i x="20" s="1"/>
        <i x="7" s="1"/>
        <i x="32" s="1"/>
        <i x="16" s="1"/>
        <i x="18" s="1"/>
        <i x="10" s="1"/>
        <i x="30" s="1"/>
        <i x="1" s="1"/>
        <i x="2" s="1"/>
        <i x="26" s="1"/>
        <i x="12" s="1"/>
        <i x="3" s="1"/>
        <i x="23" s="1"/>
        <i x="31" s="1"/>
        <i x="25" s="1"/>
        <i x="17" s="1"/>
        <i x="8" s="1"/>
        <i x="21" s="1"/>
        <i x="15" s="1"/>
        <i x="0" s="1"/>
        <i x="19" s="1"/>
        <i x="11" s="1"/>
        <i x="27" s="1"/>
        <i x="5" s="1"/>
        <i x="6" s="1"/>
        <i x="29" s="1"/>
        <i x="22" s="1"/>
        <i x="24" s="1"/>
        <i x="14" s="1"/>
        <i x="13" s="1"/>
        <i x="33" s="1"/>
        <i x="2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F8F659-899B-4D64-9643-7BFF9D811A5B}" sourceName="Region">
  <pivotTables>
    <pivotTable tabId="3" name="PivotTable4"/>
    <pivotTable tabId="2" name="PivotTable1"/>
    <pivotTable tabId="2" name="PivotTable2"/>
    <pivotTable tabId="3" name="PivotTable3"/>
  </pivotTables>
  <data>
    <tabular pivotCacheId="1759093223">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Months 1" xr10:uid="{79BBAE9D-4A6D-47C8-B81C-6676D18F049E}" cache="Slicer_Age_Months" caption="Age_Months" rowHeight="247650"/>
  <slicer name="Region 1" xr10:uid="{4D48BF8E-0912-4651-9F5E-AF5D9F0A8BD0}"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Months" xr10:uid="{BCAEA72F-7FC0-496F-B74C-6C7A0FF0153B}" cache="Slicer_Age_Months" caption="Age_Month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6E4958-2ABE-431C-ADC4-F44FA862347C}" cache="Slicer_Region" caption="Region"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Months 2" xr10:uid="{604D337B-2D20-4C96-8859-DED0CD74D4EC}" cache="Slicer_Age_Months" caption="Age_Months" rowHeight="247650"/>
  <slicer name="Region 2" xr10:uid="{BE725F1E-690F-4CBD-8773-55E5253A83C4}"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C690A-5DFD-4770-94E0-1626BB22408C}">
  <dimension ref="A1"/>
  <sheetViews>
    <sheetView topLeftCell="A2" workbookViewId="0">
      <selection activeCell="V18" sqref="V18:W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6CEC-4F6A-440D-9873-7BC3A321D034}">
  <dimension ref="A3:F50"/>
  <sheetViews>
    <sheetView topLeftCell="A3" workbookViewId="0">
      <selection activeCell="C43" sqref="C43"/>
    </sheetView>
  </sheetViews>
  <sheetFormatPr defaultRowHeight="14.4" x14ac:dyDescent="0.3"/>
  <cols>
    <col min="1" max="1" width="14.44140625" bestFit="1" customWidth="1"/>
    <col min="2" max="2" width="15.5546875" bestFit="1" customWidth="1"/>
    <col min="3" max="3" width="11.44140625" bestFit="1" customWidth="1"/>
    <col min="4" max="4" width="10.5546875" bestFit="1" customWidth="1"/>
    <col min="5" max="5" width="12.44140625" bestFit="1" customWidth="1"/>
    <col min="6" max="6" width="13.33203125" bestFit="1" customWidth="1"/>
  </cols>
  <sheetData>
    <row r="3" spans="1:4" x14ac:dyDescent="0.3">
      <c r="A3" s="3" t="s">
        <v>124</v>
      </c>
      <c r="B3" s="3" t="s">
        <v>123</v>
      </c>
    </row>
    <row r="4" spans="1:4" x14ac:dyDescent="0.3">
      <c r="A4" s="3" t="s">
        <v>119</v>
      </c>
      <c r="B4" t="s">
        <v>121</v>
      </c>
      <c r="C4" t="s">
        <v>122</v>
      </c>
      <c r="D4" t="s">
        <v>120</v>
      </c>
    </row>
    <row r="5" spans="1:4" x14ac:dyDescent="0.3">
      <c r="A5" s="4">
        <v>25</v>
      </c>
      <c r="B5" s="7">
        <v>1</v>
      </c>
      <c r="C5" s="7">
        <v>5</v>
      </c>
      <c r="D5" s="7">
        <v>6</v>
      </c>
    </row>
    <row r="6" spans="1:4" x14ac:dyDescent="0.3">
      <c r="A6" s="4">
        <v>26</v>
      </c>
      <c r="B6" s="7"/>
      <c r="C6" s="7">
        <v>2</v>
      </c>
      <c r="D6" s="7">
        <v>2</v>
      </c>
    </row>
    <row r="7" spans="1:4" x14ac:dyDescent="0.3">
      <c r="A7" s="4">
        <v>27</v>
      </c>
      <c r="B7" s="7"/>
      <c r="C7" s="7">
        <v>3</v>
      </c>
      <c r="D7" s="7">
        <v>3</v>
      </c>
    </row>
    <row r="8" spans="1:4" x14ac:dyDescent="0.3">
      <c r="A8" s="4">
        <v>28</v>
      </c>
      <c r="B8" s="7">
        <v>1</v>
      </c>
      <c r="C8" s="7">
        <v>2</v>
      </c>
      <c r="D8" s="7">
        <v>3</v>
      </c>
    </row>
    <row r="9" spans="1:4" x14ac:dyDescent="0.3">
      <c r="A9" s="4">
        <v>29</v>
      </c>
      <c r="B9" s="7"/>
      <c r="C9" s="7">
        <v>2</v>
      </c>
      <c r="D9" s="7">
        <v>2</v>
      </c>
    </row>
    <row r="10" spans="1:4" x14ac:dyDescent="0.3">
      <c r="A10" s="4">
        <v>30</v>
      </c>
      <c r="B10" s="7"/>
      <c r="C10" s="7">
        <v>4</v>
      </c>
      <c r="D10" s="7">
        <v>4</v>
      </c>
    </row>
    <row r="11" spans="1:4" x14ac:dyDescent="0.3">
      <c r="A11" s="4">
        <v>31</v>
      </c>
      <c r="B11" s="7">
        <v>1</v>
      </c>
      <c r="C11" s="7">
        <v>1</v>
      </c>
      <c r="D11" s="7">
        <v>2</v>
      </c>
    </row>
    <row r="12" spans="1:4" x14ac:dyDescent="0.3">
      <c r="A12" s="4">
        <v>32</v>
      </c>
      <c r="B12" s="7">
        <v>1</v>
      </c>
      <c r="C12" s="7">
        <v>5</v>
      </c>
      <c r="D12" s="7">
        <v>6</v>
      </c>
    </row>
    <row r="13" spans="1:4" x14ac:dyDescent="0.3">
      <c r="A13" s="4">
        <v>33</v>
      </c>
      <c r="B13" s="7"/>
      <c r="C13" s="7">
        <v>1</v>
      </c>
      <c r="D13" s="7">
        <v>1</v>
      </c>
    </row>
    <row r="14" spans="1:4" x14ac:dyDescent="0.3">
      <c r="A14" s="4">
        <v>34</v>
      </c>
      <c r="B14" s="7"/>
      <c r="C14" s="7">
        <v>5</v>
      </c>
      <c r="D14" s="7">
        <v>5</v>
      </c>
    </row>
    <row r="15" spans="1:4" x14ac:dyDescent="0.3">
      <c r="A15" s="4">
        <v>35</v>
      </c>
      <c r="B15" s="7">
        <v>2</v>
      </c>
      <c r="C15" s="7">
        <v>2</v>
      </c>
      <c r="D15" s="7">
        <v>4</v>
      </c>
    </row>
    <row r="16" spans="1:4" x14ac:dyDescent="0.3">
      <c r="A16" s="4">
        <v>36</v>
      </c>
      <c r="B16" s="7"/>
      <c r="C16" s="7">
        <v>1</v>
      </c>
      <c r="D16" s="7">
        <v>1</v>
      </c>
    </row>
    <row r="17" spans="1:6" x14ac:dyDescent="0.3">
      <c r="A17" s="4">
        <v>38</v>
      </c>
      <c r="B17" s="7">
        <v>1</v>
      </c>
      <c r="C17" s="7">
        <v>3</v>
      </c>
      <c r="D17" s="7">
        <v>4</v>
      </c>
    </row>
    <row r="18" spans="1:6" x14ac:dyDescent="0.3">
      <c r="A18" s="4">
        <v>39</v>
      </c>
      <c r="B18" s="7">
        <v>2</v>
      </c>
      <c r="C18" s="7"/>
      <c r="D18" s="7">
        <v>2</v>
      </c>
    </row>
    <row r="19" spans="1:6" x14ac:dyDescent="0.3">
      <c r="A19" s="4">
        <v>40</v>
      </c>
      <c r="B19" s="7"/>
      <c r="C19" s="7">
        <v>2</v>
      </c>
      <c r="D19" s="7">
        <v>2</v>
      </c>
    </row>
    <row r="20" spans="1:6" x14ac:dyDescent="0.3">
      <c r="A20" s="4">
        <v>41</v>
      </c>
      <c r="B20" s="7"/>
      <c r="C20" s="7">
        <v>1</v>
      </c>
      <c r="D20" s="7">
        <v>1</v>
      </c>
      <c r="E20" s="3" t="s">
        <v>119</v>
      </c>
      <c r="F20" t="s">
        <v>125</v>
      </c>
    </row>
    <row r="21" spans="1:6" x14ac:dyDescent="0.3">
      <c r="A21" s="4">
        <v>42</v>
      </c>
      <c r="B21" s="7"/>
      <c r="C21" s="7">
        <v>2</v>
      </c>
      <c r="D21" s="7">
        <v>2</v>
      </c>
      <c r="E21" s="4">
        <v>0</v>
      </c>
      <c r="F21" s="6">
        <v>17.566529534524921</v>
      </c>
    </row>
    <row r="22" spans="1:6" x14ac:dyDescent="0.3">
      <c r="A22" s="4">
        <v>43</v>
      </c>
      <c r="B22" s="7">
        <v>1</v>
      </c>
      <c r="C22" s="7">
        <v>1</v>
      </c>
      <c r="D22" s="7">
        <v>2</v>
      </c>
      <c r="E22" s="5">
        <v>0</v>
      </c>
      <c r="F22" s="6">
        <v>19.016420427584645</v>
      </c>
    </row>
    <row r="23" spans="1:6" x14ac:dyDescent="0.3">
      <c r="A23" s="4">
        <v>44</v>
      </c>
      <c r="B23" s="7">
        <v>1</v>
      </c>
      <c r="C23" s="7">
        <v>2</v>
      </c>
      <c r="D23" s="7">
        <v>3</v>
      </c>
      <c r="E23" s="5">
        <v>1</v>
      </c>
      <c r="F23" s="6">
        <v>17.280117596560103</v>
      </c>
    </row>
    <row r="24" spans="1:6" x14ac:dyDescent="0.3">
      <c r="A24" s="4">
        <v>45</v>
      </c>
      <c r="B24" s="7">
        <v>1</v>
      </c>
      <c r="C24" s="7">
        <v>3</v>
      </c>
      <c r="D24" s="7">
        <v>4</v>
      </c>
      <c r="E24" s="5">
        <v>2</v>
      </c>
      <c r="F24" s="6">
        <v>16.27305047255906</v>
      </c>
    </row>
    <row r="25" spans="1:6" x14ac:dyDescent="0.3">
      <c r="A25" s="4">
        <v>46</v>
      </c>
      <c r="B25" s="7"/>
      <c r="C25" s="7">
        <v>5</v>
      </c>
      <c r="D25" s="7">
        <v>5</v>
      </c>
      <c r="E25" s="5">
        <v>3</v>
      </c>
      <c r="F25" s="6">
        <v>17.104134635526798</v>
      </c>
    </row>
    <row r="26" spans="1:6" x14ac:dyDescent="0.3">
      <c r="A26" s="4">
        <v>47</v>
      </c>
      <c r="B26" s="7">
        <v>1</v>
      </c>
      <c r="C26" s="7">
        <v>1</v>
      </c>
      <c r="D26" s="7">
        <v>2</v>
      </c>
      <c r="E26" s="5">
        <v>4</v>
      </c>
      <c r="F26" s="6">
        <v>18.137073212360072</v>
      </c>
    </row>
    <row r="27" spans="1:6" x14ac:dyDescent="0.3">
      <c r="A27" s="4">
        <v>48</v>
      </c>
      <c r="B27" s="7">
        <v>1</v>
      </c>
      <c r="C27" s="7">
        <v>2</v>
      </c>
      <c r="D27" s="7">
        <v>3</v>
      </c>
      <c r="E27" s="4">
        <v>1</v>
      </c>
      <c r="F27" s="6">
        <v>16.468003433538151</v>
      </c>
    </row>
    <row r="28" spans="1:6" x14ac:dyDescent="0.3">
      <c r="A28" s="4">
        <v>49</v>
      </c>
      <c r="B28" s="7">
        <v>1</v>
      </c>
      <c r="C28" s="7">
        <v>3</v>
      </c>
      <c r="D28" s="7">
        <v>4</v>
      </c>
      <c r="E28" s="5">
        <v>0</v>
      </c>
      <c r="F28" s="6">
        <v>16.35248862763348</v>
      </c>
    </row>
    <row r="29" spans="1:6" x14ac:dyDescent="0.3">
      <c r="A29" s="4">
        <v>50</v>
      </c>
      <c r="B29" s="7">
        <v>2</v>
      </c>
      <c r="C29" s="7">
        <v>1</v>
      </c>
      <c r="D29" s="7">
        <v>3</v>
      </c>
      <c r="E29" s="5">
        <v>1</v>
      </c>
      <c r="F29" s="6">
        <v>16.201722814253078</v>
      </c>
    </row>
    <row r="30" spans="1:6" x14ac:dyDescent="0.3">
      <c r="A30" s="4">
        <v>51</v>
      </c>
      <c r="B30" s="7"/>
      <c r="C30" s="7">
        <v>1</v>
      </c>
      <c r="D30" s="7">
        <v>1</v>
      </c>
      <c r="E30" s="5">
        <v>2</v>
      </c>
      <c r="F30" s="6">
        <v>17.145357431721354</v>
      </c>
    </row>
    <row r="31" spans="1:6" x14ac:dyDescent="0.3">
      <c r="A31" s="4">
        <v>52</v>
      </c>
      <c r="B31" s="7">
        <v>2</v>
      </c>
      <c r="C31" s="7">
        <v>3</v>
      </c>
      <c r="D31" s="7">
        <v>5</v>
      </c>
      <c r="E31" s="5">
        <v>3</v>
      </c>
      <c r="F31" s="6">
        <v>15.486892118792989</v>
      </c>
    </row>
    <row r="32" spans="1:6" x14ac:dyDescent="0.3">
      <c r="A32" s="4">
        <v>53</v>
      </c>
      <c r="B32" s="7">
        <v>1</v>
      </c>
      <c r="C32" s="7">
        <v>1</v>
      </c>
      <c r="D32" s="7">
        <v>2</v>
      </c>
      <c r="E32" s="5">
        <v>4</v>
      </c>
      <c r="F32" s="6">
        <v>17.548662976364966</v>
      </c>
    </row>
    <row r="33" spans="1:6" x14ac:dyDescent="0.3">
      <c r="A33" s="4">
        <v>54</v>
      </c>
      <c r="B33" s="7"/>
      <c r="C33" s="7">
        <v>2</v>
      </c>
      <c r="D33" s="7">
        <v>2</v>
      </c>
      <c r="E33" s="4">
        <v>2</v>
      </c>
      <c r="F33" s="6">
        <v>16.87382757410969</v>
      </c>
    </row>
    <row r="34" spans="1:6" x14ac:dyDescent="0.3">
      <c r="A34" s="4">
        <v>55</v>
      </c>
      <c r="B34" s="7"/>
      <c r="C34" s="7">
        <v>1</v>
      </c>
      <c r="D34" s="7">
        <v>1</v>
      </c>
      <c r="E34" s="5">
        <v>0</v>
      </c>
      <c r="F34" s="6">
        <v>18.304030863042058</v>
      </c>
    </row>
    <row r="35" spans="1:6" x14ac:dyDescent="0.3">
      <c r="A35" s="4">
        <v>56</v>
      </c>
      <c r="B35" s="7">
        <v>2</v>
      </c>
      <c r="C35" s="7">
        <v>4</v>
      </c>
      <c r="D35" s="7">
        <v>6</v>
      </c>
      <c r="E35" s="5">
        <v>1</v>
      </c>
      <c r="F35" s="6">
        <v>13.414804870225169</v>
      </c>
    </row>
    <row r="36" spans="1:6" x14ac:dyDescent="0.3">
      <c r="A36" s="4">
        <v>57</v>
      </c>
      <c r="B36" s="7"/>
      <c r="C36" s="7">
        <v>4</v>
      </c>
      <c r="D36" s="7">
        <v>4</v>
      </c>
      <c r="E36" s="5">
        <v>2</v>
      </c>
      <c r="F36" s="6">
        <v>17.219114471226323</v>
      </c>
    </row>
    <row r="37" spans="1:6" x14ac:dyDescent="0.3">
      <c r="A37" s="4">
        <v>58</v>
      </c>
      <c r="B37" s="7">
        <v>1</v>
      </c>
      <c r="C37" s="7"/>
      <c r="D37" s="7">
        <v>1</v>
      </c>
      <c r="E37" s="5">
        <v>4</v>
      </c>
      <c r="F37" s="6">
        <v>17.104693630968079</v>
      </c>
    </row>
    <row r="38" spans="1:6" x14ac:dyDescent="0.3">
      <c r="A38" s="4">
        <v>59</v>
      </c>
      <c r="B38" s="7">
        <v>1</v>
      </c>
      <c r="C38" s="7">
        <v>1</v>
      </c>
      <c r="D38" s="7">
        <v>2</v>
      </c>
      <c r="E38" s="4">
        <v>3</v>
      </c>
      <c r="F38" s="6">
        <v>17.50835442521058</v>
      </c>
    </row>
    <row r="39" spans="1:6" x14ac:dyDescent="0.3">
      <c r="A39" s="4" t="s">
        <v>120</v>
      </c>
      <c r="B39" s="7">
        <v>24</v>
      </c>
      <c r="C39" s="7">
        <v>76</v>
      </c>
      <c r="D39" s="7">
        <v>100</v>
      </c>
      <c r="E39" s="5">
        <v>0</v>
      </c>
      <c r="F39" s="6">
        <v>18.791232347431109</v>
      </c>
    </row>
    <row r="40" spans="1:6" x14ac:dyDescent="0.3">
      <c r="E40" s="5">
        <v>1</v>
      </c>
      <c r="F40" s="6">
        <v>15.547827345547695</v>
      </c>
    </row>
    <row r="41" spans="1:6" x14ac:dyDescent="0.3">
      <c r="E41" s="5">
        <v>2</v>
      </c>
      <c r="F41" s="6">
        <v>18.37904051788599</v>
      </c>
    </row>
    <row r="42" spans="1:6" x14ac:dyDescent="0.3">
      <c r="E42" s="5">
        <v>3</v>
      </c>
      <c r="F42" s="6">
        <v>19.105850849662808</v>
      </c>
    </row>
    <row r="43" spans="1:6" x14ac:dyDescent="0.3">
      <c r="E43" s="5">
        <v>4</v>
      </c>
      <c r="F43" s="6">
        <v>15.747317770125974</v>
      </c>
    </row>
    <row r="44" spans="1:6" x14ac:dyDescent="0.3">
      <c r="E44" s="4">
        <v>4</v>
      </c>
      <c r="F44" s="6">
        <v>17.004575438549672</v>
      </c>
    </row>
    <row r="45" spans="1:6" x14ac:dyDescent="0.3">
      <c r="E45" s="5">
        <v>0</v>
      </c>
      <c r="F45" s="6">
        <v>17.326942725016981</v>
      </c>
    </row>
    <row r="46" spans="1:6" x14ac:dyDescent="0.3">
      <c r="E46" s="5">
        <v>1</v>
      </c>
      <c r="F46" s="6">
        <v>16.827714126941665</v>
      </c>
    </row>
    <row r="47" spans="1:6" x14ac:dyDescent="0.3">
      <c r="E47" s="5">
        <v>2</v>
      </c>
      <c r="F47" s="6">
        <v>16.79563742079436</v>
      </c>
    </row>
    <row r="48" spans="1:6" x14ac:dyDescent="0.3">
      <c r="E48" s="5">
        <v>3</v>
      </c>
      <c r="F48" s="6">
        <v>16.427913820241738</v>
      </c>
    </row>
    <row r="49" spans="5:6" x14ac:dyDescent="0.3">
      <c r="E49" s="5">
        <v>4</v>
      </c>
      <c r="F49" s="6">
        <v>20.023541521230683</v>
      </c>
    </row>
    <row r="50" spans="5:6" x14ac:dyDescent="0.3">
      <c r="E50" s="4" t="s">
        <v>120</v>
      </c>
      <c r="F50" s="6">
        <v>17.058049606125383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E561-9FAF-40BB-B56F-435D7E95450B}">
  <dimension ref="A3:G9"/>
  <sheetViews>
    <sheetView workbookViewId="0">
      <selection activeCell="F3" sqref="F3"/>
    </sheetView>
  </sheetViews>
  <sheetFormatPr defaultRowHeight="14.4" x14ac:dyDescent="0.3"/>
  <cols>
    <col min="1" max="1" width="13.109375" bestFit="1" customWidth="1"/>
    <col min="2" max="2" width="26" bestFit="1" customWidth="1"/>
    <col min="3" max="3" width="25.77734375" bestFit="1" customWidth="1"/>
    <col min="5" max="5" width="12.44140625" bestFit="1" customWidth="1"/>
    <col min="6" max="6" width="13.33203125" bestFit="1" customWidth="1"/>
    <col min="7" max="7" width="26.88671875" bestFit="1" customWidth="1"/>
  </cols>
  <sheetData>
    <row r="3" spans="1:7" x14ac:dyDescent="0.3">
      <c r="A3" s="3" t="s">
        <v>119</v>
      </c>
      <c r="B3" t="s">
        <v>126</v>
      </c>
      <c r="C3" t="s">
        <v>127</v>
      </c>
      <c r="E3" s="3" t="s">
        <v>119</v>
      </c>
      <c r="F3" t="s">
        <v>125</v>
      </c>
      <c r="G3" t="s">
        <v>128</v>
      </c>
    </row>
    <row r="4" spans="1:7" x14ac:dyDescent="0.3">
      <c r="A4" s="4" t="s">
        <v>121</v>
      </c>
      <c r="B4" s="6">
        <v>1.5833333333333333</v>
      </c>
      <c r="C4" s="6">
        <v>1.6875000000000002</v>
      </c>
      <c r="E4" s="4" t="s">
        <v>14</v>
      </c>
      <c r="F4" s="6">
        <v>17.280514841003029</v>
      </c>
      <c r="G4" s="6">
        <v>2.3333333333333335</v>
      </c>
    </row>
    <row r="5" spans="1:7" x14ac:dyDescent="0.3">
      <c r="A5" s="4" t="s">
        <v>122</v>
      </c>
      <c r="B5" s="6">
        <v>1.3026315789473684</v>
      </c>
      <c r="C5" s="6">
        <v>1.2986842105263157</v>
      </c>
      <c r="E5" s="4" t="s">
        <v>20</v>
      </c>
      <c r="F5" s="6">
        <v>16.371172019628016</v>
      </c>
      <c r="G5" s="6">
        <v>2.1428571428571428</v>
      </c>
    </row>
    <row r="6" spans="1:7" x14ac:dyDescent="0.3">
      <c r="A6" s="4" t="s">
        <v>120</v>
      </c>
      <c r="B6" s="6">
        <v>1.37</v>
      </c>
      <c r="C6" s="6">
        <v>1.3919999999999999</v>
      </c>
      <c r="E6" s="4" t="s">
        <v>24</v>
      </c>
      <c r="F6" s="6">
        <v>16.789441132947946</v>
      </c>
      <c r="G6" s="6">
        <v>2</v>
      </c>
    </row>
    <row r="7" spans="1:7" x14ac:dyDescent="0.3">
      <c r="E7" s="4" t="s">
        <v>12</v>
      </c>
      <c r="F7" s="6">
        <v>17.188810268120474</v>
      </c>
      <c r="G7" s="6">
        <v>2.5</v>
      </c>
    </row>
    <row r="8" spans="1:7" x14ac:dyDescent="0.3">
      <c r="E8" s="4" t="s">
        <v>27</v>
      </c>
      <c r="F8" s="6">
        <v>17.912368815419139</v>
      </c>
      <c r="G8" s="6">
        <v>1.5833333333333333</v>
      </c>
    </row>
    <row r="9" spans="1:7" x14ac:dyDescent="0.3">
      <c r="E9" s="4" t="s">
        <v>120</v>
      </c>
      <c r="F9" s="6">
        <v>17.058049606125373</v>
      </c>
      <c r="G9" s="6">
        <v>2.19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6992-07AE-414E-BB7D-AAB2671E7373}">
  <dimension ref="A1"/>
  <sheetViews>
    <sheetView workbookViewId="0">
      <selection activeCell="A10" sqref="A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E881-B0D1-4A42-BE7D-93D02764D0D8}">
  <dimension ref="A1:L101"/>
  <sheetViews>
    <sheetView topLeftCell="A22" workbookViewId="0">
      <selection activeCell="J33" sqref="J33"/>
    </sheetView>
  </sheetViews>
  <sheetFormatPr defaultRowHeight="14.4" x14ac:dyDescent="0.3"/>
  <cols>
    <col min="2" max="2" width="12.109375" customWidth="1"/>
    <col min="6" max="6" width="16.109375" customWidth="1"/>
    <col min="7" max="7" width="20.109375" customWidth="1"/>
    <col min="8" max="8" width="17.6640625" customWidth="1"/>
    <col min="9" max="9" width="17.44140625" customWidth="1"/>
    <col min="12" max="12" width="15.5546875" customWidth="1"/>
  </cols>
  <sheetData>
    <row r="1" spans="1:12" x14ac:dyDescent="0.3">
      <c r="A1" s="2" t="s">
        <v>0</v>
      </c>
      <c r="B1" s="2" t="s">
        <v>1</v>
      </c>
      <c r="C1" s="2" t="s">
        <v>2</v>
      </c>
      <c r="D1" s="2" t="s">
        <v>3</v>
      </c>
      <c r="E1" s="2" t="s">
        <v>4</v>
      </c>
      <c r="F1" s="2" t="s">
        <v>5</v>
      </c>
      <c r="G1" s="2" t="s">
        <v>6</v>
      </c>
      <c r="H1" s="2" t="s">
        <v>7</v>
      </c>
      <c r="I1" s="2" t="s">
        <v>8</v>
      </c>
      <c r="J1" s="2" t="s">
        <v>9</v>
      </c>
      <c r="K1" s="1" t="s">
        <v>117</v>
      </c>
      <c r="L1" s="1" t="s">
        <v>118</v>
      </c>
    </row>
    <row r="2" spans="1:12" x14ac:dyDescent="0.3">
      <c r="A2" t="s">
        <v>10</v>
      </c>
      <c r="B2">
        <v>47</v>
      </c>
      <c r="C2" t="s">
        <v>11</v>
      </c>
      <c r="D2">
        <v>104.41</v>
      </c>
      <c r="E2">
        <v>17.34</v>
      </c>
      <c r="F2">
        <v>1</v>
      </c>
      <c r="G2">
        <v>2</v>
      </c>
      <c r="H2">
        <v>3</v>
      </c>
      <c r="I2">
        <v>1.2</v>
      </c>
      <c r="J2" t="s">
        <v>12</v>
      </c>
      <c r="K2">
        <f>E2 / ((D2 / 100) ^ 2)</f>
        <v>15.90614369846883</v>
      </c>
      <c r="L2" t="str">
        <f>IF(K2&lt;18.5, "Underweight", IF(K2&lt;25, "Healthy Weight", IF(K2&lt;30, "Overweight", "Obese")))</f>
        <v>Underweight</v>
      </c>
    </row>
    <row r="3" spans="1:12" x14ac:dyDescent="0.3">
      <c r="A3" t="s">
        <v>13</v>
      </c>
      <c r="B3">
        <v>34</v>
      </c>
      <c r="C3" t="s">
        <v>11</v>
      </c>
      <c r="D3">
        <v>99.08</v>
      </c>
      <c r="E3">
        <v>16.21</v>
      </c>
      <c r="F3">
        <v>0</v>
      </c>
      <c r="G3">
        <v>1</v>
      </c>
      <c r="H3">
        <v>1</v>
      </c>
      <c r="I3">
        <v>1.4</v>
      </c>
      <c r="J3" t="s">
        <v>14</v>
      </c>
      <c r="K3">
        <f t="shared" ref="K3:K66" si="0">E3 / ((D3 / 100) ^ 2)</f>
        <v>16.512431120446177</v>
      </c>
      <c r="L3" t="str">
        <f t="shared" ref="L3:L66" si="1">IF(K3&lt;18.5, "Underweight", IF(K3&lt;25, "Healthy Weight", IF(K3&lt;30, "Overweight", "Obese")))</f>
        <v>Underweight</v>
      </c>
    </row>
    <row r="4" spans="1:12" x14ac:dyDescent="0.3">
      <c r="A4" t="s">
        <v>15</v>
      </c>
      <c r="B4">
        <v>35</v>
      </c>
      <c r="C4" t="s">
        <v>11</v>
      </c>
      <c r="D4">
        <v>94.96</v>
      </c>
      <c r="E4">
        <v>17.3</v>
      </c>
      <c r="F4">
        <v>3</v>
      </c>
      <c r="G4">
        <v>3</v>
      </c>
      <c r="H4">
        <v>2</v>
      </c>
      <c r="I4">
        <v>0.6</v>
      </c>
      <c r="J4" t="s">
        <v>14</v>
      </c>
      <c r="K4">
        <f t="shared" si="0"/>
        <v>19.185127564907393</v>
      </c>
      <c r="L4" t="str">
        <f t="shared" si="1"/>
        <v>Healthy Weight</v>
      </c>
    </row>
    <row r="5" spans="1:12" x14ac:dyDescent="0.3">
      <c r="A5" t="s">
        <v>16</v>
      </c>
      <c r="B5">
        <v>39</v>
      </c>
      <c r="C5" t="s">
        <v>11</v>
      </c>
      <c r="D5">
        <v>100.65</v>
      </c>
      <c r="E5">
        <v>20.010000000000002</v>
      </c>
      <c r="F5">
        <v>2</v>
      </c>
      <c r="G5">
        <v>0</v>
      </c>
      <c r="H5">
        <v>1</v>
      </c>
      <c r="I5">
        <v>1.5</v>
      </c>
      <c r="J5" t="s">
        <v>14</v>
      </c>
      <c r="K5">
        <f t="shared" si="0"/>
        <v>19.75238446372795</v>
      </c>
      <c r="L5" t="str">
        <f t="shared" si="1"/>
        <v>Healthy Weight</v>
      </c>
    </row>
    <row r="6" spans="1:12" x14ac:dyDescent="0.3">
      <c r="A6" t="s">
        <v>17</v>
      </c>
      <c r="B6">
        <v>26</v>
      </c>
      <c r="C6" t="s">
        <v>11</v>
      </c>
      <c r="D6">
        <v>90.06</v>
      </c>
      <c r="E6">
        <v>12.16</v>
      </c>
      <c r="F6">
        <v>0</v>
      </c>
      <c r="G6">
        <v>1</v>
      </c>
      <c r="H6">
        <v>0</v>
      </c>
      <c r="I6">
        <v>0.9</v>
      </c>
      <c r="J6" t="s">
        <v>12</v>
      </c>
      <c r="K6">
        <f t="shared" si="0"/>
        <v>14.992349216790304</v>
      </c>
      <c r="L6" t="str">
        <f t="shared" si="1"/>
        <v>Underweight</v>
      </c>
    </row>
    <row r="7" spans="1:12" x14ac:dyDescent="0.3">
      <c r="A7" t="s">
        <v>18</v>
      </c>
      <c r="B7">
        <v>51</v>
      </c>
      <c r="C7" t="s">
        <v>19</v>
      </c>
      <c r="D7">
        <v>108.82</v>
      </c>
      <c r="E7">
        <v>21.54</v>
      </c>
      <c r="F7">
        <v>0</v>
      </c>
      <c r="G7">
        <v>1</v>
      </c>
      <c r="H7">
        <v>1</v>
      </c>
      <c r="I7">
        <v>0.9</v>
      </c>
      <c r="J7" t="s">
        <v>20</v>
      </c>
      <c r="K7">
        <f t="shared" si="0"/>
        <v>18.189813900132215</v>
      </c>
      <c r="L7" t="str">
        <f t="shared" si="1"/>
        <v>Underweight</v>
      </c>
    </row>
    <row r="8" spans="1:12" x14ac:dyDescent="0.3">
      <c r="A8" t="s">
        <v>21</v>
      </c>
      <c r="B8">
        <v>52</v>
      </c>
      <c r="C8" t="s">
        <v>19</v>
      </c>
      <c r="D8">
        <v>110.28</v>
      </c>
      <c r="E8">
        <v>21.49</v>
      </c>
      <c r="F8">
        <v>4</v>
      </c>
      <c r="G8">
        <v>0</v>
      </c>
      <c r="H8">
        <v>2</v>
      </c>
      <c r="I8">
        <v>2.8</v>
      </c>
      <c r="J8" t="s">
        <v>12</v>
      </c>
      <c r="K8">
        <f t="shared" si="0"/>
        <v>17.67025840775398</v>
      </c>
      <c r="L8" t="str">
        <f t="shared" si="1"/>
        <v>Underweight</v>
      </c>
    </row>
    <row r="9" spans="1:12" x14ac:dyDescent="0.3">
      <c r="A9" t="s">
        <v>22</v>
      </c>
      <c r="B9">
        <v>52</v>
      </c>
      <c r="C9" t="s">
        <v>11</v>
      </c>
      <c r="D9">
        <v>102.65</v>
      </c>
      <c r="E9">
        <v>19.55</v>
      </c>
      <c r="F9">
        <v>2</v>
      </c>
      <c r="G9">
        <v>2</v>
      </c>
      <c r="H9">
        <v>1</v>
      </c>
      <c r="I9">
        <v>1.3</v>
      </c>
      <c r="J9" t="s">
        <v>14</v>
      </c>
      <c r="K9">
        <f t="shared" si="0"/>
        <v>18.553628408784363</v>
      </c>
      <c r="L9" t="str">
        <f t="shared" si="1"/>
        <v>Healthy Weight</v>
      </c>
    </row>
    <row r="10" spans="1:12" x14ac:dyDescent="0.3">
      <c r="A10" t="s">
        <v>23</v>
      </c>
      <c r="B10">
        <v>28</v>
      </c>
      <c r="C10" t="s">
        <v>19</v>
      </c>
      <c r="D10">
        <v>91.47</v>
      </c>
      <c r="E10">
        <v>16.39</v>
      </c>
      <c r="F10">
        <v>3</v>
      </c>
      <c r="G10">
        <v>2</v>
      </c>
      <c r="H10">
        <v>3</v>
      </c>
      <c r="I10">
        <v>0.8</v>
      </c>
      <c r="J10" t="s">
        <v>24</v>
      </c>
      <c r="K10">
        <f t="shared" si="0"/>
        <v>19.589420799631078</v>
      </c>
      <c r="L10" t="str">
        <f t="shared" si="1"/>
        <v>Healthy Weight</v>
      </c>
    </row>
    <row r="11" spans="1:12" x14ac:dyDescent="0.3">
      <c r="A11" t="s">
        <v>25</v>
      </c>
      <c r="B11">
        <v>44</v>
      </c>
      <c r="C11" t="s">
        <v>11</v>
      </c>
      <c r="D11">
        <v>111.89</v>
      </c>
      <c r="E11">
        <v>17.95</v>
      </c>
      <c r="F11">
        <v>1</v>
      </c>
      <c r="G11">
        <v>3</v>
      </c>
      <c r="H11">
        <v>0</v>
      </c>
      <c r="I11">
        <v>0.8</v>
      </c>
      <c r="J11" t="s">
        <v>14</v>
      </c>
      <c r="K11">
        <f t="shared" si="0"/>
        <v>14.337779767724934</v>
      </c>
      <c r="L11" t="str">
        <f t="shared" si="1"/>
        <v>Underweight</v>
      </c>
    </row>
    <row r="12" spans="1:12" x14ac:dyDescent="0.3">
      <c r="A12" t="s">
        <v>26</v>
      </c>
      <c r="B12">
        <v>25</v>
      </c>
      <c r="C12" t="s">
        <v>19</v>
      </c>
      <c r="D12">
        <v>96.25</v>
      </c>
      <c r="E12">
        <v>13.5</v>
      </c>
      <c r="F12">
        <v>3</v>
      </c>
      <c r="G12">
        <v>4</v>
      </c>
      <c r="H12">
        <v>0</v>
      </c>
      <c r="I12">
        <v>0.6</v>
      </c>
      <c r="J12" t="s">
        <v>27</v>
      </c>
      <c r="K12">
        <f t="shared" si="0"/>
        <v>14.572440546466519</v>
      </c>
      <c r="L12" t="str">
        <f t="shared" si="1"/>
        <v>Underweight</v>
      </c>
    </row>
    <row r="13" spans="1:12" x14ac:dyDescent="0.3">
      <c r="A13" t="s">
        <v>28</v>
      </c>
      <c r="B13">
        <v>32</v>
      </c>
      <c r="C13" t="s">
        <v>11</v>
      </c>
      <c r="D13">
        <v>96.02</v>
      </c>
      <c r="E13">
        <v>16.55</v>
      </c>
      <c r="F13">
        <v>2</v>
      </c>
      <c r="G13">
        <v>0</v>
      </c>
      <c r="H13">
        <v>2</v>
      </c>
      <c r="I13">
        <v>1</v>
      </c>
      <c r="J13" t="s">
        <v>24</v>
      </c>
      <c r="K13">
        <f t="shared" si="0"/>
        <v>17.950419185130364</v>
      </c>
      <c r="L13" t="str">
        <f t="shared" si="1"/>
        <v>Underweight</v>
      </c>
    </row>
    <row r="14" spans="1:12" x14ac:dyDescent="0.3">
      <c r="A14" t="s">
        <v>29</v>
      </c>
      <c r="B14">
        <v>34</v>
      </c>
      <c r="C14" t="s">
        <v>19</v>
      </c>
      <c r="D14">
        <v>97.37</v>
      </c>
      <c r="E14">
        <v>15.55</v>
      </c>
      <c r="F14">
        <v>0</v>
      </c>
      <c r="G14">
        <v>1</v>
      </c>
      <c r="H14">
        <v>2</v>
      </c>
      <c r="I14">
        <v>1.3</v>
      </c>
      <c r="J14" t="s">
        <v>20</v>
      </c>
      <c r="K14">
        <f t="shared" si="0"/>
        <v>16.401367255945466</v>
      </c>
      <c r="L14" t="str">
        <f t="shared" si="1"/>
        <v>Underweight</v>
      </c>
    </row>
    <row r="15" spans="1:12" x14ac:dyDescent="0.3">
      <c r="A15" t="s">
        <v>30</v>
      </c>
      <c r="B15">
        <v>49</v>
      </c>
      <c r="C15" t="s">
        <v>19</v>
      </c>
      <c r="D15">
        <v>108.39</v>
      </c>
      <c r="E15">
        <v>20.100000000000001</v>
      </c>
      <c r="F15">
        <v>0</v>
      </c>
      <c r="G15">
        <v>2</v>
      </c>
      <c r="H15">
        <v>3</v>
      </c>
      <c r="I15">
        <v>0.6</v>
      </c>
      <c r="J15" t="s">
        <v>20</v>
      </c>
      <c r="K15">
        <f t="shared" si="0"/>
        <v>17.108724180222072</v>
      </c>
      <c r="L15" t="str">
        <f t="shared" si="1"/>
        <v>Underweight</v>
      </c>
    </row>
    <row r="16" spans="1:12" x14ac:dyDescent="0.3">
      <c r="A16" t="s">
        <v>31</v>
      </c>
      <c r="B16">
        <v>25</v>
      </c>
      <c r="C16" t="s">
        <v>19</v>
      </c>
      <c r="D16">
        <v>92.58</v>
      </c>
      <c r="E16">
        <v>15.13</v>
      </c>
      <c r="F16">
        <v>2</v>
      </c>
      <c r="G16">
        <v>2</v>
      </c>
      <c r="H16">
        <v>2</v>
      </c>
      <c r="I16">
        <v>1.6</v>
      </c>
      <c r="J16" t="s">
        <v>14</v>
      </c>
      <c r="K16">
        <f t="shared" si="0"/>
        <v>17.652433135313405</v>
      </c>
      <c r="L16" t="str">
        <f t="shared" si="1"/>
        <v>Underweight</v>
      </c>
    </row>
    <row r="17" spans="1:12" x14ac:dyDescent="0.3">
      <c r="A17" t="s">
        <v>32</v>
      </c>
      <c r="B17">
        <v>38</v>
      </c>
      <c r="C17" t="s">
        <v>19</v>
      </c>
      <c r="D17">
        <v>99.65</v>
      </c>
      <c r="E17">
        <v>16.940000000000001</v>
      </c>
      <c r="F17">
        <v>1</v>
      </c>
      <c r="G17">
        <v>3</v>
      </c>
      <c r="H17">
        <v>3</v>
      </c>
      <c r="I17">
        <v>2.1</v>
      </c>
      <c r="J17" t="s">
        <v>14</v>
      </c>
      <c r="K17">
        <f t="shared" si="0"/>
        <v>17.059205462973896</v>
      </c>
      <c r="L17" t="str">
        <f t="shared" si="1"/>
        <v>Underweight</v>
      </c>
    </row>
    <row r="18" spans="1:12" x14ac:dyDescent="0.3">
      <c r="A18" t="s">
        <v>33</v>
      </c>
      <c r="B18">
        <v>38</v>
      </c>
      <c r="C18" t="s">
        <v>11</v>
      </c>
      <c r="D18">
        <v>98.91</v>
      </c>
      <c r="E18">
        <v>19.489999999999998</v>
      </c>
      <c r="F18">
        <v>0</v>
      </c>
      <c r="G18">
        <v>0</v>
      </c>
      <c r="H18">
        <v>3</v>
      </c>
      <c r="I18">
        <v>3.1</v>
      </c>
      <c r="J18" t="s">
        <v>14</v>
      </c>
      <c r="K18">
        <f t="shared" si="0"/>
        <v>19.92193117497148</v>
      </c>
      <c r="L18" t="str">
        <f t="shared" si="1"/>
        <v>Healthy Weight</v>
      </c>
    </row>
    <row r="19" spans="1:12" x14ac:dyDescent="0.3">
      <c r="A19" t="s">
        <v>34</v>
      </c>
      <c r="B19">
        <v>25</v>
      </c>
      <c r="C19" t="s">
        <v>11</v>
      </c>
      <c r="D19">
        <v>96.42</v>
      </c>
      <c r="E19">
        <v>14.69</v>
      </c>
      <c r="F19">
        <v>1</v>
      </c>
      <c r="G19">
        <v>3</v>
      </c>
      <c r="H19">
        <v>2</v>
      </c>
      <c r="I19">
        <v>1.2</v>
      </c>
      <c r="J19" t="s">
        <v>24</v>
      </c>
      <c r="K19">
        <f t="shared" si="0"/>
        <v>15.801108000799067</v>
      </c>
      <c r="L19" t="str">
        <f t="shared" si="1"/>
        <v>Underweight</v>
      </c>
    </row>
    <row r="20" spans="1:12" x14ac:dyDescent="0.3">
      <c r="A20" t="s">
        <v>35</v>
      </c>
      <c r="B20">
        <v>57</v>
      </c>
      <c r="C20" t="s">
        <v>11</v>
      </c>
      <c r="D20">
        <v>109.26</v>
      </c>
      <c r="E20">
        <v>20.61</v>
      </c>
      <c r="F20">
        <v>3</v>
      </c>
      <c r="G20">
        <v>2</v>
      </c>
      <c r="H20">
        <v>1</v>
      </c>
      <c r="I20">
        <v>2</v>
      </c>
      <c r="J20" t="s">
        <v>20</v>
      </c>
      <c r="K20">
        <f t="shared" si="0"/>
        <v>17.264563375422682</v>
      </c>
      <c r="L20" t="str">
        <f t="shared" si="1"/>
        <v>Underweight</v>
      </c>
    </row>
    <row r="21" spans="1:12" x14ac:dyDescent="0.3">
      <c r="A21" t="s">
        <v>36</v>
      </c>
      <c r="B21">
        <v>34</v>
      </c>
      <c r="C21" t="s">
        <v>19</v>
      </c>
      <c r="D21">
        <v>98.22</v>
      </c>
      <c r="E21">
        <v>15.49</v>
      </c>
      <c r="F21">
        <v>1</v>
      </c>
      <c r="G21">
        <v>2</v>
      </c>
      <c r="H21">
        <v>0</v>
      </c>
      <c r="I21">
        <v>0.8</v>
      </c>
      <c r="J21" t="s">
        <v>14</v>
      </c>
      <c r="K21">
        <f>E21 / ((D21 / 100) ^ 2)</f>
        <v>16.056524938447225</v>
      </c>
      <c r="L21" t="str">
        <f t="shared" si="1"/>
        <v>Underweight</v>
      </c>
    </row>
    <row r="22" spans="1:12" x14ac:dyDescent="0.3">
      <c r="A22" t="s">
        <v>37</v>
      </c>
      <c r="B22">
        <v>35</v>
      </c>
      <c r="C22" t="s">
        <v>11</v>
      </c>
      <c r="D22">
        <v>101.02</v>
      </c>
      <c r="E22">
        <v>16.760000000000002</v>
      </c>
      <c r="F22">
        <v>3</v>
      </c>
      <c r="G22">
        <v>2</v>
      </c>
      <c r="H22">
        <v>2</v>
      </c>
      <c r="I22">
        <v>1.9</v>
      </c>
      <c r="J22" t="s">
        <v>12</v>
      </c>
      <c r="K22">
        <f t="shared" si="0"/>
        <v>16.423256883921791</v>
      </c>
      <c r="L22" t="str">
        <f t="shared" si="1"/>
        <v>Underweight</v>
      </c>
    </row>
    <row r="23" spans="1:12" x14ac:dyDescent="0.3">
      <c r="A23" t="s">
        <v>38</v>
      </c>
      <c r="B23">
        <v>56</v>
      </c>
      <c r="C23" t="s">
        <v>19</v>
      </c>
      <c r="D23">
        <v>111.44</v>
      </c>
      <c r="E23">
        <v>21.87</v>
      </c>
      <c r="F23">
        <v>4</v>
      </c>
      <c r="G23">
        <v>1</v>
      </c>
      <c r="H23">
        <v>2</v>
      </c>
      <c r="I23">
        <v>1.9</v>
      </c>
      <c r="J23" t="s">
        <v>20</v>
      </c>
      <c r="K23">
        <f t="shared" si="0"/>
        <v>17.610292772445963</v>
      </c>
      <c r="L23" t="str">
        <f t="shared" si="1"/>
        <v>Underweight</v>
      </c>
    </row>
    <row r="24" spans="1:12" x14ac:dyDescent="0.3">
      <c r="A24" t="s">
        <v>39</v>
      </c>
      <c r="B24">
        <v>46</v>
      </c>
      <c r="C24" t="s">
        <v>19</v>
      </c>
      <c r="D24">
        <v>103.85</v>
      </c>
      <c r="E24">
        <v>19.47</v>
      </c>
      <c r="F24">
        <v>2</v>
      </c>
      <c r="G24">
        <v>4</v>
      </c>
      <c r="H24">
        <v>3</v>
      </c>
      <c r="I24">
        <v>2.9</v>
      </c>
      <c r="J24" t="s">
        <v>20</v>
      </c>
      <c r="K24">
        <f t="shared" si="0"/>
        <v>18.053148301698982</v>
      </c>
      <c r="L24" t="str">
        <f t="shared" si="1"/>
        <v>Underweight</v>
      </c>
    </row>
    <row r="25" spans="1:12" x14ac:dyDescent="0.3">
      <c r="A25" t="s">
        <v>40</v>
      </c>
      <c r="B25">
        <v>35</v>
      </c>
      <c r="C25" t="s">
        <v>11</v>
      </c>
      <c r="D25">
        <v>102.67</v>
      </c>
      <c r="E25">
        <v>13.79</v>
      </c>
      <c r="F25">
        <v>4</v>
      </c>
      <c r="G25">
        <v>1</v>
      </c>
      <c r="H25">
        <v>1</v>
      </c>
      <c r="I25">
        <v>2</v>
      </c>
      <c r="J25" t="s">
        <v>14</v>
      </c>
      <c r="K25">
        <f t="shared" si="0"/>
        <v>13.082090287312587</v>
      </c>
      <c r="L25" t="str">
        <f>IF(K25&lt;18.5, "Underweight", IF(K25&lt;25, "Healthy Weight", IF(K25&lt;30, "Overweight", "Obese")))</f>
        <v>Underweight</v>
      </c>
    </row>
    <row r="26" spans="1:12" x14ac:dyDescent="0.3">
      <c r="A26" t="s">
        <v>41</v>
      </c>
      <c r="B26">
        <v>52</v>
      </c>
      <c r="C26" t="s">
        <v>19</v>
      </c>
      <c r="D26">
        <v>107.91</v>
      </c>
      <c r="E26">
        <v>19.27</v>
      </c>
      <c r="F26">
        <v>4</v>
      </c>
      <c r="G26">
        <v>0</v>
      </c>
      <c r="H26">
        <v>0</v>
      </c>
      <c r="I26">
        <v>0.8</v>
      </c>
      <c r="J26" t="s">
        <v>20</v>
      </c>
      <c r="K26">
        <f t="shared" si="0"/>
        <v>16.548488389191526</v>
      </c>
      <c r="L26" t="str">
        <f t="shared" si="1"/>
        <v>Underweight</v>
      </c>
    </row>
    <row r="27" spans="1:12" x14ac:dyDescent="0.3">
      <c r="A27" t="s">
        <v>42</v>
      </c>
      <c r="B27">
        <v>30</v>
      </c>
      <c r="C27" t="s">
        <v>11</v>
      </c>
      <c r="D27">
        <v>96.67</v>
      </c>
      <c r="E27">
        <v>15.72</v>
      </c>
      <c r="F27">
        <v>3</v>
      </c>
      <c r="G27">
        <v>1</v>
      </c>
      <c r="H27">
        <v>2</v>
      </c>
      <c r="I27">
        <v>1.2</v>
      </c>
      <c r="J27" t="s">
        <v>24</v>
      </c>
      <c r="K27">
        <f t="shared" si="0"/>
        <v>16.821669829165565</v>
      </c>
      <c r="L27" t="str">
        <f t="shared" si="1"/>
        <v>Underweight</v>
      </c>
    </row>
    <row r="28" spans="1:12" x14ac:dyDescent="0.3">
      <c r="A28" t="s">
        <v>43</v>
      </c>
      <c r="B28">
        <v>35</v>
      </c>
      <c r="C28" t="s">
        <v>19</v>
      </c>
      <c r="D28">
        <v>101.41</v>
      </c>
      <c r="E28">
        <v>19.45</v>
      </c>
      <c r="F28">
        <v>0</v>
      </c>
      <c r="G28">
        <v>4</v>
      </c>
      <c r="H28">
        <v>2</v>
      </c>
      <c r="I28">
        <v>1.9</v>
      </c>
      <c r="J28" t="s">
        <v>12</v>
      </c>
      <c r="K28">
        <f t="shared" si="0"/>
        <v>18.912896252767929</v>
      </c>
      <c r="L28" t="str">
        <f t="shared" si="1"/>
        <v>Healthy Weight</v>
      </c>
    </row>
    <row r="29" spans="1:12" x14ac:dyDescent="0.3">
      <c r="A29" t="s">
        <v>44</v>
      </c>
      <c r="B29">
        <v>32</v>
      </c>
      <c r="C29" t="s">
        <v>11</v>
      </c>
      <c r="D29">
        <v>102.28</v>
      </c>
      <c r="E29">
        <v>11.75</v>
      </c>
      <c r="F29">
        <v>2</v>
      </c>
      <c r="G29">
        <v>1</v>
      </c>
      <c r="H29">
        <v>1</v>
      </c>
      <c r="I29">
        <v>1.3</v>
      </c>
      <c r="J29" t="s">
        <v>20</v>
      </c>
      <c r="K29">
        <f t="shared" si="0"/>
        <v>11.23198275256877</v>
      </c>
      <c r="L29" t="str">
        <f t="shared" si="1"/>
        <v>Underweight</v>
      </c>
    </row>
    <row r="30" spans="1:12" x14ac:dyDescent="0.3">
      <c r="A30" t="s">
        <v>45</v>
      </c>
      <c r="B30">
        <v>46</v>
      </c>
      <c r="C30" t="s">
        <v>19</v>
      </c>
      <c r="D30">
        <v>105.06</v>
      </c>
      <c r="E30">
        <v>17.260000000000002</v>
      </c>
      <c r="F30">
        <v>4</v>
      </c>
      <c r="G30">
        <v>1</v>
      </c>
      <c r="H30">
        <v>2</v>
      </c>
      <c r="I30">
        <v>0.8</v>
      </c>
      <c r="J30" t="s">
        <v>14</v>
      </c>
      <c r="K30">
        <f t="shared" si="0"/>
        <v>15.637452318001349</v>
      </c>
      <c r="L30" t="str">
        <f t="shared" si="1"/>
        <v>Underweight</v>
      </c>
    </row>
    <row r="31" spans="1:12" x14ac:dyDescent="0.3">
      <c r="A31" t="s">
        <v>46</v>
      </c>
      <c r="B31">
        <v>43</v>
      </c>
      <c r="C31" t="s">
        <v>19</v>
      </c>
      <c r="D31">
        <v>103.22</v>
      </c>
      <c r="E31">
        <v>20.74</v>
      </c>
      <c r="F31">
        <v>2</v>
      </c>
      <c r="G31">
        <v>2</v>
      </c>
      <c r="H31">
        <v>3</v>
      </c>
      <c r="I31">
        <v>2.1</v>
      </c>
      <c r="J31" t="s">
        <v>12</v>
      </c>
      <c r="K31">
        <f t="shared" si="0"/>
        <v>19.466193791459283</v>
      </c>
      <c r="L31" t="str">
        <f t="shared" si="1"/>
        <v>Healthy Weight</v>
      </c>
    </row>
    <row r="32" spans="1:12" x14ac:dyDescent="0.3">
      <c r="A32" t="s">
        <v>47</v>
      </c>
      <c r="B32">
        <v>46</v>
      </c>
      <c r="C32" t="s">
        <v>11</v>
      </c>
      <c r="D32">
        <v>105.42</v>
      </c>
      <c r="E32">
        <v>20.23</v>
      </c>
      <c r="F32">
        <v>4</v>
      </c>
      <c r="G32">
        <v>0</v>
      </c>
      <c r="H32">
        <v>2</v>
      </c>
      <c r="I32">
        <v>2.2999999999999998</v>
      </c>
      <c r="J32" t="s">
        <v>27</v>
      </c>
      <c r="K32">
        <f t="shared" si="0"/>
        <v>18.203288786295403</v>
      </c>
      <c r="L32" t="str">
        <f t="shared" si="1"/>
        <v>Underweight</v>
      </c>
    </row>
    <row r="33" spans="1:12" x14ac:dyDescent="0.3">
      <c r="A33" t="s">
        <v>48</v>
      </c>
      <c r="B33">
        <v>32</v>
      </c>
      <c r="C33" t="s">
        <v>19</v>
      </c>
      <c r="D33">
        <v>97.29</v>
      </c>
      <c r="E33">
        <v>12.89</v>
      </c>
      <c r="F33">
        <v>4</v>
      </c>
      <c r="G33">
        <v>2</v>
      </c>
      <c r="H33">
        <v>2</v>
      </c>
      <c r="I33">
        <v>1.3</v>
      </c>
      <c r="J33" t="s">
        <v>14</v>
      </c>
      <c r="K33">
        <f t="shared" si="0"/>
        <v>13.618099737124188</v>
      </c>
      <c r="L33" t="str">
        <f t="shared" si="1"/>
        <v>Underweight</v>
      </c>
    </row>
    <row r="34" spans="1:12" x14ac:dyDescent="0.3">
      <c r="A34" t="s">
        <v>49</v>
      </c>
      <c r="B34">
        <v>46</v>
      </c>
      <c r="C34" t="s">
        <v>19</v>
      </c>
      <c r="D34">
        <v>106.22</v>
      </c>
      <c r="E34">
        <v>19.48</v>
      </c>
      <c r="F34">
        <v>4</v>
      </c>
      <c r="G34">
        <v>3</v>
      </c>
      <c r="H34">
        <v>0</v>
      </c>
      <c r="I34">
        <v>0.7</v>
      </c>
      <c r="J34" t="s">
        <v>12</v>
      </c>
      <c r="K34">
        <f t="shared" si="0"/>
        <v>17.26538862847617</v>
      </c>
      <c r="L34" t="str">
        <f t="shared" si="1"/>
        <v>Underweight</v>
      </c>
    </row>
    <row r="35" spans="1:12" x14ac:dyDescent="0.3">
      <c r="A35" t="s">
        <v>50</v>
      </c>
      <c r="B35">
        <v>56</v>
      </c>
      <c r="C35" t="s">
        <v>11</v>
      </c>
      <c r="D35">
        <v>114.63</v>
      </c>
      <c r="E35">
        <v>20.11</v>
      </c>
      <c r="F35">
        <v>2</v>
      </c>
      <c r="G35">
        <v>1</v>
      </c>
      <c r="H35">
        <v>0</v>
      </c>
      <c r="I35">
        <v>0.8</v>
      </c>
      <c r="J35" t="s">
        <v>27</v>
      </c>
      <c r="K35">
        <f t="shared" si="0"/>
        <v>15.304371025015923</v>
      </c>
      <c r="L35" t="str">
        <f t="shared" si="1"/>
        <v>Underweight</v>
      </c>
    </row>
    <row r="36" spans="1:12" x14ac:dyDescent="0.3">
      <c r="A36" t="s">
        <v>51</v>
      </c>
      <c r="B36">
        <v>30</v>
      </c>
      <c r="C36" t="s">
        <v>11</v>
      </c>
      <c r="D36">
        <v>93.15</v>
      </c>
      <c r="E36">
        <v>14.24</v>
      </c>
      <c r="F36">
        <v>1</v>
      </c>
      <c r="G36">
        <v>1</v>
      </c>
      <c r="H36">
        <v>2</v>
      </c>
      <c r="I36">
        <v>1.3</v>
      </c>
      <c r="J36" t="s">
        <v>14</v>
      </c>
      <c r="K36">
        <f>E36 / ((D36 / 100) ^ 2)</f>
        <v>16.411348608910586</v>
      </c>
      <c r="L36" t="str">
        <f t="shared" si="1"/>
        <v>Underweight</v>
      </c>
    </row>
    <row r="37" spans="1:12" x14ac:dyDescent="0.3">
      <c r="A37" t="s">
        <v>52</v>
      </c>
      <c r="B37">
        <v>44</v>
      </c>
      <c r="C37" t="s">
        <v>11</v>
      </c>
      <c r="D37">
        <v>102.36</v>
      </c>
      <c r="E37">
        <v>19.600000000000001</v>
      </c>
      <c r="F37">
        <v>1</v>
      </c>
      <c r="G37">
        <v>2</v>
      </c>
      <c r="H37">
        <v>0</v>
      </c>
      <c r="I37">
        <v>0.9</v>
      </c>
      <c r="J37" t="s">
        <v>27</v>
      </c>
      <c r="K37">
        <f t="shared" si="0"/>
        <v>18.706628300517327</v>
      </c>
      <c r="L37" t="str">
        <f t="shared" si="1"/>
        <v>Healthy Weight</v>
      </c>
    </row>
    <row r="38" spans="1:12" x14ac:dyDescent="0.3">
      <c r="A38" t="s">
        <v>53</v>
      </c>
      <c r="B38">
        <v>43</v>
      </c>
      <c r="C38" t="s">
        <v>11</v>
      </c>
      <c r="D38">
        <v>105.34</v>
      </c>
      <c r="E38">
        <v>14.14</v>
      </c>
      <c r="F38">
        <v>4</v>
      </c>
      <c r="G38">
        <v>3</v>
      </c>
      <c r="H38">
        <v>0</v>
      </c>
      <c r="I38">
        <v>0.8</v>
      </c>
      <c r="J38" t="s">
        <v>20</v>
      </c>
      <c r="K38">
        <f t="shared" si="0"/>
        <v>12.742738810730817</v>
      </c>
      <c r="L38" t="str">
        <f t="shared" si="1"/>
        <v>Underweight</v>
      </c>
    </row>
    <row r="39" spans="1:12" x14ac:dyDescent="0.3">
      <c r="A39" t="s">
        <v>54</v>
      </c>
      <c r="B39">
        <v>31</v>
      </c>
      <c r="C39" t="s">
        <v>11</v>
      </c>
      <c r="D39">
        <v>96.26</v>
      </c>
      <c r="E39">
        <v>17.63</v>
      </c>
      <c r="F39">
        <v>3</v>
      </c>
      <c r="G39">
        <v>3</v>
      </c>
      <c r="H39">
        <v>2</v>
      </c>
      <c r="I39">
        <v>1.7</v>
      </c>
      <c r="J39" t="s">
        <v>20</v>
      </c>
      <c r="K39">
        <f t="shared" si="0"/>
        <v>19.026574134418222</v>
      </c>
      <c r="L39" t="str">
        <f t="shared" si="1"/>
        <v>Healthy Weight</v>
      </c>
    </row>
    <row r="40" spans="1:12" x14ac:dyDescent="0.3">
      <c r="A40" t="s">
        <v>55</v>
      </c>
      <c r="B40">
        <v>28</v>
      </c>
      <c r="C40" t="s">
        <v>19</v>
      </c>
      <c r="D40">
        <v>97.25</v>
      </c>
      <c r="E40">
        <v>14.98</v>
      </c>
      <c r="F40">
        <v>3</v>
      </c>
      <c r="G40">
        <v>4</v>
      </c>
      <c r="H40">
        <v>3</v>
      </c>
      <c r="I40">
        <v>3.2</v>
      </c>
      <c r="J40" t="s">
        <v>14</v>
      </c>
      <c r="K40">
        <f t="shared" si="0"/>
        <v>15.839176320537135</v>
      </c>
      <c r="L40" t="str">
        <f t="shared" si="1"/>
        <v>Underweight</v>
      </c>
    </row>
    <row r="41" spans="1:12" x14ac:dyDescent="0.3">
      <c r="A41" t="s">
        <v>56</v>
      </c>
      <c r="B41">
        <v>48</v>
      </c>
      <c r="C41" t="s">
        <v>19</v>
      </c>
      <c r="D41">
        <v>108.23</v>
      </c>
      <c r="E41">
        <v>21</v>
      </c>
      <c r="F41">
        <v>3</v>
      </c>
      <c r="G41">
        <v>4</v>
      </c>
      <c r="H41">
        <v>0</v>
      </c>
      <c r="I41">
        <v>0.6</v>
      </c>
      <c r="J41" t="s">
        <v>14</v>
      </c>
      <c r="K41">
        <f t="shared" si="0"/>
        <v>17.927675301525785</v>
      </c>
      <c r="L41" t="str">
        <f t="shared" si="1"/>
        <v>Underweight</v>
      </c>
    </row>
    <row r="42" spans="1:12" x14ac:dyDescent="0.3">
      <c r="A42" t="s">
        <v>57</v>
      </c>
      <c r="B42">
        <v>27</v>
      </c>
      <c r="C42" t="s">
        <v>19</v>
      </c>
      <c r="D42">
        <v>97</v>
      </c>
      <c r="E42">
        <v>15.12</v>
      </c>
      <c r="F42">
        <v>4</v>
      </c>
      <c r="G42">
        <v>0</v>
      </c>
      <c r="H42">
        <v>1</v>
      </c>
      <c r="I42">
        <v>1.7</v>
      </c>
      <c r="J42" t="s">
        <v>24</v>
      </c>
      <c r="K42">
        <f t="shared" si="0"/>
        <v>16.069720480391116</v>
      </c>
      <c r="L42" t="str">
        <f t="shared" si="1"/>
        <v>Underweight</v>
      </c>
    </row>
    <row r="43" spans="1:12" x14ac:dyDescent="0.3">
      <c r="A43" t="s">
        <v>58</v>
      </c>
      <c r="B43">
        <v>45</v>
      </c>
      <c r="C43" t="s">
        <v>19</v>
      </c>
      <c r="D43">
        <v>107.27</v>
      </c>
      <c r="E43">
        <v>22.7</v>
      </c>
      <c r="F43">
        <v>4</v>
      </c>
      <c r="G43">
        <v>0</v>
      </c>
      <c r="H43">
        <v>0</v>
      </c>
      <c r="I43">
        <v>0.8</v>
      </c>
      <c r="J43" t="s">
        <v>12</v>
      </c>
      <c r="K43">
        <f t="shared" si="0"/>
        <v>19.727374806364303</v>
      </c>
      <c r="L43" t="str">
        <f t="shared" si="1"/>
        <v>Healthy Weight</v>
      </c>
    </row>
    <row r="44" spans="1:12" x14ac:dyDescent="0.3">
      <c r="A44" t="s">
        <v>59</v>
      </c>
      <c r="B44">
        <v>54</v>
      </c>
      <c r="C44" t="s">
        <v>19</v>
      </c>
      <c r="D44">
        <v>112.46</v>
      </c>
      <c r="E44">
        <v>21.36</v>
      </c>
      <c r="F44">
        <v>2</v>
      </c>
      <c r="G44">
        <v>0</v>
      </c>
      <c r="H44">
        <v>1</v>
      </c>
      <c r="I44">
        <v>1</v>
      </c>
      <c r="J44" t="s">
        <v>14</v>
      </c>
      <c r="K44">
        <f t="shared" si="0"/>
        <v>16.889044889405064</v>
      </c>
      <c r="L44" t="str">
        <f t="shared" si="1"/>
        <v>Underweight</v>
      </c>
    </row>
    <row r="45" spans="1:12" x14ac:dyDescent="0.3">
      <c r="A45" t="s">
        <v>60</v>
      </c>
      <c r="B45">
        <v>40</v>
      </c>
      <c r="C45" t="s">
        <v>19</v>
      </c>
      <c r="D45">
        <v>103.32</v>
      </c>
      <c r="E45">
        <v>17.41</v>
      </c>
      <c r="F45">
        <v>1</v>
      </c>
      <c r="G45">
        <v>0</v>
      </c>
      <c r="H45">
        <v>2</v>
      </c>
      <c r="I45">
        <v>2</v>
      </c>
      <c r="J45" t="s">
        <v>20</v>
      </c>
      <c r="K45">
        <f t="shared" si="0"/>
        <v>16.309099267089127</v>
      </c>
      <c r="L45" t="str">
        <f t="shared" si="1"/>
        <v>Underweight</v>
      </c>
    </row>
    <row r="46" spans="1:12" x14ac:dyDescent="0.3">
      <c r="A46" t="s">
        <v>61</v>
      </c>
      <c r="B46">
        <v>52</v>
      </c>
      <c r="C46" t="s">
        <v>11</v>
      </c>
      <c r="D46">
        <v>107.31</v>
      </c>
      <c r="E46">
        <v>17.34</v>
      </c>
      <c r="F46">
        <v>1</v>
      </c>
      <c r="G46">
        <v>3</v>
      </c>
      <c r="H46">
        <v>0</v>
      </c>
      <c r="I46">
        <v>0.5</v>
      </c>
      <c r="J46" t="s">
        <v>24</v>
      </c>
      <c r="K46">
        <f t="shared" si="0"/>
        <v>15.058048908803379</v>
      </c>
      <c r="L46" t="str">
        <f t="shared" si="1"/>
        <v>Underweight</v>
      </c>
    </row>
    <row r="47" spans="1:12" x14ac:dyDescent="0.3">
      <c r="A47" t="s">
        <v>62</v>
      </c>
      <c r="B47">
        <v>34</v>
      </c>
      <c r="C47" t="s">
        <v>19</v>
      </c>
      <c r="D47">
        <v>99.12</v>
      </c>
      <c r="E47">
        <v>17.43</v>
      </c>
      <c r="F47">
        <v>3</v>
      </c>
      <c r="G47">
        <v>4</v>
      </c>
      <c r="H47">
        <v>3</v>
      </c>
      <c r="I47">
        <v>1.6</v>
      </c>
      <c r="J47" t="s">
        <v>12</v>
      </c>
      <c r="K47">
        <f t="shared" si="0"/>
        <v>17.740865378038603</v>
      </c>
      <c r="L47" t="str">
        <f>IF(K47&lt;18.5, "Underweight", IF(K47&lt;25, "Healthy Weight", IF(K47&lt;30, "Overweight", "Obese")))</f>
        <v>Underweight</v>
      </c>
    </row>
    <row r="48" spans="1:12" x14ac:dyDescent="0.3">
      <c r="A48" t="s">
        <v>63</v>
      </c>
      <c r="B48">
        <v>27</v>
      </c>
      <c r="C48" t="s">
        <v>19</v>
      </c>
      <c r="D48">
        <v>93.16</v>
      </c>
      <c r="E48">
        <v>15.53</v>
      </c>
      <c r="F48">
        <v>2</v>
      </c>
      <c r="G48">
        <v>2</v>
      </c>
      <c r="H48">
        <v>0</v>
      </c>
      <c r="I48">
        <v>0.8</v>
      </c>
      <c r="J48" t="s">
        <v>14</v>
      </c>
      <c r="K48">
        <f t="shared" si="0"/>
        <v>17.89420860909388</v>
      </c>
      <c r="L48" t="str">
        <f t="shared" si="1"/>
        <v>Underweight</v>
      </c>
    </row>
    <row r="49" spans="1:12" x14ac:dyDescent="0.3">
      <c r="A49" t="s">
        <v>64</v>
      </c>
      <c r="B49">
        <v>55</v>
      </c>
      <c r="C49" t="s">
        <v>19</v>
      </c>
      <c r="D49">
        <v>111.49</v>
      </c>
      <c r="E49">
        <v>20.23</v>
      </c>
      <c r="F49">
        <v>1</v>
      </c>
      <c r="G49">
        <v>0</v>
      </c>
      <c r="H49">
        <v>1</v>
      </c>
      <c r="I49">
        <v>1.6</v>
      </c>
      <c r="J49" t="s">
        <v>24</v>
      </c>
      <c r="K49">
        <f t="shared" si="0"/>
        <v>16.27511447065158</v>
      </c>
      <c r="L49" t="str">
        <f t="shared" si="1"/>
        <v>Underweight</v>
      </c>
    </row>
    <row r="50" spans="1:12" x14ac:dyDescent="0.3">
      <c r="A50" t="s">
        <v>65</v>
      </c>
      <c r="B50">
        <v>42</v>
      </c>
      <c r="C50" t="s">
        <v>11</v>
      </c>
      <c r="D50">
        <v>108.71</v>
      </c>
      <c r="E50">
        <v>16.2</v>
      </c>
      <c r="F50">
        <v>2</v>
      </c>
      <c r="G50">
        <v>1</v>
      </c>
      <c r="H50">
        <v>3</v>
      </c>
      <c r="I50">
        <v>1.1000000000000001</v>
      </c>
      <c r="J50" t="s">
        <v>24</v>
      </c>
      <c r="K50">
        <f t="shared" si="0"/>
        <v>13.708060833090812</v>
      </c>
      <c r="L50" t="str">
        <f t="shared" si="1"/>
        <v>Underweight</v>
      </c>
    </row>
    <row r="51" spans="1:12" x14ac:dyDescent="0.3">
      <c r="A51" t="s">
        <v>66</v>
      </c>
      <c r="B51">
        <v>36</v>
      </c>
      <c r="C51" t="s">
        <v>11</v>
      </c>
      <c r="D51">
        <v>97.21</v>
      </c>
      <c r="E51">
        <v>13.41</v>
      </c>
      <c r="F51">
        <v>4</v>
      </c>
      <c r="G51">
        <v>3</v>
      </c>
      <c r="H51">
        <v>1</v>
      </c>
      <c r="I51">
        <v>0.9</v>
      </c>
      <c r="J51" t="s">
        <v>14</v>
      </c>
      <c r="K51">
        <f t="shared" si="0"/>
        <v>14.190800401461026</v>
      </c>
      <c r="L51" t="str">
        <f t="shared" si="1"/>
        <v>Underweight</v>
      </c>
    </row>
    <row r="52" spans="1:12" x14ac:dyDescent="0.3">
      <c r="A52" t="s">
        <v>67</v>
      </c>
      <c r="B52">
        <v>34</v>
      </c>
      <c r="C52" t="s">
        <v>11</v>
      </c>
      <c r="D52">
        <v>98.46</v>
      </c>
      <c r="E52">
        <v>15.38</v>
      </c>
      <c r="F52">
        <v>3</v>
      </c>
      <c r="G52">
        <v>2</v>
      </c>
      <c r="H52">
        <v>2</v>
      </c>
      <c r="I52">
        <v>1.2</v>
      </c>
      <c r="J52" t="s">
        <v>12</v>
      </c>
      <c r="K52">
        <f t="shared" si="0"/>
        <v>15.864875656303504</v>
      </c>
      <c r="L52" t="str">
        <f t="shared" si="1"/>
        <v>Underweight</v>
      </c>
    </row>
    <row r="53" spans="1:12" x14ac:dyDescent="0.3">
      <c r="A53" t="s">
        <v>68</v>
      </c>
      <c r="B53">
        <v>40</v>
      </c>
      <c r="C53" t="s">
        <v>11</v>
      </c>
      <c r="D53">
        <v>100.6</v>
      </c>
      <c r="E53">
        <v>17.309999999999999</v>
      </c>
      <c r="F53">
        <v>0</v>
      </c>
      <c r="G53">
        <v>3</v>
      </c>
      <c r="H53">
        <v>0</v>
      </c>
      <c r="I53">
        <v>0.6</v>
      </c>
      <c r="J53" t="s">
        <v>27</v>
      </c>
      <c r="K53">
        <f t="shared" si="0"/>
        <v>17.104134635526798</v>
      </c>
      <c r="L53" t="str">
        <f t="shared" si="1"/>
        <v>Underweight</v>
      </c>
    </row>
    <row r="54" spans="1:12" x14ac:dyDescent="0.3">
      <c r="A54" t="s">
        <v>69</v>
      </c>
      <c r="B54">
        <v>39</v>
      </c>
      <c r="C54" t="s">
        <v>11</v>
      </c>
      <c r="D54">
        <v>96.54</v>
      </c>
      <c r="E54">
        <v>18.239999999999998</v>
      </c>
      <c r="F54">
        <v>4</v>
      </c>
      <c r="G54">
        <v>3</v>
      </c>
      <c r="H54">
        <v>1</v>
      </c>
      <c r="I54">
        <v>1.9</v>
      </c>
      <c r="J54" t="s">
        <v>27</v>
      </c>
      <c r="K54">
        <f t="shared" si="0"/>
        <v>19.570875087215928</v>
      </c>
      <c r="L54" t="str">
        <f t="shared" si="1"/>
        <v>Healthy Weight</v>
      </c>
    </row>
    <row r="55" spans="1:12" x14ac:dyDescent="0.3">
      <c r="A55" t="s">
        <v>70</v>
      </c>
      <c r="B55">
        <v>57</v>
      </c>
      <c r="C55" t="s">
        <v>19</v>
      </c>
      <c r="D55">
        <v>110.58</v>
      </c>
      <c r="E55">
        <v>21.99</v>
      </c>
      <c r="F55">
        <v>3</v>
      </c>
      <c r="G55">
        <v>0</v>
      </c>
      <c r="H55">
        <v>0</v>
      </c>
      <c r="I55">
        <v>0.9</v>
      </c>
      <c r="J55" t="s">
        <v>12</v>
      </c>
      <c r="K55">
        <f>E55 / ((D55 / 100) ^ 2)</f>
        <v>17.983410512341237</v>
      </c>
      <c r="L55" t="str">
        <f t="shared" si="1"/>
        <v>Underweight</v>
      </c>
    </row>
    <row r="56" spans="1:12" x14ac:dyDescent="0.3">
      <c r="A56" t="s">
        <v>71</v>
      </c>
      <c r="B56">
        <v>50</v>
      </c>
      <c r="C56" t="s">
        <v>11</v>
      </c>
      <c r="D56">
        <v>114.47</v>
      </c>
      <c r="E56">
        <v>18.010000000000002</v>
      </c>
      <c r="F56">
        <v>1</v>
      </c>
      <c r="G56">
        <v>3</v>
      </c>
      <c r="H56">
        <v>0</v>
      </c>
      <c r="I56">
        <v>0.6</v>
      </c>
      <c r="J56" t="s">
        <v>24</v>
      </c>
      <c r="K56">
        <f t="shared" si="0"/>
        <v>13.744544356487417</v>
      </c>
      <c r="L56" t="str">
        <f t="shared" si="1"/>
        <v>Underweight</v>
      </c>
    </row>
    <row r="57" spans="1:12" x14ac:dyDescent="0.3">
      <c r="A57" t="s">
        <v>72</v>
      </c>
      <c r="B57">
        <v>31</v>
      </c>
      <c r="C57" t="s">
        <v>11</v>
      </c>
      <c r="D57">
        <v>96.28</v>
      </c>
      <c r="E57">
        <v>16.84</v>
      </c>
      <c r="F57">
        <v>4</v>
      </c>
      <c r="G57">
        <v>2</v>
      </c>
      <c r="H57">
        <v>3</v>
      </c>
      <c r="I57">
        <v>0.5</v>
      </c>
      <c r="J57" t="s">
        <v>20</v>
      </c>
      <c r="K57">
        <f t="shared" si="0"/>
        <v>18.166443980296357</v>
      </c>
      <c r="L57" t="str">
        <f t="shared" si="1"/>
        <v>Underweight</v>
      </c>
    </row>
    <row r="58" spans="1:12" x14ac:dyDescent="0.3">
      <c r="A58" t="s">
        <v>73</v>
      </c>
      <c r="B58">
        <v>44</v>
      </c>
      <c r="C58" t="s">
        <v>11</v>
      </c>
      <c r="D58">
        <v>104.76</v>
      </c>
      <c r="E58">
        <v>18.399999999999999</v>
      </c>
      <c r="F58">
        <v>4</v>
      </c>
      <c r="G58">
        <v>2</v>
      </c>
      <c r="H58">
        <v>1</v>
      </c>
      <c r="I58">
        <v>0.7</v>
      </c>
      <c r="J58" t="s">
        <v>12</v>
      </c>
      <c r="K58">
        <f>E58 / ((D58 / 100) ^ 2)</f>
        <v>16.765898919707524</v>
      </c>
      <c r="L58" t="str">
        <f t="shared" si="1"/>
        <v>Underweight</v>
      </c>
    </row>
    <row r="59" spans="1:12" x14ac:dyDescent="0.3">
      <c r="A59" t="s">
        <v>74</v>
      </c>
      <c r="B59">
        <v>42</v>
      </c>
      <c r="C59" t="s">
        <v>19</v>
      </c>
      <c r="D59">
        <v>105.35</v>
      </c>
      <c r="E59">
        <v>19.88</v>
      </c>
      <c r="F59">
        <v>1</v>
      </c>
      <c r="G59">
        <v>2</v>
      </c>
      <c r="H59">
        <v>2</v>
      </c>
      <c r="I59">
        <v>2.8</v>
      </c>
      <c r="J59" t="s">
        <v>20</v>
      </c>
      <c r="K59">
        <f t="shared" si="0"/>
        <v>17.912132789452027</v>
      </c>
      <c r="L59" t="str">
        <f t="shared" si="1"/>
        <v>Underweight</v>
      </c>
    </row>
    <row r="60" spans="1:12" x14ac:dyDescent="0.3">
      <c r="A60" t="s">
        <v>75</v>
      </c>
      <c r="B60">
        <v>59</v>
      </c>
      <c r="C60" t="s">
        <v>19</v>
      </c>
      <c r="D60">
        <v>110.75</v>
      </c>
      <c r="E60">
        <v>24.56</v>
      </c>
      <c r="F60">
        <v>4</v>
      </c>
      <c r="G60">
        <v>4</v>
      </c>
      <c r="H60">
        <v>1</v>
      </c>
      <c r="I60">
        <v>1.7</v>
      </c>
      <c r="J60" t="s">
        <v>12</v>
      </c>
      <c r="K60">
        <f t="shared" si="0"/>
        <v>20.023541521230683</v>
      </c>
      <c r="L60" t="str">
        <f t="shared" si="1"/>
        <v>Healthy Weight</v>
      </c>
    </row>
    <row r="61" spans="1:12" x14ac:dyDescent="0.3">
      <c r="A61" t="s">
        <v>76</v>
      </c>
      <c r="B61">
        <v>56</v>
      </c>
      <c r="C61" t="s">
        <v>19</v>
      </c>
      <c r="D61">
        <v>108</v>
      </c>
      <c r="E61">
        <v>22.24</v>
      </c>
      <c r="F61">
        <v>2</v>
      </c>
      <c r="G61">
        <v>4</v>
      </c>
      <c r="H61">
        <v>2</v>
      </c>
      <c r="I61">
        <v>1.1000000000000001</v>
      </c>
      <c r="J61" t="s">
        <v>14</v>
      </c>
      <c r="K61">
        <f t="shared" si="0"/>
        <v>19.067215363511657</v>
      </c>
      <c r="L61" t="str">
        <f t="shared" si="1"/>
        <v>Healthy Weight</v>
      </c>
    </row>
    <row r="62" spans="1:12" x14ac:dyDescent="0.3">
      <c r="A62" t="s">
        <v>77</v>
      </c>
      <c r="B62">
        <v>32</v>
      </c>
      <c r="C62" t="s">
        <v>11</v>
      </c>
      <c r="D62">
        <v>98.63</v>
      </c>
      <c r="E62">
        <v>17.96</v>
      </c>
      <c r="F62">
        <v>0</v>
      </c>
      <c r="G62">
        <v>0</v>
      </c>
      <c r="H62">
        <v>2</v>
      </c>
      <c r="I62">
        <v>2.6</v>
      </c>
      <c r="J62" t="s">
        <v>24</v>
      </c>
      <c r="K62">
        <f t="shared" si="0"/>
        <v>18.462404679483562</v>
      </c>
      <c r="L62" t="str">
        <f t="shared" si="1"/>
        <v>Underweight</v>
      </c>
    </row>
    <row r="63" spans="1:12" x14ac:dyDescent="0.3">
      <c r="A63" t="s">
        <v>78</v>
      </c>
      <c r="B63">
        <v>47</v>
      </c>
      <c r="C63" t="s">
        <v>11</v>
      </c>
      <c r="D63">
        <v>103.57</v>
      </c>
      <c r="E63">
        <v>22.13</v>
      </c>
      <c r="F63">
        <v>3</v>
      </c>
      <c r="G63">
        <v>2</v>
      </c>
      <c r="H63">
        <v>0</v>
      </c>
      <c r="I63">
        <v>0.6</v>
      </c>
      <c r="J63" t="s">
        <v>12</v>
      </c>
      <c r="K63">
        <f t="shared" si="0"/>
        <v>20.630676133633052</v>
      </c>
      <c r="L63" t="str">
        <f t="shared" si="1"/>
        <v>Healthy Weight</v>
      </c>
    </row>
    <row r="64" spans="1:12" x14ac:dyDescent="0.3">
      <c r="A64" t="s">
        <v>79</v>
      </c>
      <c r="B64">
        <v>28</v>
      </c>
      <c r="C64" t="s">
        <v>19</v>
      </c>
      <c r="D64">
        <v>92.72</v>
      </c>
      <c r="E64">
        <v>15.7</v>
      </c>
      <c r="F64">
        <v>4</v>
      </c>
      <c r="G64">
        <v>0</v>
      </c>
      <c r="H64">
        <v>1</v>
      </c>
      <c r="I64">
        <v>0.5</v>
      </c>
      <c r="J64" t="s">
        <v>24</v>
      </c>
      <c r="K64">
        <f t="shared" si="0"/>
        <v>18.26218788176115</v>
      </c>
      <c r="L64" t="str">
        <f t="shared" si="1"/>
        <v>Underweight</v>
      </c>
    </row>
    <row r="65" spans="1:12" x14ac:dyDescent="0.3">
      <c r="A65" t="s">
        <v>80</v>
      </c>
      <c r="B65">
        <v>56</v>
      </c>
      <c r="C65" t="s">
        <v>19</v>
      </c>
      <c r="D65">
        <v>113.3</v>
      </c>
      <c r="E65">
        <v>20.45</v>
      </c>
      <c r="F65">
        <v>2</v>
      </c>
      <c r="G65">
        <v>2</v>
      </c>
      <c r="H65">
        <v>2</v>
      </c>
      <c r="I65">
        <v>0.5</v>
      </c>
      <c r="J65" t="s">
        <v>27</v>
      </c>
      <c r="K65">
        <f t="shared" si="0"/>
        <v>15.930649869244029</v>
      </c>
      <c r="L65" t="str">
        <f>IF(K65&lt;18.5, "Underweight", IF(K65&lt;25, "Healthy Weight", IF(K65&lt;30, "Overweight", "Obese")))</f>
        <v>Underweight</v>
      </c>
    </row>
    <row r="66" spans="1:12" x14ac:dyDescent="0.3">
      <c r="A66" t="s">
        <v>81</v>
      </c>
      <c r="B66">
        <v>38</v>
      </c>
      <c r="C66" t="s">
        <v>19</v>
      </c>
      <c r="D66">
        <v>104.84</v>
      </c>
      <c r="E66">
        <v>19.829999999999998</v>
      </c>
      <c r="F66">
        <v>4</v>
      </c>
      <c r="G66">
        <v>0</v>
      </c>
      <c r="H66">
        <v>0</v>
      </c>
      <c r="I66">
        <v>0.8</v>
      </c>
      <c r="J66" t="s">
        <v>24</v>
      </c>
      <c r="K66">
        <f t="shared" si="0"/>
        <v>18.041335784504604</v>
      </c>
      <c r="L66" t="str">
        <f t="shared" si="1"/>
        <v>Underweight</v>
      </c>
    </row>
    <row r="67" spans="1:12" x14ac:dyDescent="0.3">
      <c r="A67" t="s">
        <v>82</v>
      </c>
      <c r="B67">
        <v>50</v>
      </c>
      <c r="C67" t="s">
        <v>11</v>
      </c>
      <c r="D67">
        <v>104.56</v>
      </c>
      <c r="E67">
        <v>21.62</v>
      </c>
      <c r="F67">
        <v>4</v>
      </c>
      <c r="G67">
        <v>1</v>
      </c>
      <c r="H67">
        <v>1</v>
      </c>
      <c r="I67">
        <v>2</v>
      </c>
      <c r="J67" t="s">
        <v>12</v>
      </c>
      <c r="K67">
        <f t="shared" ref="K67:K74" si="2">E67 / ((D67 / 100) ^ 2)</f>
        <v>19.775366471749727</v>
      </c>
      <c r="L67" t="str">
        <f t="shared" ref="L67:L80" si="3">IF(K67&lt;18.5, "Underweight", IF(K67&lt;25, "Healthy Weight", IF(K67&lt;30, "Overweight", "Obese")))</f>
        <v>Healthy Weight</v>
      </c>
    </row>
    <row r="68" spans="1:12" x14ac:dyDescent="0.3">
      <c r="A68" t="s">
        <v>83</v>
      </c>
      <c r="B68">
        <v>27</v>
      </c>
      <c r="C68" t="s">
        <v>19</v>
      </c>
      <c r="D68">
        <v>97.32</v>
      </c>
      <c r="E68">
        <v>16.28</v>
      </c>
      <c r="F68">
        <v>2</v>
      </c>
      <c r="G68">
        <v>4</v>
      </c>
      <c r="H68">
        <v>0</v>
      </c>
      <c r="I68">
        <v>0.8</v>
      </c>
      <c r="J68" t="s">
        <v>12</v>
      </c>
      <c r="K68">
        <f t="shared" si="2"/>
        <v>17.188983711262917</v>
      </c>
      <c r="L68" t="str">
        <f t="shared" si="3"/>
        <v>Underweight</v>
      </c>
    </row>
    <row r="69" spans="1:12" x14ac:dyDescent="0.3">
      <c r="A69" t="s">
        <v>84</v>
      </c>
      <c r="B69">
        <v>32</v>
      </c>
      <c r="C69" t="s">
        <v>11</v>
      </c>
      <c r="D69">
        <v>103.58</v>
      </c>
      <c r="E69">
        <v>15.12</v>
      </c>
      <c r="F69">
        <v>4</v>
      </c>
      <c r="G69">
        <v>0</v>
      </c>
      <c r="H69">
        <v>2</v>
      </c>
      <c r="I69">
        <v>1.8</v>
      </c>
      <c r="J69" t="s">
        <v>20</v>
      </c>
      <c r="K69">
        <f t="shared" si="2"/>
        <v>14.092887263873765</v>
      </c>
      <c r="L69" t="str">
        <f t="shared" si="3"/>
        <v>Underweight</v>
      </c>
    </row>
    <row r="70" spans="1:12" x14ac:dyDescent="0.3">
      <c r="A70" t="s">
        <v>85</v>
      </c>
      <c r="B70">
        <v>53</v>
      </c>
      <c r="C70" t="s">
        <v>19</v>
      </c>
      <c r="D70">
        <v>105.92</v>
      </c>
      <c r="E70">
        <v>22.98</v>
      </c>
      <c r="F70">
        <v>2</v>
      </c>
      <c r="G70">
        <v>0</v>
      </c>
      <c r="H70">
        <v>0</v>
      </c>
      <c r="I70">
        <v>0.8</v>
      </c>
      <c r="J70" t="s">
        <v>27</v>
      </c>
      <c r="K70">
        <f t="shared" si="2"/>
        <v>20.483024296966988</v>
      </c>
      <c r="L70" t="str">
        <f t="shared" si="3"/>
        <v>Healthy Weight</v>
      </c>
    </row>
    <row r="71" spans="1:12" x14ac:dyDescent="0.3">
      <c r="A71" t="s">
        <v>86</v>
      </c>
      <c r="B71">
        <v>33</v>
      </c>
      <c r="C71" t="s">
        <v>19</v>
      </c>
      <c r="D71">
        <v>104.76</v>
      </c>
      <c r="E71">
        <v>13.89</v>
      </c>
      <c r="F71">
        <v>3</v>
      </c>
      <c r="G71">
        <v>4</v>
      </c>
      <c r="H71">
        <v>0</v>
      </c>
      <c r="I71">
        <v>0.5</v>
      </c>
      <c r="J71" t="s">
        <v>20</v>
      </c>
      <c r="K71">
        <f t="shared" si="2"/>
        <v>12.656431304061822</v>
      </c>
      <c r="L71" t="str">
        <f t="shared" si="3"/>
        <v>Underweight</v>
      </c>
    </row>
    <row r="72" spans="1:12" x14ac:dyDescent="0.3">
      <c r="A72" t="s">
        <v>87</v>
      </c>
      <c r="B72">
        <v>49</v>
      </c>
      <c r="C72" t="s">
        <v>19</v>
      </c>
      <c r="D72">
        <v>108.22</v>
      </c>
      <c r="E72">
        <v>19.55</v>
      </c>
      <c r="F72">
        <v>1</v>
      </c>
      <c r="G72">
        <v>1</v>
      </c>
      <c r="H72">
        <v>2</v>
      </c>
      <c r="I72">
        <v>1.6</v>
      </c>
      <c r="J72" t="s">
        <v>20</v>
      </c>
      <c r="K72">
        <f t="shared" si="2"/>
        <v>16.692896572247317</v>
      </c>
      <c r="L72" t="str">
        <f t="shared" si="3"/>
        <v>Underweight</v>
      </c>
    </row>
    <row r="73" spans="1:12" x14ac:dyDescent="0.3">
      <c r="A73" t="s">
        <v>88</v>
      </c>
      <c r="B73">
        <v>32</v>
      </c>
      <c r="C73" t="s">
        <v>11</v>
      </c>
      <c r="D73">
        <v>97.69</v>
      </c>
      <c r="E73">
        <v>18.04</v>
      </c>
      <c r="F73">
        <v>3</v>
      </c>
      <c r="G73">
        <v>2</v>
      </c>
      <c r="H73">
        <v>2</v>
      </c>
      <c r="I73">
        <v>2.2000000000000002</v>
      </c>
      <c r="J73" t="s">
        <v>12</v>
      </c>
      <c r="K73">
        <f t="shared" si="2"/>
        <v>18.903242860743426</v>
      </c>
      <c r="L73" t="str">
        <f t="shared" si="3"/>
        <v>Healthy Weight</v>
      </c>
    </row>
    <row r="74" spans="1:12" x14ac:dyDescent="0.3">
      <c r="A74" t="s">
        <v>89</v>
      </c>
      <c r="B74">
        <v>52</v>
      </c>
      <c r="C74" t="s">
        <v>11</v>
      </c>
      <c r="D74">
        <v>104.99</v>
      </c>
      <c r="E74">
        <v>22.77</v>
      </c>
      <c r="F74">
        <v>3</v>
      </c>
      <c r="G74">
        <v>2</v>
      </c>
      <c r="H74">
        <v>1</v>
      </c>
      <c r="I74">
        <v>1.1000000000000001</v>
      </c>
      <c r="J74" t="s">
        <v>14</v>
      </c>
      <c r="K74">
        <f t="shared" si="2"/>
        <v>20.656995702972939</v>
      </c>
      <c r="L74" t="str">
        <f t="shared" si="3"/>
        <v>Healthy Weight</v>
      </c>
    </row>
    <row r="75" spans="1:12" x14ac:dyDescent="0.3">
      <c r="A75" t="s">
        <v>90</v>
      </c>
      <c r="B75">
        <v>25</v>
      </c>
      <c r="C75" t="s">
        <v>19</v>
      </c>
      <c r="D75">
        <v>88.93</v>
      </c>
      <c r="E75">
        <v>15.5</v>
      </c>
      <c r="F75">
        <v>3</v>
      </c>
      <c r="G75">
        <v>0</v>
      </c>
      <c r="H75">
        <v>3</v>
      </c>
      <c r="I75">
        <v>3.8</v>
      </c>
      <c r="J75" t="s">
        <v>14</v>
      </c>
      <c r="K75">
        <f>E75 / ((D75 / 100) ^ 2)</f>
        <v>19.59905418252098</v>
      </c>
      <c r="L75" t="str">
        <f t="shared" si="3"/>
        <v>Healthy Weight</v>
      </c>
    </row>
    <row r="76" spans="1:12" x14ac:dyDescent="0.3">
      <c r="A76" t="s">
        <v>91</v>
      </c>
      <c r="B76">
        <v>41</v>
      </c>
      <c r="C76" t="s">
        <v>11</v>
      </c>
      <c r="D76">
        <v>105.5</v>
      </c>
      <c r="E76">
        <v>20.18</v>
      </c>
      <c r="F76">
        <v>1</v>
      </c>
      <c r="G76">
        <v>4</v>
      </c>
      <c r="H76">
        <v>3</v>
      </c>
      <c r="I76">
        <v>1.9</v>
      </c>
      <c r="J76" t="s">
        <v>24</v>
      </c>
      <c r="K76">
        <f t="shared" ref="K76:K95" si="4">E76 / ((D76 / 100) ^ 2)</f>
        <v>18.130769749107163</v>
      </c>
      <c r="L76" t="str">
        <f t="shared" si="3"/>
        <v>Underweight</v>
      </c>
    </row>
    <row r="77" spans="1:12" x14ac:dyDescent="0.3">
      <c r="A77" t="s">
        <v>92</v>
      </c>
      <c r="B77">
        <v>38</v>
      </c>
      <c r="C77" t="s">
        <v>19</v>
      </c>
      <c r="D77">
        <v>101.47</v>
      </c>
      <c r="E77">
        <v>15.96</v>
      </c>
      <c r="F77">
        <v>1</v>
      </c>
      <c r="G77">
        <v>1</v>
      </c>
      <c r="H77">
        <v>0</v>
      </c>
      <c r="I77">
        <v>0.8</v>
      </c>
      <c r="J77" t="s">
        <v>12</v>
      </c>
      <c r="K77">
        <f t="shared" si="4"/>
        <v>15.500923261601326</v>
      </c>
      <c r="L77" t="str">
        <f t="shared" si="3"/>
        <v>Underweight</v>
      </c>
    </row>
    <row r="78" spans="1:12" x14ac:dyDescent="0.3">
      <c r="A78" t="s">
        <v>93</v>
      </c>
      <c r="B78">
        <v>46</v>
      </c>
      <c r="C78" t="s">
        <v>19</v>
      </c>
      <c r="D78">
        <v>103.84</v>
      </c>
      <c r="E78">
        <v>17.13</v>
      </c>
      <c r="F78">
        <v>0</v>
      </c>
      <c r="G78">
        <v>4</v>
      </c>
      <c r="H78">
        <v>1</v>
      </c>
      <c r="I78">
        <v>0.7</v>
      </c>
      <c r="J78" t="s">
        <v>20</v>
      </c>
      <c r="K78">
        <f t="shared" si="4"/>
        <v>15.886491841187462</v>
      </c>
      <c r="L78" t="str">
        <f t="shared" si="3"/>
        <v>Underweight</v>
      </c>
    </row>
    <row r="79" spans="1:12" x14ac:dyDescent="0.3">
      <c r="A79" t="s">
        <v>94</v>
      </c>
      <c r="B79">
        <v>45</v>
      </c>
      <c r="C79" t="s">
        <v>19</v>
      </c>
      <c r="D79">
        <v>103.74</v>
      </c>
      <c r="E79">
        <v>18.21</v>
      </c>
      <c r="F79">
        <v>1</v>
      </c>
      <c r="G79">
        <v>3</v>
      </c>
      <c r="H79">
        <v>0</v>
      </c>
      <c r="I79">
        <v>0.5</v>
      </c>
      <c r="J79" t="s">
        <v>20</v>
      </c>
      <c r="K79">
        <f t="shared" si="4"/>
        <v>16.920666215969256</v>
      </c>
      <c r="L79" t="str">
        <f t="shared" si="3"/>
        <v>Underweight</v>
      </c>
    </row>
    <row r="80" spans="1:12" x14ac:dyDescent="0.3">
      <c r="A80" t="s">
        <v>95</v>
      </c>
      <c r="B80">
        <v>48</v>
      </c>
      <c r="C80" t="s">
        <v>19</v>
      </c>
      <c r="D80">
        <v>101.32</v>
      </c>
      <c r="E80">
        <v>21.93</v>
      </c>
      <c r="F80">
        <v>4</v>
      </c>
      <c r="G80">
        <v>2</v>
      </c>
      <c r="H80">
        <v>2</v>
      </c>
      <c r="I80">
        <v>2.8</v>
      </c>
      <c r="J80" t="s">
        <v>14</v>
      </c>
      <c r="K80">
        <f t="shared" si="4"/>
        <v>21.36231277340449</v>
      </c>
      <c r="L80" t="str">
        <f t="shared" si="3"/>
        <v>Healthy Weight</v>
      </c>
    </row>
    <row r="81" spans="1:12" x14ac:dyDescent="0.3">
      <c r="A81" t="s">
        <v>96</v>
      </c>
      <c r="B81">
        <v>54</v>
      </c>
      <c r="C81" t="s">
        <v>11</v>
      </c>
      <c r="D81">
        <v>109.83</v>
      </c>
      <c r="E81">
        <v>21.35</v>
      </c>
      <c r="F81">
        <v>3</v>
      </c>
      <c r="G81">
        <v>2</v>
      </c>
      <c r="H81">
        <v>1</v>
      </c>
      <c r="I81">
        <v>0.7</v>
      </c>
      <c r="J81" t="s">
        <v>24</v>
      </c>
      <c r="K81">
        <f t="shared" si="4"/>
        <v>17.699292730459444</v>
      </c>
      <c r="L81" t="str">
        <f>IF(K81&lt;18.5, "Underweight", IF(K81&lt;25, "Healthy Weight", IF(K81&lt;30, "Overweight", "Obese")))</f>
        <v>Underweight</v>
      </c>
    </row>
    <row r="82" spans="1:12" x14ac:dyDescent="0.3">
      <c r="A82" t="s">
        <v>97</v>
      </c>
      <c r="B82">
        <v>49</v>
      </c>
      <c r="C82" t="s">
        <v>19</v>
      </c>
      <c r="D82">
        <v>112.98</v>
      </c>
      <c r="E82">
        <v>18.22</v>
      </c>
      <c r="F82">
        <v>3</v>
      </c>
      <c r="G82">
        <v>1</v>
      </c>
      <c r="H82">
        <v>1</v>
      </c>
      <c r="I82">
        <v>1.7</v>
      </c>
      <c r="J82" t="s">
        <v>12</v>
      </c>
      <c r="K82">
        <f t="shared" si="4"/>
        <v>14.273984861929826</v>
      </c>
      <c r="L82" t="str">
        <f t="shared" ref="L82:L96" si="5">IF(K82&lt;18.5, "Underweight", IF(K82&lt;25, "Healthy Weight", IF(K82&lt;30, "Overweight", "Obese")))</f>
        <v>Underweight</v>
      </c>
    </row>
    <row r="83" spans="1:12" x14ac:dyDescent="0.3">
      <c r="A83" t="s">
        <v>98</v>
      </c>
      <c r="B83">
        <v>45</v>
      </c>
      <c r="C83" t="s">
        <v>11</v>
      </c>
      <c r="D83">
        <v>104.87</v>
      </c>
      <c r="E83">
        <v>19.66</v>
      </c>
      <c r="F83">
        <v>1</v>
      </c>
      <c r="G83">
        <v>4</v>
      </c>
      <c r="H83">
        <v>2</v>
      </c>
      <c r="I83">
        <v>1.1000000000000001</v>
      </c>
      <c r="J83" t="s">
        <v>27</v>
      </c>
      <c r="K83">
        <f t="shared" si="4"/>
        <v>17.876437608609475</v>
      </c>
      <c r="L83" t="str">
        <f t="shared" si="5"/>
        <v>Underweight</v>
      </c>
    </row>
    <row r="84" spans="1:12" x14ac:dyDescent="0.3">
      <c r="A84" t="s">
        <v>99</v>
      </c>
      <c r="B84">
        <v>30</v>
      </c>
      <c r="C84" t="s">
        <v>19</v>
      </c>
      <c r="D84">
        <v>100.81</v>
      </c>
      <c r="E84">
        <v>14.39</v>
      </c>
      <c r="F84">
        <v>2</v>
      </c>
      <c r="G84">
        <v>4</v>
      </c>
      <c r="H84">
        <v>2</v>
      </c>
      <c r="I84">
        <v>2.6</v>
      </c>
      <c r="J84" t="s">
        <v>12</v>
      </c>
      <c r="K84">
        <f t="shared" si="4"/>
        <v>14.159684100694896</v>
      </c>
      <c r="L84" t="str">
        <f t="shared" si="5"/>
        <v>Underweight</v>
      </c>
    </row>
    <row r="85" spans="1:12" x14ac:dyDescent="0.3">
      <c r="A85" t="s">
        <v>100</v>
      </c>
      <c r="B85">
        <v>29</v>
      </c>
      <c r="C85" t="s">
        <v>11</v>
      </c>
      <c r="D85">
        <v>101.16</v>
      </c>
      <c r="E85">
        <v>14.14</v>
      </c>
      <c r="F85">
        <v>2</v>
      </c>
      <c r="G85">
        <v>2</v>
      </c>
      <c r="H85">
        <v>3</v>
      </c>
      <c r="I85">
        <v>1.3</v>
      </c>
      <c r="J85" t="s">
        <v>12</v>
      </c>
      <c r="K85">
        <f t="shared" si="4"/>
        <v>13.817573013462967</v>
      </c>
      <c r="L85" t="str">
        <f t="shared" si="5"/>
        <v>Underweight</v>
      </c>
    </row>
    <row r="86" spans="1:12" x14ac:dyDescent="0.3">
      <c r="A86" t="s">
        <v>101</v>
      </c>
      <c r="B86">
        <v>57</v>
      </c>
      <c r="C86" t="s">
        <v>11</v>
      </c>
      <c r="D86">
        <v>115.19</v>
      </c>
      <c r="E86">
        <v>20.76</v>
      </c>
      <c r="F86">
        <v>1</v>
      </c>
      <c r="G86">
        <v>4</v>
      </c>
      <c r="H86">
        <v>0</v>
      </c>
      <c r="I86">
        <v>1</v>
      </c>
      <c r="J86" t="s">
        <v>12</v>
      </c>
      <c r="K86">
        <f t="shared" si="4"/>
        <v>15.645800657682841</v>
      </c>
      <c r="L86" t="str">
        <f t="shared" si="5"/>
        <v>Underweight</v>
      </c>
    </row>
    <row r="87" spans="1:12" x14ac:dyDescent="0.3">
      <c r="A87" t="s">
        <v>102</v>
      </c>
      <c r="B87">
        <v>56</v>
      </c>
      <c r="C87" t="s">
        <v>19</v>
      </c>
      <c r="D87">
        <v>110.72</v>
      </c>
      <c r="E87">
        <v>20.149999999999999</v>
      </c>
      <c r="F87">
        <v>0</v>
      </c>
      <c r="G87">
        <v>1</v>
      </c>
      <c r="H87">
        <v>1</v>
      </c>
      <c r="I87">
        <v>2</v>
      </c>
      <c r="J87" t="s">
        <v>27</v>
      </c>
      <c r="K87">
        <f t="shared" si="4"/>
        <v>16.43701290971967</v>
      </c>
      <c r="L87" t="str">
        <f t="shared" si="5"/>
        <v>Underweight</v>
      </c>
    </row>
    <row r="88" spans="1:12" x14ac:dyDescent="0.3">
      <c r="A88" t="s">
        <v>103</v>
      </c>
      <c r="B88">
        <v>56</v>
      </c>
      <c r="C88" t="s">
        <v>11</v>
      </c>
      <c r="D88">
        <v>106.73</v>
      </c>
      <c r="E88">
        <v>24.09</v>
      </c>
      <c r="F88">
        <v>0</v>
      </c>
      <c r="G88">
        <v>1</v>
      </c>
      <c r="H88">
        <v>3</v>
      </c>
      <c r="I88">
        <v>1.7</v>
      </c>
      <c r="J88" t="s">
        <v>27</v>
      </c>
      <c r="K88">
        <f t="shared" si="4"/>
        <v>21.147731176326783</v>
      </c>
      <c r="L88" t="str">
        <f t="shared" si="5"/>
        <v>Healthy Weight</v>
      </c>
    </row>
    <row r="89" spans="1:12" x14ac:dyDescent="0.3">
      <c r="A89" t="s">
        <v>104</v>
      </c>
      <c r="B89">
        <v>25</v>
      </c>
      <c r="C89" t="s">
        <v>11</v>
      </c>
      <c r="D89">
        <v>99.72</v>
      </c>
      <c r="E89">
        <v>14.9</v>
      </c>
      <c r="F89">
        <v>4</v>
      </c>
      <c r="G89">
        <v>2</v>
      </c>
      <c r="H89">
        <v>3</v>
      </c>
      <c r="I89">
        <v>2.2000000000000002</v>
      </c>
      <c r="J89" t="s">
        <v>14</v>
      </c>
      <c r="K89">
        <f t="shared" si="4"/>
        <v>14.983791760933824</v>
      </c>
      <c r="L89" t="str">
        <f t="shared" si="5"/>
        <v>Underweight</v>
      </c>
    </row>
    <row r="90" spans="1:12" x14ac:dyDescent="0.3">
      <c r="A90" t="s">
        <v>105</v>
      </c>
      <c r="B90">
        <v>30</v>
      </c>
      <c r="C90" t="s">
        <v>11</v>
      </c>
      <c r="D90">
        <v>96.45</v>
      </c>
      <c r="E90">
        <v>14.77</v>
      </c>
      <c r="F90">
        <v>4</v>
      </c>
      <c r="G90">
        <v>2</v>
      </c>
      <c r="H90">
        <v>0</v>
      </c>
      <c r="I90">
        <v>0.6</v>
      </c>
      <c r="J90" t="s">
        <v>24</v>
      </c>
      <c r="K90">
        <f t="shared" si="4"/>
        <v>15.877277353299789</v>
      </c>
      <c r="L90" t="str">
        <f t="shared" si="5"/>
        <v>Underweight</v>
      </c>
    </row>
    <row r="91" spans="1:12" x14ac:dyDescent="0.3">
      <c r="A91" t="s">
        <v>106</v>
      </c>
      <c r="B91">
        <v>53</v>
      </c>
      <c r="C91" t="s">
        <v>19</v>
      </c>
      <c r="D91">
        <v>106.44</v>
      </c>
      <c r="E91">
        <v>20.73</v>
      </c>
      <c r="F91">
        <v>4</v>
      </c>
      <c r="G91">
        <v>3</v>
      </c>
      <c r="H91">
        <v>2</v>
      </c>
      <c r="I91">
        <v>2</v>
      </c>
      <c r="J91" t="s">
        <v>12</v>
      </c>
      <c r="K91">
        <f t="shared" si="4"/>
        <v>18.29740792193558</v>
      </c>
      <c r="L91" t="str">
        <f t="shared" si="5"/>
        <v>Underweight</v>
      </c>
    </row>
    <row r="92" spans="1:12" x14ac:dyDescent="0.3">
      <c r="A92" t="s">
        <v>107</v>
      </c>
      <c r="B92">
        <v>29</v>
      </c>
      <c r="C92" t="s">
        <v>11</v>
      </c>
      <c r="D92">
        <v>97.77</v>
      </c>
      <c r="E92">
        <v>15.72</v>
      </c>
      <c r="F92">
        <v>2</v>
      </c>
      <c r="G92">
        <v>0</v>
      </c>
      <c r="H92">
        <v>0</v>
      </c>
      <c r="I92">
        <v>0.9</v>
      </c>
      <c r="J92" t="s">
        <v>12</v>
      </c>
      <c r="K92">
        <f t="shared" si="4"/>
        <v>16.445281479979926</v>
      </c>
      <c r="L92" t="str">
        <f t="shared" si="5"/>
        <v>Underweight</v>
      </c>
    </row>
    <row r="93" spans="1:12" x14ac:dyDescent="0.3">
      <c r="A93" t="s">
        <v>108</v>
      </c>
      <c r="B93">
        <v>58</v>
      </c>
      <c r="C93" t="s">
        <v>19</v>
      </c>
      <c r="D93">
        <v>113.49</v>
      </c>
      <c r="E93">
        <v>25.26</v>
      </c>
      <c r="F93">
        <v>0</v>
      </c>
      <c r="G93">
        <v>4</v>
      </c>
      <c r="H93">
        <v>3</v>
      </c>
      <c r="I93">
        <v>3</v>
      </c>
      <c r="J93" t="s">
        <v>27</v>
      </c>
      <c r="K93">
        <f t="shared" si="4"/>
        <v>19.611831543124822</v>
      </c>
      <c r="L93" t="str">
        <f t="shared" si="5"/>
        <v>Healthy Weight</v>
      </c>
    </row>
    <row r="94" spans="1:12" x14ac:dyDescent="0.3">
      <c r="A94" t="s">
        <v>109</v>
      </c>
      <c r="B94">
        <v>26</v>
      </c>
      <c r="C94" t="s">
        <v>19</v>
      </c>
      <c r="D94">
        <v>92.08</v>
      </c>
      <c r="E94">
        <v>15.29</v>
      </c>
      <c r="F94">
        <v>4</v>
      </c>
      <c r="G94">
        <v>1</v>
      </c>
      <c r="H94">
        <v>2</v>
      </c>
      <c r="I94">
        <v>2.6</v>
      </c>
      <c r="J94" t="s">
        <v>20</v>
      </c>
      <c r="K94">
        <f>E94 / ((D94 / 100) ^ 2)</f>
        <v>18.033368785198682</v>
      </c>
      <c r="L94" t="str">
        <f t="shared" si="5"/>
        <v>Underweight</v>
      </c>
    </row>
    <row r="95" spans="1:12" x14ac:dyDescent="0.3">
      <c r="A95" t="s">
        <v>110</v>
      </c>
      <c r="B95">
        <v>25</v>
      </c>
      <c r="C95" t="s">
        <v>11</v>
      </c>
      <c r="D95">
        <v>96.42</v>
      </c>
      <c r="E95">
        <v>15.34</v>
      </c>
      <c r="F95">
        <v>4</v>
      </c>
      <c r="G95">
        <v>3</v>
      </c>
      <c r="H95">
        <v>2</v>
      </c>
      <c r="I95">
        <v>0.9</v>
      </c>
      <c r="J95" t="s">
        <v>20</v>
      </c>
      <c r="K95">
        <f t="shared" si="4"/>
        <v>16.500272071630885</v>
      </c>
      <c r="L95" t="str">
        <f t="shared" si="5"/>
        <v>Underweight</v>
      </c>
    </row>
    <row r="96" spans="1:12" x14ac:dyDescent="0.3">
      <c r="A96" t="s">
        <v>111</v>
      </c>
      <c r="B96">
        <v>59</v>
      </c>
      <c r="C96" t="s">
        <v>11</v>
      </c>
      <c r="D96">
        <v>108.1</v>
      </c>
      <c r="E96">
        <v>19.25</v>
      </c>
      <c r="F96">
        <v>1</v>
      </c>
      <c r="G96">
        <v>0</v>
      </c>
      <c r="H96">
        <v>1</v>
      </c>
      <c r="I96">
        <v>1</v>
      </c>
      <c r="J96" t="s">
        <v>12</v>
      </c>
      <c r="K96">
        <f>E96 / ((D96 / 100) ^ 2)</f>
        <v>16.47325214515973</v>
      </c>
      <c r="L96" t="str">
        <f t="shared" si="5"/>
        <v>Underweight</v>
      </c>
    </row>
    <row r="97" spans="1:12" x14ac:dyDescent="0.3">
      <c r="A97" t="s">
        <v>112</v>
      </c>
      <c r="B97">
        <v>50</v>
      </c>
      <c r="C97" t="s">
        <v>11</v>
      </c>
      <c r="D97">
        <v>109.15</v>
      </c>
      <c r="E97">
        <v>22.09</v>
      </c>
      <c r="F97">
        <v>1</v>
      </c>
      <c r="G97">
        <v>4</v>
      </c>
      <c r="H97">
        <v>0</v>
      </c>
      <c r="I97">
        <v>0.6</v>
      </c>
      <c r="J97" t="s">
        <v>14</v>
      </c>
      <c r="K97">
        <f t="shared" ref="K97:K101" si="6">E97 / ((D97 / 100) ^ 2)</f>
        <v>18.541643890060385</v>
      </c>
      <c r="L97" t="str">
        <f>IF(K97&lt;18.5, "Underweight", IF(K97&lt;25, "Healthy Weight", IF(K97&lt;30, "Overweight", "Obese")))</f>
        <v>Healthy Weight</v>
      </c>
    </row>
    <row r="98" spans="1:12" x14ac:dyDescent="0.3">
      <c r="A98" t="s">
        <v>113</v>
      </c>
      <c r="B98">
        <v>48</v>
      </c>
      <c r="C98" t="s">
        <v>19</v>
      </c>
      <c r="D98">
        <v>107.71</v>
      </c>
      <c r="E98">
        <v>19.079999999999998</v>
      </c>
      <c r="F98">
        <v>0</v>
      </c>
      <c r="G98">
        <v>2</v>
      </c>
      <c r="H98">
        <v>2</v>
      </c>
      <c r="I98">
        <v>1.8</v>
      </c>
      <c r="J98" t="s">
        <v>20</v>
      </c>
      <c r="K98">
        <f t="shared" si="6"/>
        <v>16.446228448404973</v>
      </c>
      <c r="L98" t="str">
        <f t="shared" ref="L98:L101" si="7">IF(K98&lt;18.5, "Underweight", IF(K98&lt;25, "Healthy Weight", IF(K98&lt;30, "Overweight", "Obese")))</f>
        <v>Underweight</v>
      </c>
    </row>
    <row r="99" spans="1:12" x14ac:dyDescent="0.3">
      <c r="A99" t="s">
        <v>114</v>
      </c>
      <c r="B99">
        <v>57</v>
      </c>
      <c r="C99" t="s">
        <v>19</v>
      </c>
      <c r="D99">
        <v>112.41</v>
      </c>
      <c r="E99">
        <v>21.55</v>
      </c>
      <c r="F99">
        <v>2</v>
      </c>
      <c r="G99">
        <v>4</v>
      </c>
      <c r="H99">
        <v>0</v>
      </c>
      <c r="I99">
        <v>0.9</v>
      </c>
      <c r="J99" t="s">
        <v>12</v>
      </c>
      <c r="K99">
        <f t="shared" si="6"/>
        <v>17.054436677671966</v>
      </c>
      <c r="L99" t="str">
        <f t="shared" si="7"/>
        <v>Underweight</v>
      </c>
    </row>
    <row r="100" spans="1:12" x14ac:dyDescent="0.3">
      <c r="A100" t="s">
        <v>115</v>
      </c>
      <c r="B100">
        <v>45</v>
      </c>
      <c r="C100" t="s">
        <v>19</v>
      </c>
      <c r="D100">
        <v>110.12</v>
      </c>
      <c r="E100">
        <v>18.510000000000002</v>
      </c>
      <c r="F100">
        <v>0</v>
      </c>
      <c r="G100">
        <v>2</v>
      </c>
      <c r="H100">
        <v>0</v>
      </c>
      <c r="I100">
        <v>0.9</v>
      </c>
      <c r="J100" t="s">
        <v>24</v>
      </c>
      <c r="K100">
        <f t="shared" si="6"/>
        <v>15.264198789050129</v>
      </c>
      <c r="L100" t="str">
        <f t="shared" si="7"/>
        <v>Underweight</v>
      </c>
    </row>
    <row r="101" spans="1:12" x14ac:dyDescent="0.3">
      <c r="A101" t="s">
        <v>116</v>
      </c>
      <c r="B101">
        <v>49</v>
      </c>
      <c r="C101" t="s">
        <v>19</v>
      </c>
      <c r="D101">
        <v>106.6</v>
      </c>
      <c r="E101">
        <v>21.21</v>
      </c>
      <c r="F101">
        <v>0</v>
      </c>
      <c r="G101">
        <v>0</v>
      </c>
      <c r="H101">
        <v>2</v>
      </c>
      <c r="I101">
        <v>2.5</v>
      </c>
      <c r="J101" t="s">
        <v>24</v>
      </c>
      <c r="K101">
        <f t="shared" si="6"/>
        <v>18.664925428298883</v>
      </c>
      <c r="L101" t="str">
        <f t="shared" si="7"/>
        <v>Healthy Weight</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A41DCE1-FB90-425D-BCC5-A08E9FED2C78}">
          <x14:formula1>
            <xm:f>Validation!$A$1:$A$5</xm:f>
          </x14:formula1>
          <xm:sqref>J2:J101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8C2F-9564-404F-A980-1922AC53484E}">
  <dimension ref="A1:A5"/>
  <sheetViews>
    <sheetView workbookViewId="0">
      <selection activeCell="A5" sqref="A5"/>
    </sheetView>
  </sheetViews>
  <sheetFormatPr defaultRowHeight="14.4" x14ac:dyDescent="0.3"/>
  <sheetData>
    <row r="1" spans="1:1" x14ac:dyDescent="0.3">
      <c r="A1" t="s">
        <v>20</v>
      </c>
    </row>
    <row r="2" spans="1:1" x14ac:dyDescent="0.3">
      <c r="A2" t="s">
        <v>27</v>
      </c>
    </row>
    <row r="3" spans="1:1" x14ac:dyDescent="0.3">
      <c r="A3" t="s">
        <v>24</v>
      </c>
    </row>
    <row r="4" spans="1:1" x14ac:dyDescent="0.3">
      <c r="A4" t="s">
        <v>12</v>
      </c>
    </row>
    <row r="5" spans="1:1" x14ac:dyDescent="0.3">
      <c r="A5"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9438-EBDC-4686-A026-42EC317209CF}">
  <dimension ref="A2:T10"/>
  <sheetViews>
    <sheetView tabSelected="1" workbookViewId="0">
      <selection activeCell="A10" sqref="A10"/>
    </sheetView>
  </sheetViews>
  <sheetFormatPr defaultRowHeight="14.4" x14ac:dyDescent="0.3"/>
  <sheetData>
    <row r="2" spans="1:20" ht="23.4" x14ac:dyDescent="0.45">
      <c r="A2">
        <v>1</v>
      </c>
      <c r="B2" s="8" t="s">
        <v>129</v>
      </c>
      <c r="C2" s="9"/>
      <c r="D2" s="9"/>
      <c r="E2" s="9"/>
      <c r="F2" s="9"/>
      <c r="G2" s="9"/>
      <c r="H2" s="9"/>
      <c r="I2" s="9"/>
      <c r="J2" s="9"/>
      <c r="K2" s="9"/>
      <c r="L2" s="9"/>
      <c r="M2" s="9"/>
      <c r="N2" s="9"/>
      <c r="O2" s="9"/>
      <c r="P2" s="9"/>
      <c r="Q2" s="9"/>
      <c r="R2" s="9"/>
      <c r="S2" s="9"/>
      <c r="T2" s="9"/>
    </row>
    <row r="3" spans="1:20" ht="23.4" x14ac:dyDescent="0.45">
      <c r="A3">
        <v>2</v>
      </c>
      <c r="B3" s="8" t="s">
        <v>132</v>
      </c>
      <c r="C3" s="9"/>
      <c r="D3" s="9"/>
      <c r="E3" s="9"/>
      <c r="F3" s="9"/>
      <c r="G3" s="9"/>
      <c r="H3" s="9"/>
      <c r="I3" s="9"/>
      <c r="J3" s="9"/>
      <c r="K3" s="9"/>
      <c r="L3" s="9"/>
      <c r="M3" s="9"/>
      <c r="N3" s="9"/>
      <c r="O3" s="9"/>
      <c r="P3" s="9"/>
      <c r="Q3" s="9"/>
      <c r="R3" s="9"/>
      <c r="S3" s="9"/>
      <c r="T3" s="9"/>
    </row>
    <row r="4" spans="1:20" ht="23.4" x14ac:dyDescent="0.45">
      <c r="A4">
        <v>3</v>
      </c>
      <c r="B4" s="8" t="s">
        <v>133</v>
      </c>
      <c r="C4" s="9"/>
      <c r="D4" s="9"/>
      <c r="E4" s="9"/>
      <c r="F4" s="9"/>
      <c r="G4" s="9"/>
      <c r="H4" s="9"/>
      <c r="I4" s="9"/>
      <c r="J4" s="9"/>
      <c r="K4" s="9"/>
      <c r="L4" s="9"/>
      <c r="M4" s="9"/>
      <c r="N4" s="9"/>
      <c r="O4" s="9"/>
      <c r="P4" s="9"/>
      <c r="Q4" s="9"/>
      <c r="R4" s="9"/>
      <c r="S4" s="9"/>
      <c r="T4" s="9"/>
    </row>
    <row r="5" spans="1:20" ht="23.4" x14ac:dyDescent="0.45">
      <c r="A5">
        <v>4</v>
      </c>
      <c r="B5" s="8" t="s">
        <v>134</v>
      </c>
      <c r="C5" s="9"/>
      <c r="D5" s="9"/>
      <c r="E5" s="9"/>
      <c r="F5" s="9"/>
      <c r="G5" s="9"/>
      <c r="H5" s="9"/>
      <c r="I5" s="9"/>
      <c r="J5" s="9"/>
      <c r="K5" s="9"/>
      <c r="L5" s="9"/>
      <c r="M5" s="9"/>
      <c r="N5" s="9"/>
      <c r="O5" s="9"/>
      <c r="P5" s="9"/>
      <c r="Q5" s="9"/>
      <c r="R5" s="9"/>
      <c r="S5" s="9"/>
      <c r="T5" s="9"/>
    </row>
    <row r="6" spans="1:20" ht="23.4" x14ac:dyDescent="0.45">
      <c r="A6">
        <v>5</v>
      </c>
      <c r="B6" s="8" t="s">
        <v>135</v>
      </c>
      <c r="C6" s="9"/>
      <c r="D6" s="9"/>
      <c r="E6" s="9"/>
      <c r="F6" s="9"/>
      <c r="G6" s="9"/>
      <c r="H6" s="9"/>
      <c r="I6" s="9"/>
      <c r="J6" s="9"/>
      <c r="K6" s="9"/>
      <c r="L6" s="9"/>
      <c r="M6" s="9"/>
      <c r="N6" s="9"/>
      <c r="O6" s="9"/>
      <c r="P6" s="9"/>
      <c r="Q6" s="9"/>
      <c r="R6" s="9"/>
      <c r="S6" s="9"/>
      <c r="T6" s="9"/>
    </row>
    <row r="7" spans="1:20" ht="23.4" x14ac:dyDescent="0.45">
      <c r="A7">
        <v>6</v>
      </c>
      <c r="B7" s="8" t="s">
        <v>136</v>
      </c>
      <c r="C7" s="9"/>
      <c r="D7" s="9"/>
      <c r="E7" s="9"/>
      <c r="F7" s="9"/>
      <c r="G7" s="9"/>
      <c r="H7" s="9"/>
      <c r="I7" s="9"/>
      <c r="J7" s="9"/>
      <c r="K7" s="9"/>
      <c r="L7" s="9"/>
      <c r="M7" s="9"/>
      <c r="N7" s="9"/>
      <c r="O7" s="9"/>
      <c r="P7" s="9"/>
      <c r="Q7" s="9"/>
      <c r="R7" s="9"/>
      <c r="S7" s="9"/>
      <c r="T7" s="9"/>
    </row>
    <row r="8" spans="1:20" ht="23.4" x14ac:dyDescent="0.45">
      <c r="A8">
        <v>7</v>
      </c>
      <c r="B8" s="8" t="s">
        <v>130</v>
      </c>
      <c r="C8" s="9"/>
      <c r="D8" s="9"/>
      <c r="E8" s="9"/>
      <c r="F8" s="9"/>
      <c r="G8" s="9"/>
      <c r="H8" s="9"/>
      <c r="I8" s="9"/>
      <c r="J8" s="9"/>
      <c r="K8" s="9"/>
      <c r="L8" s="9"/>
      <c r="M8" s="9"/>
      <c r="N8" s="9"/>
      <c r="O8" s="9"/>
      <c r="P8" s="9"/>
      <c r="Q8" s="9"/>
      <c r="R8" s="9"/>
      <c r="S8" s="9"/>
      <c r="T8" s="9"/>
    </row>
    <row r="9" spans="1:20" ht="23.4" x14ac:dyDescent="0.45">
      <c r="A9">
        <v>8</v>
      </c>
      <c r="B9" s="8" t="s">
        <v>131</v>
      </c>
      <c r="C9" s="9"/>
      <c r="D9" s="9"/>
      <c r="E9" s="9"/>
      <c r="F9" s="9"/>
      <c r="G9" s="9"/>
      <c r="H9" s="9"/>
      <c r="I9" s="9"/>
      <c r="J9" s="9"/>
      <c r="K9" s="9"/>
      <c r="L9" s="9"/>
      <c r="M9" s="9"/>
      <c r="N9" s="9"/>
      <c r="O9" s="9"/>
      <c r="P9" s="9"/>
      <c r="Q9" s="9"/>
      <c r="R9" s="9"/>
      <c r="S9" s="9"/>
      <c r="T9" s="9"/>
    </row>
    <row r="10" spans="1:20" ht="23.4" x14ac:dyDescent="0.45">
      <c r="B10" s="9"/>
      <c r="C10" s="9"/>
      <c r="D10" s="9"/>
      <c r="E10" s="9"/>
      <c r="F10" s="9"/>
      <c r="G10" s="9"/>
      <c r="H10" s="9"/>
      <c r="I10" s="9"/>
      <c r="J10" s="9"/>
      <c r="K10" s="9"/>
      <c r="L10" s="9"/>
      <c r="M10" s="9"/>
      <c r="N10" s="9"/>
      <c r="O10" s="9"/>
      <c r="P10" s="9"/>
      <c r="Q10" s="9"/>
      <c r="R10" s="9"/>
      <c r="S10" s="9"/>
      <c r="T10"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Dashboard1</vt:lpstr>
      <vt:lpstr>Pivot table1</vt:lpstr>
      <vt:lpstr>Pivot table2</vt:lpstr>
      <vt:lpstr>Dashboard2</vt:lpstr>
      <vt:lpstr>Child_Health_Data</vt:lpstr>
      <vt:lpstr>Validation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Sravanthi Belide</dc:creator>
  <cp:lastModifiedBy>Sravanthi Belide</cp:lastModifiedBy>
  <dcterms:created xsi:type="dcterms:W3CDTF">2026-03-18T07:54:48Z</dcterms:created>
  <dcterms:modified xsi:type="dcterms:W3CDTF">2026-03-18T10:23:00Z</dcterms:modified>
</cp:coreProperties>
</file>