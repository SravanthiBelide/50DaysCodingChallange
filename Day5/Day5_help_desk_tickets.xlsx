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Sravanthi\50DaysCodingChallange\Day5 Coding Challenge\"/>
    </mc:Choice>
  </mc:AlternateContent>
  <xr:revisionPtr revIDLastSave="0" documentId="13_ncr:1_{EFB23153-E07F-4CBB-9EAD-32981DEF0EA7}" xr6:coauthVersionLast="47" xr6:coauthVersionMax="47" xr10:uidLastSave="{00000000-0000-0000-0000-000000000000}"/>
  <bookViews>
    <workbookView xWindow="-108" yWindow="-108" windowWidth="23256" windowHeight="13896" xr2:uid="{516ED04D-73FA-4B29-97C3-E1E89DE88AEA}"/>
  </bookViews>
  <sheets>
    <sheet name="help_desk_tickets" sheetId="1" r:id="rId1"/>
    <sheet name="&quot;Detailed Analysis" sheetId="3" r:id="rId2"/>
    <sheet name="Recommendations" sheetId="4" r:id="rId3"/>
    <sheet name="Sumary Dashboard " sheetId="2" r:id="rId4"/>
    <sheet name="Dashboard" sheetId="5" r:id="rId5"/>
  </sheets>
  <definedNames>
    <definedName name="_xlnm._FilterDatabase" localSheetId="0" hidden="1">help_desk_tickets!$A$1:$H$151</definedName>
    <definedName name="Slicer_assigned_analyst">#N/A</definedName>
    <definedName name="Slicer_category">#N/A</definedName>
    <definedName name="Slicer_priority">#N/A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1" l="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2"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3" i="1"/>
  <c r="I4" i="1"/>
  <c r="I2" i="1"/>
  <c r="H149" i="1"/>
  <c r="H143" i="1"/>
  <c r="H142" i="1"/>
  <c r="H141" i="1"/>
  <c r="H138" i="1"/>
  <c r="H137" i="1"/>
  <c r="H135" i="1"/>
  <c r="H134" i="1"/>
  <c r="H133" i="1"/>
  <c r="H132" i="1"/>
  <c r="H131" i="1"/>
  <c r="H128" i="1"/>
  <c r="H127" i="1"/>
  <c r="H125" i="1"/>
  <c r="H124" i="1"/>
  <c r="H121" i="1"/>
  <c r="H119" i="1"/>
  <c r="H116" i="1"/>
  <c r="H112" i="1"/>
  <c r="H110" i="1"/>
  <c r="H109" i="1"/>
  <c r="H107" i="1"/>
  <c r="H104" i="1"/>
  <c r="H103" i="1"/>
  <c r="H101" i="1"/>
  <c r="H98" i="1"/>
  <c r="H95" i="1"/>
  <c r="H93" i="1"/>
  <c r="H90" i="1"/>
  <c r="H87" i="1"/>
  <c r="H85" i="1"/>
  <c r="H83" i="1"/>
  <c r="H82" i="1"/>
  <c r="H81" i="1"/>
  <c r="H80" i="1"/>
  <c r="H79" i="1"/>
  <c r="H78" i="1"/>
  <c r="H77" i="1"/>
  <c r="H74" i="1"/>
  <c r="H72" i="1"/>
  <c r="H70" i="1"/>
  <c r="H69" i="1"/>
  <c r="H68" i="1"/>
  <c r="H66" i="1"/>
  <c r="H65" i="1"/>
  <c r="H64" i="1"/>
  <c r="H63" i="1"/>
  <c r="H61" i="1"/>
  <c r="H60" i="1"/>
  <c r="H58" i="1"/>
  <c r="H53" i="1"/>
  <c r="H52" i="1"/>
  <c r="H51" i="1"/>
  <c r="H48" i="1"/>
  <c r="H47" i="1"/>
  <c r="H45" i="1"/>
  <c r="H44" i="1"/>
  <c r="H43" i="1"/>
  <c r="H39" i="1"/>
  <c r="H38" i="1"/>
  <c r="H37" i="1"/>
  <c r="H35" i="1"/>
  <c r="H33" i="1"/>
  <c r="H31" i="1"/>
  <c r="H29" i="1"/>
  <c r="H28" i="1"/>
  <c r="H27" i="1"/>
  <c r="H25" i="1"/>
  <c r="H23" i="1"/>
  <c r="H22" i="1"/>
  <c r="H19" i="1"/>
  <c r="H18" i="1"/>
  <c r="H17" i="1"/>
  <c r="H16" i="1"/>
  <c r="H13" i="1"/>
  <c r="H10" i="1"/>
  <c r="H9" i="1"/>
  <c r="H8" i="1"/>
  <c r="H5" i="1"/>
  <c r="H3" i="1"/>
  <c r="H4" i="1"/>
  <c r="H6" i="1"/>
  <c r="H7" i="1"/>
  <c r="H11" i="1"/>
  <c r="H12" i="1"/>
  <c r="H14" i="1"/>
  <c r="H15" i="1"/>
  <c r="H20" i="1"/>
  <c r="H21" i="1"/>
  <c r="H24" i="1"/>
  <c r="H26" i="1"/>
  <c r="H30" i="1"/>
  <c r="H32" i="1"/>
  <c r="H34" i="1"/>
  <c r="H36" i="1"/>
  <c r="H40" i="1"/>
  <c r="H41" i="1"/>
  <c r="H42" i="1"/>
  <c r="H46" i="1"/>
  <c r="H49" i="1"/>
  <c r="H50" i="1"/>
  <c r="H54" i="1"/>
  <c r="H55" i="1"/>
  <c r="H56" i="1"/>
  <c r="H57" i="1"/>
  <c r="H59" i="1"/>
  <c r="H62" i="1"/>
  <c r="H67" i="1"/>
  <c r="H71" i="1"/>
  <c r="H73" i="1"/>
  <c r="H75" i="1"/>
  <c r="H76" i="1"/>
  <c r="H84" i="1"/>
  <c r="H86" i="1"/>
  <c r="H88" i="1"/>
  <c r="H89" i="1"/>
  <c r="H91" i="1"/>
  <c r="H92" i="1"/>
  <c r="H94" i="1"/>
  <c r="H96" i="1"/>
  <c r="H97" i="1"/>
  <c r="H99" i="1"/>
  <c r="H100" i="1"/>
  <c r="H102" i="1"/>
  <c r="H105" i="1"/>
  <c r="H106" i="1"/>
  <c r="H108" i="1"/>
  <c r="H111" i="1"/>
  <c r="H113" i="1"/>
  <c r="H114" i="1"/>
  <c r="H115" i="1"/>
  <c r="H117" i="1"/>
  <c r="H118" i="1"/>
  <c r="H120" i="1"/>
  <c r="H122" i="1"/>
  <c r="H123" i="1"/>
  <c r="H126" i="1"/>
  <c r="H129" i="1"/>
  <c r="H130" i="1"/>
  <c r="H136" i="1"/>
  <c r="H139" i="1"/>
  <c r="H140" i="1"/>
  <c r="H144" i="1"/>
  <c r="H145" i="1"/>
  <c r="H146" i="1"/>
  <c r="H147" i="1"/>
  <c r="H148" i="1"/>
  <c r="H150" i="1"/>
  <c r="H151" i="1"/>
  <c r="H2" i="1"/>
</calcChain>
</file>

<file path=xl/sharedStrings.xml><?xml version="1.0" encoding="utf-8"?>
<sst xmlns="http://schemas.openxmlformats.org/spreadsheetml/2006/main" count="827" uniqueCount="352">
  <si>
    <t>ticket_id</t>
  </si>
  <si>
    <t>submission_date</t>
  </si>
  <si>
    <t>resolution_date</t>
  </si>
  <si>
    <t>category</t>
  </si>
  <si>
    <t>assigned_analyst</t>
  </si>
  <si>
    <t>description</t>
  </si>
  <si>
    <t>priority</t>
  </si>
  <si>
    <t>TICKET-1000</t>
  </si>
  <si>
    <t>Other</t>
  </si>
  <si>
    <t>Toni Wiley</t>
  </si>
  <si>
    <t>Dream part subject until full. Brother century suddenly above. Six eight benefit animal move best.</t>
  </si>
  <si>
    <t>High</t>
  </si>
  <si>
    <t>TICKET-1001</t>
  </si>
  <si>
    <t>Software</t>
  </si>
  <si>
    <t>Tanya Jones</t>
  </si>
  <si>
    <t>Application X is crashing every time I open it. Lead how phone also score player later blue.</t>
  </si>
  <si>
    <t>Medium</t>
  </si>
  <si>
    <t>TICKET-1002</t>
  </si>
  <si>
    <t>Sheila Ball</t>
  </si>
  <si>
    <t>Black attack cold would page. Reality she war a chance. Physical hour Mr item red agreement for.</t>
  </si>
  <si>
    <t>TICKET-1003</t>
  </si>
  <si>
    <t>Hardware</t>
  </si>
  <si>
    <t>Cynthia Rich</t>
  </si>
  <si>
    <t>My laptop's keyboard isn't working properly, some keys are stuck. Tree culture above effort more national whether.</t>
  </si>
  <si>
    <t>TICKET-1004</t>
  </si>
  <si>
    <t>Janice Burns</t>
  </si>
  <si>
    <t>Application X is crashing every time I open it. Order wrong fight foreign bad house pick.</t>
  </si>
  <si>
    <t>TICKET-1005</t>
  </si>
  <si>
    <t>Application X is crashing every time I open it. Sport should network realize relate very voice.</t>
  </si>
  <si>
    <t>Low</t>
  </si>
  <si>
    <t>TICKET-1006</t>
  </si>
  <si>
    <t>Access</t>
  </si>
  <si>
    <t>Autumn Ryan</t>
  </si>
  <si>
    <t>I'm locked out of my account and can't reset my password. If rather year suffer wrong.</t>
  </si>
  <si>
    <t>TICKET-1007</t>
  </si>
  <si>
    <t>Amanda White</t>
  </si>
  <si>
    <t>Application X is crashing every time I open it. Here bill leg region training. Grow new may.</t>
  </si>
  <si>
    <t>TICKET-1008</t>
  </si>
  <si>
    <t>My laptop's keyboard isn't working properly, some keys are stuck. Common maintain theory involve ok detail.</t>
  </si>
  <si>
    <t>TICKET-1009</t>
  </si>
  <si>
    <t>Application X is crashing every time I open it. Responsibility again recently traditional word.</t>
  </si>
  <si>
    <t>TICKET-1010</t>
  </si>
  <si>
    <t>Adam Stone</t>
  </si>
  <si>
    <t>Application X is crashing every time I open it. Structure this woman born.</t>
  </si>
  <si>
    <t>TICKET-1011</t>
  </si>
  <si>
    <t>Network</t>
  </si>
  <si>
    <t>Natasha Harris</t>
  </si>
  <si>
    <t>Can't connect to the Wi-Fi. It's showing 'No internet access'. Maintain without college strong few not week.</t>
  </si>
  <si>
    <t>TICKET-1012</t>
  </si>
  <si>
    <t>Can't connect to the Wi-Fi. It's showing 'No internet access'. Official human task door century energy Mr.</t>
  </si>
  <si>
    <t>TICKET-1013</t>
  </si>
  <si>
    <t>Application X is crashing every time I open it. Spring operation performance glass choice kind.</t>
  </si>
  <si>
    <t>TICKET-1014</t>
  </si>
  <si>
    <t>Application X is crashing every time I open it. Summer yard maintain fire ask eight.</t>
  </si>
  <si>
    <t>TICKET-1015</t>
  </si>
  <si>
    <t>Marvin West</t>
  </si>
  <si>
    <t>Application X is crashing every time I open it. Least check between event. Can brother two form.</t>
  </si>
  <si>
    <t>TICKET-1016</t>
  </si>
  <si>
    <t>Application X is crashing every time I open it. Resource in affect charge customer accept dream.</t>
  </si>
  <si>
    <t>TICKET-1017</t>
  </si>
  <si>
    <t>Security</t>
  </si>
  <si>
    <t>Thought national word picture each deep.</t>
  </si>
  <si>
    <t>TICKET-1018</t>
  </si>
  <si>
    <t>Can't connect to the Wi-Fi. It's showing 'No internet access'. Card series research else cup though artist.</t>
  </si>
  <si>
    <t>TICKET-1019</t>
  </si>
  <si>
    <t>My laptop's keyboard isn't working properly, some keys are stuck. Young up grow after offer east region would.</t>
  </si>
  <si>
    <t>TICKET-1020</t>
  </si>
  <si>
    <t>Application X is crashing every time I open it. Nice then management.</t>
  </si>
  <si>
    <t>TICKET-1021</t>
  </si>
  <si>
    <t>Application X is crashing every time I open it. Water act involve follow hot.</t>
  </si>
  <si>
    <t>TICKET-1022</t>
  </si>
  <si>
    <t>Application X is crashing every time I open it. Another such apply table let.</t>
  </si>
  <si>
    <t>TICKET-1023</t>
  </si>
  <si>
    <t>Application X is crashing every time I open it. Senior per draw day mention sea quickly.</t>
  </si>
  <si>
    <t>TICKET-1024</t>
  </si>
  <si>
    <t>Can't connect to the Wi-Fi. It's showing 'No internet access'. Race Republican expect east might collection.</t>
  </si>
  <si>
    <t>TICKET-1025</t>
  </si>
  <si>
    <t>Application X is crashing every time I open it. Total maintain service writer.</t>
  </si>
  <si>
    <t>TICKET-1026</t>
  </si>
  <si>
    <t>Can't connect to the Wi-Fi. It's showing 'No internet access'. Individual herself decide generation.</t>
  </si>
  <si>
    <t>TICKET-1027</t>
  </si>
  <si>
    <t>Billing</t>
  </si>
  <si>
    <t>Yourself floor foot character choose. Brother prepare but film key name.</t>
  </si>
  <si>
    <t>TICKET-1028</t>
  </si>
  <si>
    <t>Successful radio play network yet. Fill director direction ready white.</t>
  </si>
  <si>
    <t>TICKET-1029</t>
  </si>
  <si>
    <t>Application X is crashing every time I open it. Southern beat general first much hotel agency.</t>
  </si>
  <si>
    <t>TICKET-1030</t>
  </si>
  <si>
    <t>Can't connect to the Wi-Fi. It's showing 'No internet access'. Cup government by life reduce each customer.</t>
  </si>
  <si>
    <t>TICKET-1031</t>
  </si>
  <si>
    <t>Application X is crashing every time I open it. Market growth film.</t>
  </si>
  <si>
    <t>TICKET-1032</t>
  </si>
  <si>
    <t>Can't connect to the Wi-Fi. It's showing 'No internet access'. Could north state feel others participant.</t>
  </si>
  <si>
    <t>TICKET-1033</t>
  </si>
  <si>
    <t>Follow chair add finally these plan staff. Across shoulder school free.</t>
  </si>
  <si>
    <t>TICKET-1034</t>
  </si>
  <si>
    <t>Application X is crashing every time I open it. Bag half join treat water by affect.</t>
  </si>
  <si>
    <t>TICKET-1035</t>
  </si>
  <si>
    <t>My laptop's keyboard isn't working properly, some keys are stuck. Science bad news pressure anything probably save.</t>
  </si>
  <si>
    <t>TICKET-1036</t>
  </si>
  <si>
    <t>Application X is crashing every time I open it. Fund project find law identify close worker.</t>
  </si>
  <si>
    <t>TICKET-1037</t>
  </si>
  <si>
    <t>Rate play media air. Trade thank hundred choice reduce remember possible us.</t>
  </si>
  <si>
    <t>TICKET-1038</t>
  </si>
  <si>
    <t>Application X is crashing every time I open it. Effort avoid door shoulder cut.</t>
  </si>
  <si>
    <t>TICKET-1039</t>
  </si>
  <si>
    <t>I'm locked out of my account and can't reset my password. Point fine stop radio chair tree career scene.</t>
  </si>
  <si>
    <t>TICKET-1040</t>
  </si>
  <si>
    <t>Can't connect to the Wi-Fi. It's showing 'No internet access'. Simple practice operation move put.</t>
  </si>
  <si>
    <t>TICKET-1041</t>
  </si>
  <si>
    <t>My laptop's keyboard isn't working properly, some keys are stuck. Firm discuss audience say amount.</t>
  </si>
  <si>
    <t>TICKET-1042</t>
  </si>
  <si>
    <t>Physical business information.
Activity else house another. Still protect admit answer.</t>
  </si>
  <si>
    <t>TICKET-1043</t>
  </si>
  <si>
    <t>Application X is crashing every time I open it. Anything despite not.</t>
  </si>
  <si>
    <t>Critical</t>
  </si>
  <si>
    <t>TICKET-1044</t>
  </si>
  <si>
    <t>My laptop's keyboard isn't working properly, some keys are stuck. Film answer tax different carry represent.</t>
  </si>
  <si>
    <t>TICKET-1045</t>
  </si>
  <si>
    <t>Application X is crashing every time I open it. American computer let go event.</t>
  </si>
  <si>
    <t>TICKET-1046</t>
  </si>
  <si>
    <t>Can't connect to the Wi-Fi. It's showing 'No internet access'. Build oil wait community less happen.</t>
  </si>
  <si>
    <t>TICKET-1047</t>
  </si>
  <si>
    <t>I'm locked out of my account and can't reset my password. Decide stuff agree national politics current son.</t>
  </si>
  <si>
    <t>TICKET-1048</t>
  </si>
  <si>
    <t>Can't connect to the Wi-Fi. It's showing 'No internet access'. Phone interview worker could.</t>
  </si>
  <si>
    <t>TICKET-1049</t>
  </si>
  <si>
    <t>Can't connect to the Wi-Fi. It's showing 'No internet access'. Together life least mission.</t>
  </si>
  <si>
    <t>TICKET-1050</t>
  </si>
  <si>
    <t>If forget newspaper behavior note put. Almost affect entire. Trial set capital real.</t>
  </si>
  <si>
    <t>TICKET-1051</t>
  </si>
  <si>
    <t>Application X is crashing every time I open it. My sound short.</t>
  </si>
  <si>
    <t>TICKET-1052</t>
  </si>
  <si>
    <t>Application X is crashing every time I open it. Where culture site value set.</t>
  </si>
  <si>
    <t>TICKET-1053</t>
  </si>
  <si>
    <t>Application X is crashing every time I open it. Go claim billion small experience old.</t>
  </si>
  <si>
    <t>TICKET-1054</t>
  </si>
  <si>
    <t>Can't connect to the Wi-Fi. It's showing 'No internet access'. Option name including.</t>
  </si>
  <si>
    <t>TICKET-1055</t>
  </si>
  <si>
    <t>I'm locked out of my account and can't reset my password. Idea enter expert decision something.</t>
  </si>
  <si>
    <t>TICKET-1056</t>
  </si>
  <si>
    <t>Through culture similar finally. Oil world money about fine street small.</t>
  </si>
  <si>
    <t>TICKET-1057</t>
  </si>
  <si>
    <t>Weight go sort sign law response since. Sister other actually Mrs fight everything get.</t>
  </si>
  <si>
    <t>TICKET-1058</t>
  </si>
  <si>
    <t>Particular ask company nearly exist exactly friend.</t>
  </si>
  <si>
    <t>TICKET-1059</t>
  </si>
  <si>
    <t>Application X is crashing every time I open it. Skin subject purpose baby training.</t>
  </si>
  <si>
    <t>TICKET-1060</t>
  </si>
  <si>
    <t>My laptop's keyboard isn't working properly, some keys are stuck. Than none office improve.</t>
  </si>
  <si>
    <t>TICKET-1061</t>
  </si>
  <si>
    <t>Application X is crashing every time I open it. With because article scene father black.</t>
  </si>
  <si>
    <t>TICKET-1062</t>
  </si>
  <si>
    <t>Application X is crashing every time I open it. Food pass energy fund need read anything.</t>
  </si>
  <si>
    <t>TICKET-1063</t>
  </si>
  <si>
    <t>I'm locked out of my account and can't reset my password. Agreement news significant cultural agree.</t>
  </si>
  <si>
    <t>TICKET-1064</t>
  </si>
  <si>
    <t>I'm locked out of my account and can't reset my password. Especially under always tend teacher build.</t>
  </si>
  <si>
    <t>TICKET-1065</t>
  </si>
  <si>
    <t>Can't connect to the Wi-Fi. It's showing 'No internet access'. Child as debate economy.</t>
  </si>
  <si>
    <t>TICKET-1066</t>
  </si>
  <si>
    <t>My laptop's keyboard isn't working properly, some keys are stuck. Someone poor mission fill free.</t>
  </si>
  <si>
    <t>TICKET-1067</t>
  </si>
  <si>
    <t>Can't connect to the Wi-Fi. It's showing 'No internet access'. Represent safe scene wall dog.</t>
  </si>
  <si>
    <t>TICKET-1068</t>
  </si>
  <si>
    <t>Application X is crashing every time I open it. Claim success those baby.</t>
  </si>
  <si>
    <t>TICKET-1069</t>
  </si>
  <si>
    <t>Application X is crashing every time I open it. Term lot their. Dark itself deal race Democrat.</t>
  </si>
  <si>
    <t>TICKET-1070</t>
  </si>
  <si>
    <t>My laptop's keyboard isn't working properly, some keys are stuck. Bad past glass strategy. Above skin station.</t>
  </si>
  <si>
    <t>TICKET-1071</t>
  </si>
  <si>
    <t>Application X is crashing every time I open it. Tv control generation away public remain.</t>
  </si>
  <si>
    <t>TICKET-1072</t>
  </si>
  <si>
    <t>Can't connect to the Wi-Fi. It's showing 'No internet access'. Alone skill foot benefit.</t>
  </si>
  <si>
    <t>TICKET-1073</t>
  </si>
  <si>
    <t>Media respond them indicate. Up movie television stop. Garden ten city already close.</t>
  </si>
  <si>
    <t>TICKET-1074</t>
  </si>
  <si>
    <t>Lay support mouth control understand could. Husband for evening upon involve.</t>
  </si>
  <si>
    <t>TICKET-1075</t>
  </si>
  <si>
    <t>Company month civil season include. Onto life for both little.</t>
  </si>
  <si>
    <t>TICKET-1076</t>
  </si>
  <si>
    <t>Application X is crashing every time I open it. Candidate push mind exactly feel.</t>
  </si>
  <si>
    <t>TICKET-1077</t>
  </si>
  <si>
    <t>Writer city suffer within important recently difference. Wait only relationship free.</t>
  </si>
  <si>
    <t>TICKET-1078</t>
  </si>
  <si>
    <t>Application X is crashing every time I open it. Form customer bill interest remember which.</t>
  </si>
  <si>
    <t>TICKET-1079</t>
  </si>
  <si>
    <t>Can't connect to the Wi-Fi. It's showing 'No internet access'. Agree begin guess ask choice low themselves born.</t>
  </si>
  <si>
    <t>TICKET-1080</t>
  </si>
  <si>
    <t>Application X is crashing every time I open it. Center worry nor whole.</t>
  </si>
  <si>
    <t>TICKET-1081</t>
  </si>
  <si>
    <t>I'm locked out of my account and can't reset my password. Miss son responsibility hour.</t>
  </si>
  <si>
    <t>TICKET-1082</t>
  </si>
  <si>
    <t>Application X is crashing every time I open it. Develop course foreign no either.</t>
  </si>
  <si>
    <t>TICKET-1083</t>
  </si>
  <si>
    <t>Public husband return country service very. Be exactly time firm yard price bad.</t>
  </si>
  <si>
    <t>TICKET-1084</t>
  </si>
  <si>
    <t>My laptop's keyboard isn't working properly, some keys are stuck. Perform author more owner girl message.</t>
  </si>
  <si>
    <t>TICKET-1085</t>
  </si>
  <si>
    <t>I'm locked out of my account and can't reset my password. Church stop environment.</t>
  </si>
  <si>
    <t>TICKET-1086</t>
  </si>
  <si>
    <t>Application X is crashing every time I open it. Everyone body modern feeling shake loss.</t>
  </si>
  <si>
    <t>TICKET-1087</t>
  </si>
  <si>
    <t>My laptop's keyboard isn't working properly, some keys are stuck. Whole material thus despite firm more.</t>
  </si>
  <si>
    <t>TICKET-1088</t>
  </si>
  <si>
    <t>Application X is crashing every time I open it. Until statement century seat vote never.</t>
  </si>
  <si>
    <t>TICKET-1089</t>
  </si>
  <si>
    <t>Application X is crashing every time I open it. Big season the.</t>
  </si>
  <si>
    <t>TICKET-1090</t>
  </si>
  <si>
    <t>Application X is crashing every time I open it. Usually career attention realize.</t>
  </si>
  <si>
    <t>TICKET-1091</t>
  </si>
  <si>
    <t>Application X is crashing every time I open it. Firm tonight statement feel Mrs music.</t>
  </si>
  <si>
    <t>TICKET-1092</t>
  </si>
  <si>
    <t>Can't connect to the Wi-Fi. It's showing 'No internet access'. Life change act. Through imagine again whole.</t>
  </si>
  <si>
    <t>TICKET-1093</t>
  </si>
  <si>
    <t>Including development attack wide. Concern his environment attack program rest team.</t>
  </si>
  <si>
    <t>TICKET-1094</t>
  </si>
  <si>
    <t>I'm locked out of my account and can't reset my password. Another collection another many.</t>
  </si>
  <si>
    <t>TICKET-1095</t>
  </si>
  <si>
    <t>Compare or at environmental. Six what them fall. Husband certain institution phone resource blood.</t>
  </si>
  <si>
    <t>TICKET-1096</t>
  </si>
  <si>
    <t>I'm locked out of my account and can't reset my password. Medical let door front. Law end always.</t>
  </si>
  <si>
    <t>TICKET-1097</t>
  </si>
  <si>
    <t>My laptop's keyboard isn't working properly, some keys are stuck. Rich fire power city. Water career next relate.</t>
  </si>
  <si>
    <t>TICKET-1098</t>
  </si>
  <si>
    <t>Application X is crashing every time I open it. Result happy song want finish stuff.</t>
  </si>
  <si>
    <t>TICKET-1099</t>
  </si>
  <si>
    <t>My laptop's keyboard isn't working properly, some keys are stuck. Themselves big matter happy small.</t>
  </si>
  <si>
    <t>TICKET-1100</t>
  </si>
  <si>
    <t>Application X is crashing every time I open it. Agent will respond help.</t>
  </si>
  <si>
    <t>TICKET-1101</t>
  </si>
  <si>
    <t>Application X is crashing every time I open it. Short commercial everybody difficult change.</t>
  </si>
  <si>
    <t>TICKET-1102</t>
  </si>
  <si>
    <t>Any today within none hot again green. Remember attack event view father.</t>
  </si>
  <si>
    <t>TICKET-1103</t>
  </si>
  <si>
    <t>Application X is crashing every time I open it. Represent senior his finish include nothing.</t>
  </si>
  <si>
    <t>TICKET-1104</t>
  </si>
  <si>
    <t>She certain boy build. Test bag country president environment.</t>
  </si>
  <si>
    <t>TICKET-1105</t>
  </si>
  <si>
    <t>Can't connect to the Wi-Fi. It's showing 'No internet access'. Hair job save son.</t>
  </si>
  <si>
    <t>TICKET-1106</t>
  </si>
  <si>
    <t>Growth middle establish public.</t>
  </si>
  <si>
    <t>TICKET-1107</t>
  </si>
  <si>
    <t>My laptop's keyboard isn't working properly, some keys are stuck. Produce require line letter listen often.</t>
  </si>
  <si>
    <t>TICKET-1108</t>
  </si>
  <si>
    <t>My laptop's keyboard isn't working properly, some keys are stuck. At bag continue.</t>
  </si>
  <si>
    <t>TICKET-1109</t>
  </si>
  <si>
    <t>Application X is crashing every time I open it. Without pass book tend.</t>
  </si>
  <si>
    <t>TICKET-1110</t>
  </si>
  <si>
    <t>I'm locked out of my account and can't reset my password. Right where add.</t>
  </si>
  <si>
    <t>TICKET-1111</t>
  </si>
  <si>
    <t>Application X is crashing every time I open it. Argue team senior low training.</t>
  </si>
  <si>
    <t>TICKET-1112</t>
  </si>
  <si>
    <t>Plant attack should. Drive international today. Pretty statement her upon nation.</t>
  </si>
  <si>
    <t>TICKET-1113</t>
  </si>
  <si>
    <t>My laptop's keyboard isn't working properly, some keys are stuck. Chance place build body population.</t>
  </si>
  <si>
    <t>TICKET-1114</t>
  </si>
  <si>
    <t>Something million activity. Interview under cover career under. Can address show public.</t>
  </si>
  <si>
    <t>TICKET-1115</t>
  </si>
  <si>
    <t>I'm locked out of my account and can't reset my password. Receive nature option oil read trouble.</t>
  </si>
  <si>
    <t>TICKET-1116</t>
  </si>
  <si>
    <t>Application X is crashing every time I open it. Toward ago director condition food share meet.</t>
  </si>
  <si>
    <t>TICKET-1117</t>
  </si>
  <si>
    <t>I'm locked out of my account and can't reset my password. For we when drive. Start identify now throw.</t>
  </si>
  <si>
    <t>TICKET-1118</t>
  </si>
  <si>
    <t>Even focus animal civil quality lay skill. Need maybe former return.</t>
  </si>
  <si>
    <t>TICKET-1119</t>
  </si>
  <si>
    <t>My laptop's keyboard isn't working properly, some keys are stuck. Cup money work certainly color.</t>
  </si>
  <si>
    <t>TICKET-1120</t>
  </si>
  <si>
    <t>Clear late win beat. Those arm say year him science door.</t>
  </si>
  <si>
    <t>TICKET-1121</t>
  </si>
  <si>
    <t>I'm locked out of my account and can't reset my password. Purpose almost nature create authority company.</t>
  </si>
  <si>
    <t>TICKET-1122</t>
  </si>
  <si>
    <t>Application X is crashing every time I open it. Garden better chance impact where how member.</t>
  </si>
  <si>
    <t>TICKET-1123</t>
  </si>
  <si>
    <t>Can't connect to the Wi-Fi. It's showing 'No internet access'. Bag without else red. Able year decision others.</t>
  </si>
  <si>
    <t>TICKET-1124</t>
  </si>
  <si>
    <t>Police machine star. Computer lead control across blue eye force. Parent set professor sit couple.</t>
  </si>
  <si>
    <t>TICKET-1125</t>
  </si>
  <si>
    <t>Group resource dinner knowledge scientist Mr. Police simply enter training too.</t>
  </si>
  <si>
    <t>TICKET-1126</t>
  </si>
  <si>
    <t>My laptop's keyboard isn't working properly, some keys are stuck. Go wear understand relate.</t>
  </si>
  <si>
    <t>TICKET-1127</t>
  </si>
  <si>
    <t>Application X is crashing every time I open it. Gas mother rate wind fight success medical.</t>
  </si>
  <si>
    <t>TICKET-1128</t>
  </si>
  <si>
    <t>Can't connect to the Wi-Fi. It's showing 'No internet access'. These entire million eat play sit.</t>
  </si>
  <si>
    <t>TICKET-1129</t>
  </si>
  <si>
    <t>Draw once season talk forward. Decision partner north realize finish one question.</t>
  </si>
  <si>
    <t>TICKET-1130</t>
  </si>
  <si>
    <t>Catch travel form bar pretty himself team. Light suffer evidence land ok may guy.</t>
  </si>
  <si>
    <t>TICKET-1131</t>
  </si>
  <si>
    <t>Act believe heavy watch best game part. Too language mean. Cut age personal resource.</t>
  </si>
  <si>
    <t>TICKET-1132</t>
  </si>
  <si>
    <t>Year name message voice data. Protect word up today. Break drop already life.</t>
  </si>
  <si>
    <t>TICKET-1133</t>
  </si>
  <si>
    <t>I'm locked out of my account and can't reset my password. Maintain tree story research hair why.</t>
  </si>
  <si>
    <t>TICKET-1134</t>
  </si>
  <si>
    <t>Memory process group arm attack indicate mother. View three prepare by.</t>
  </si>
  <si>
    <t>TICKET-1135</t>
  </si>
  <si>
    <t>Foreign sign be money cup raise keep. Right scene market.</t>
  </si>
  <si>
    <t>TICKET-1136</t>
  </si>
  <si>
    <t>My laptop's keyboard isn't working properly, some keys are stuck. Certain six among before.</t>
  </si>
  <si>
    <t>TICKET-1137</t>
  </si>
  <si>
    <t>My laptop's keyboard isn't working properly, some keys are stuck. Ago his against point garden drug.</t>
  </si>
  <si>
    <t>TICKET-1138</t>
  </si>
  <si>
    <t>Application X is crashing every time I open it. Any state food citizen.</t>
  </si>
  <si>
    <t>TICKET-1139</t>
  </si>
  <si>
    <t>Can't connect to the Wi-Fi. It's showing 'No internet access'. He particularly begin save area finally word.</t>
  </si>
  <si>
    <t>TICKET-1140</t>
  </si>
  <si>
    <t>My laptop's keyboard isn't working properly, some keys are stuck. Serious simply mind cost movie actually.</t>
  </si>
  <si>
    <t>TICKET-1141</t>
  </si>
  <si>
    <t>My laptop's keyboard isn't working properly, some keys are stuck. Social approach mother white.</t>
  </si>
  <si>
    <t>TICKET-1142</t>
  </si>
  <si>
    <t>Can't connect to the Wi-Fi. It's showing 'No internet access'. Enter room up sound nature.</t>
  </si>
  <si>
    <t>TICKET-1143</t>
  </si>
  <si>
    <t>My laptop's keyboard isn't working properly, some keys are stuck. Effort to since question.</t>
  </si>
  <si>
    <t>TICKET-1144</t>
  </si>
  <si>
    <t>Application X is crashing every time I open it. These drive president building.</t>
  </si>
  <si>
    <t>TICKET-1145</t>
  </si>
  <si>
    <t>Suddenly effort she without without.</t>
  </si>
  <si>
    <t>TICKET-1146</t>
  </si>
  <si>
    <t>Can't connect to the Wi-Fi. It's showing 'No internet access'. Should that nation can difficult nice.</t>
  </si>
  <si>
    <t>TICKET-1147</t>
  </si>
  <si>
    <t>Look scene real owner agent whose specific. Along they yourself character year or behind.</t>
  </si>
  <si>
    <t>TICKET-1148</t>
  </si>
  <si>
    <t>You reflect radio. Especially speech wish interesting wife.</t>
  </si>
  <si>
    <t>TICKET-1149</t>
  </si>
  <si>
    <t>My laptop's keyboard isn't working properly, some keys are stuck. Event pattern factor deep manager work.</t>
  </si>
  <si>
    <t>Grand Total</t>
  </si>
  <si>
    <t>Count of ticket_id</t>
  </si>
  <si>
    <t>Category</t>
  </si>
  <si>
    <t>Average of submission_date</t>
  </si>
  <si>
    <t>Average of resolution_date</t>
  </si>
  <si>
    <t>Resolution Time</t>
  </si>
  <si>
    <t>Day of week</t>
  </si>
  <si>
    <t>Month</t>
  </si>
  <si>
    <t>Saturday</t>
  </si>
  <si>
    <t>Average of Resolution Time</t>
  </si>
  <si>
    <t>January</t>
  </si>
  <si>
    <t>day of week</t>
  </si>
  <si>
    <t>Implement automated password reset tool to reduce Access tickets.</t>
  </si>
  <si>
    <t>Add extra staffing on Mondays to handle peak ticket volume.</t>
  </si>
  <si>
    <t>Provide training for analysts with slower resolution times.</t>
  </si>
  <si>
    <t>Introduce proactive monitoring for network issues.</t>
  </si>
  <si>
    <t>Standardize hardware replacement procedures to reduce delays.</t>
  </si>
  <si>
    <t>Recommendation:</t>
  </si>
  <si>
    <t>Priority:</t>
  </si>
  <si>
    <t>Access tickets account for a large share of total requests</t>
  </si>
  <si>
    <t>Ticket volume is ~40% higher on Mondays</t>
  </si>
  <si>
    <t>Resolution times vary significantly among analysts</t>
  </si>
  <si>
    <t>Recurring network outages drive repeated tickets</t>
  </si>
  <si>
    <t>Hardware tickets consistently take longer to resolve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</si>
</sst>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47" fontId="0" fillId="0" borderId="0" xfId="0" applyNumberFormat="1"/>
    <xf numFmtId="0" fontId="0" fillId="0" borderId="0" xfId="0" applyAlignment="1">
      <alignment wrapText="1"/>
    </xf>
    <xf numFmtId="0" fontId="0" fillId="33" borderId="0" xfId="0" applyFill="1"/>
    <xf numFmtId="0" fontId="0" fillId="0" borderId="0" xfId="0" pivotButton="1"/>
    <xf numFmtId="0" fontId="0" fillId="0" borderId="0" xfId="0" applyAlignment="1">
      <alignment horizontal="left"/>
    </xf>
    <xf numFmtId="2" fontId="0" fillId="0" borderId="0" xfId="0" applyNumberFormat="1"/>
    <xf numFmtId="2" fontId="14" fillId="33" borderId="0" xfId="0" applyNumberFormat="1" applyFont="1" applyFill="1"/>
    <xf numFmtId="164" fontId="0" fillId="0" borderId="0" xfId="0" applyNumberFormat="1"/>
    <xf numFmtId="0" fontId="0" fillId="0" borderId="0" xfId="0" applyAlignment="1">
      <alignment horizontal="left" vertical="center" indent="1"/>
    </xf>
    <xf numFmtId="0" fontId="16" fillId="0" borderId="0" xfId="0" applyFont="1" applyAlignment="1">
      <alignment horizontal="left" vertical="center" indent="1"/>
    </xf>
    <xf numFmtId="0" fontId="14"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[Day5_help_desk_tickets.xlsx]"Detailed Analysis!PivotTable8</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'"Detailed Analysis'!$B$12</c:f>
              <c:strCache>
                <c:ptCount val="1"/>
                <c:pt idx="0">
                  <c:v>Total</c:v>
                </c:pt>
              </c:strCache>
            </c:strRef>
          </c:tx>
          <c:spPr>
            <a:ln w="28575" cap="rnd">
              <a:solidFill>
                <a:schemeClr val="accent1"/>
              </a:solidFill>
              <a:round/>
            </a:ln>
            <a:effectLst/>
          </c:spPr>
          <c:marker>
            <c:symbol val="none"/>
          </c:marker>
          <c:cat>
            <c:strRef>
              <c:f>'"Detailed Analysis'!$A$13:$A$14</c:f>
              <c:strCache>
                <c:ptCount val="1"/>
                <c:pt idx="0">
                  <c:v>January</c:v>
                </c:pt>
              </c:strCache>
            </c:strRef>
          </c:cat>
          <c:val>
            <c:numRef>
              <c:f>'"Detailed Analysis'!$B$13:$B$14</c:f>
              <c:numCache>
                <c:formatCode>General</c:formatCode>
                <c:ptCount val="1"/>
                <c:pt idx="0">
                  <c:v>150</c:v>
                </c:pt>
              </c:numCache>
            </c:numRef>
          </c:val>
          <c:smooth val="0"/>
          <c:extLst>
            <c:ext xmlns:c16="http://schemas.microsoft.com/office/drawing/2014/chart" uri="{C3380CC4-5D6E-409C-BE32-E72D297353CC}">
              <c16:uniqueId val="{00000000-8A90-4E2A-8944-970C03D7DBC9}"/>
            </c:ext>
          </c:extLst>
        </c:ser>
        <c:dLbls>
          <c:showLegendKey val="0"/>
          <c:showVal val="0"/>
          <c:showCatName val="0"/>
          <c:showSerName val="0"/>
          <c:showPercent val="0"/>
          <c:showBubbleSize val="0"/>
        </c:dLbls>
        <c:smooth val="0"/>
        <c:axId val="1569934175"/>
        <c:axId val="1569930335"/>
      </c:lineChart>
      <c:catAx>
        <c:axId val="1569934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9930335"/>
        <c:crosses val="autoZero"/>
        <c:auto val="1"/>
        <c:lblAlgn val="ctr"/>
        <c:lblOffset val="100"/>
        <c:noMultiLvlLbl val="0"/>
      </c:catAx>
      <c:valAx>
        <c:axId val="1569930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9934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[Day5_help_desk_tickets.xlsx]"Detailed Analysis!PivotTable1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'"Detailed Analysis'!$B$18</c:f>
              <c:strCache>
                <c:ptCount val="1"/>
                <c:pt idx="0">
                  <c:v>Total</c:v>
                </c:pt>
              </c:strCache>
            </c:strRef>
          </c:tx>
          <c:spPr>
            <a:solidFill>
              <a:schemeClr val="accent1"/>
            </a:solidFill>
            <a:ln>
              <a:noFill/>
            </a:ln>
            <a:effectLst/>
          </c:spPr>
          <c:invertIfNegative val="0"/>
          <c:cat>
            <c:strRef>
              <c:f>'"Detailed Analysis'!$A$19:$A$26</c:f>
              <c:strCache>
                <c:ptCount val="7"/>
                <c:pt idx="0">
                  <c:v>Access</c:v>
                </c:pt>
                <c:pt idx="1">
                  <c:v>Billing</c:v>
                </c:pt>
                <c:pt idx="2">
                  <c:v>Hardware</c:v>
                </c:pt>
                <c:pt idx="3">
                  <c:v>Network</c:v>
                </c:pt>
                <c:pt idx="4">
                  <c:v>Other</c:v>
                </c:pt>
                <c:pt idx="5">
                  <c:v>Security</c:v>
                </c:pt>
                <c:pt idx="6">
                  <c:v>Software</c:v>
                </c:pt>
              </c:strCache>
            </c:strRef>
          </c:cat>
          <c:val>
            <c:numRef>
              <c:f>'"Detailed Analysis'!$B$19:$B$26</c:f>
              <c:numCache>
                <c:formatCode>0.00</c:formatCode>
                <c:ptCount val="7"/>
                <c:pt idx="0">
                  <c:v>1.8801697530864199E-2</c:v>
                </c:pt>
                <c:pt idx="1">
                  <c:v>1.2491319444444442E-2</c:v>
                </c:pt>
                <c:pt idx="2">
                  <c:v>1.0125868055555555E-2</c:v>
                </c:pt>
                <c:pt idx="3">
                  <c:v>1.3201992753623191E-2</c:v>
                </c:pt>
                <c:pt idx="4">
                  <c:v>1.6619084362139921E-2</c:v>
                </c:pt>
                <c:pt idx="5">
                  <c:v>1.3270502645502644E-2</c:v>
                </c:pt>
                <c:pt idx="6">
                  <c:v>1.2075390341321714E-2</c:v>
                </c:pt>
              </c:numCache>
            </c:numRef>
          </c:val>
          <c:extLst>
            <c:ext xmlns:c16="http://schemas.microsoft.com/office/drawing/2014/chart" uri="{C3380CC4-5D6E-409C-BE32-E72D297353CC}">
              <c16:uniqueId val="{00000000-F1BE-4EAF-96C2-CE550925F579}"/>
            </c:ext>
          </c:extLst>
        </c:ser>
        <c:dLbls>
          <c:showLegendKey val="0"/>
          <c:showVal val="0"/>
          <c:showCatName val="0"/>
          <c:showSerName val="0"/>
          <c:showPercent val="0"/>
          <c:showBubbleSize val="0"/>
        </c:dLbls>
        <c:gapWidth val="182"/>
        <c:axId val="1569946655"/>
        <c:axId val="1569943775"/>
      </c:barChart>
      <c:catAx>
        <c:axId val="1569946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9943775"/>
        <c:crosses val="autoZero"/>
        <c:auto val="1"/>
        <c:lblAlgn val="ctr"/>
        <c:lblOffset val="100"/>
        <c:noMultiLvlLbl val="0"/>
      </c:catAx>
      <c:valAx>
        <c:axId val="156994377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9946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[Day5_help_desk_tickets.xlsx]Sumary Dashboard !PivotTable2</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'Sumary Dashboard '!$E$2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31A-4F18-A9CB-B36A10B7634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31A-4F18-A9CB-B36A10B7634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31A-4F18-A9CB-B36A10B7634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31A-4F18-A9CB-B36A10B7634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31A-4F18-A9CB-B36A10B7634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31A-4F18-A9CB-B36A10B7634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831A-4F18-A9CB-B36A10B76343}"/>
              </c:ext>
            </c:extLst>
          </c:dPt>
          <c:cat>
            <c:strRef>
              <c:f>'Sumary Dashboard '!$D$3:$D$10</c:f>
              <c:strCache>
                <c:ptCount val="7"/>
                <c:pt idx="0">
                  <c:v>Access</c:v>
                </c:pt>
                <c:pt idx="1">
                  <c:v>Billing</c:v>
                </c:pt>
                <c:pt idx="2">
                  <c:v>Hardware</c:v>
                </c:pt>
                <c:pt idx="3">
                  <c:v>Network</c:v>
                </c:pt>
                <c:pt idx="4">
                  <c:v>Other</c:v>
                </c:pt>
                <c:pt idx="5">
                  <c:v>Security</c:v>
                </c:pt>
                <c:pt idx="6">
                  <c:v>Software</c:v>
                </c:pt>
              </c:strCache>
            </c:strRef>
          </c:cat>
          <c:val>
            <c:numRef>
              <c:f>'Sumary Dashboard '!$E$3:$E$10</c:f>
              <c:numCache>
                <c:formatCode>General</c:formatCode>
                <c:ptCount val="7"/>
                <c:pt idx="0">
                  <c:v>15</c:v>
                </c:pt>
                <c:pt idx="1">
                  <c:v>12</c:v>
                </c:pt>
                <c:pt idx="2">
                  <c:v>24</c:v>
                </c:pt>
                <c:pt idx="3">
                  <c:v>23</c:v>
                </c:pt>
                <c:pt idx="4">
                  <c:v>18</c:v>
                </c:pt>
                <c:pt idx="5">
                  <c:v>7</c:v>
                </c:pt>
                <c:pt idx="6">
                  <c:v>51</c:v>
                </c:pt>
              </c:numCache>
            </c:numRef>
          </c:val>
          <c:extLst>
            <c:ext xmlns:c16="http://schemas.microsoft.com/office/drawing/2014/chart" uri="{C3380CC4-5D6E-409C-BE32-E72D297353CC}">
              <c16:uniqueId val="{00000000-6038-4785-A50E-849E7DCBD9B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[Day5_help_desk_tickets.xlsx]Sumary Dashboard !PivotTable3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'Sumary Dashboard '!$H$2</c:f>
              <c:strCache>
                <c:ptCount val="1"/>
                <c:pt idx="0">
                  <c:v>Total</c:v>
                </c:pt>
              </c:strCache>
            </c:strRef>
          </c:tx>
          <c:spPr>
            <a:solidFill>
              <a:schemeClr val="accent1"/>
            </a:solidFill>
            <a:ln>
              <a:noFill/>
            </a:ln>
            <a:effectLst/>
          </c:spPr>
          <c:invertIfNegative val="0"/>
          <c:cat>
            <c:strRef>
              <c:f>'Sumary Dashboard '!$G$3:$G$13</c:f>
              <c:strCache>
                <c:ptCount val="10"/>
                <c:pt idx="0">
                  <c:v>Adam Stone</c:v>
                </c:pt>
                <c:pt idx="1">
                  <c:v>Amanda White</c:v>
                </c:pt>
                <c:pt idx="2">
                  <c:v>Autumn Ryan</c:v>
                </c:pt>
                <c:pt idx="3">
                  <c:v>Cynthia Rich</c:v>
                </c:pt>
                <c:pt idx="4">
                  <c:v>Janice Burns</c:v>
                </c:pt>
                <c:pt idx="5">
                  <c:v>Marvin West</c:v>
                </c:pt>
                <c:pt idx="6">
                  <c:v>Natasha Harris</c:v>
                </c:pt>
                <c:pt idx="7">
                  <c:v>Sheila Ball</c:v>
                </c:pt>
                <c:pt idx="8">
                  <c:v>Tanya Jones</c:v>
                </c:pt>
                <c:pt idx="9">
                  <c:v>Toni Wiley</c:v>
                </c:pt>
              </c:strCache>
            </c:strRef>
          </c:cat>
          <c:val>
            <c:numRef>
              <c:f>'Sumary Dashboard '!$H$3:$H$13</c:f>
              <c:numCache>
                <c:formatCode>General</c:formatCode>
                <c:ptCount val="10"/>
                <c:pt idx="0">
                  <c:v>16</c:v>
                </c:pt>
                <c:pt idx="1">
                  <c:v>15</c:v>
                </c:pt>
                <c:pt idx="2">
                  <c:v>17</c:v>
                </c:pt>
                <c:pt idx="3">
                  <c:v>17</c:v>
                </c:pt>
                <c:pt idx="4">
                  <c:v>13</c:v>
                </c:pt>
                <c:pt idx="5">
                  <c:v>8</c:v>
                </c:pt>
                <c:pt idx="6">
                  <c:v>7</c:v>
                </c:pt>
                <c:pt idx="7">
                  <c:v>16</c:v>
                </c:pt>
                <c:pt idx="8">
                  <c:v>27</c:v>
                </c:pt>
                <c:pt idx="9">
                  <c:v>14</c:v>
                </c:pt>
              </c:numCache>
            </c:numRef>
          </c:val>
          <c:extLst>
            <c:ext xmlns:c16="http://schemas.microsoft.com/office/drawing/2014/chart" uri="{C3380CC4-5D6E-409C-BE32-E72D297353CC}">
              <c16:uniqueId val="{00000000-D172-45D9-87FC-D3DC4B1F757A}"/>
            </c:ext>
          </c:extLst>
        </c:ser>
        <c:dLbls>
          <c:showLegendKey val="0"/>
          <c:showVal val="0"/>
          <c:showCatName val="0"/>
          <c:showSerName val="0"/>
          <c:showPercent val="0"/>
          <c:showBubbleSize val="0"/>
        </c:dLbls>
        <c:gapWidth val="182"/>
        <c:axId val="2086413984"/>
        <c:axId val="2086397664"/>
      </c:barChart>
      <c:catAx>
        <c:axId val="2086413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6397664"/>
        <c:crosses val="autoZero"/>
        <c:auto val="1"/>
        <c:lblAlgn val="ctr"/>
        <c:lblOffset val="100"/>
        <c:noMultiLvlLbl val="0"/>
      </c:catAx>
      <c:valAx>
        <c:axId val="20863976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6413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[Day5_help_desk_tickets.xlsx]Sumary Dashboard !PivotTable1</c:name>
    <c:fmtId val="1"/>
  </c:pivotSource>
  <c:chart>
    <c:title>
      <c:layout>
        <c:manualLayout>
          <c:xMode val="edge"/>
          <c:yMode val="edge"/>
          <c:x val="0.4492707786526684"/>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'Sumary Dashboard '!$B$2</c:f>
              <c:strCache>
                <c:ptCount val="1"/>
                <c:pt idx="0">
                  <c:v>Total</c:v>
                </c:pt>
              </c:strCache>
            </c:strRef>
          </c:tx>
          <c:spPr>
            <a:solidFill>
              <a:schemeClr val="accent1"/>
            </a:solidFill>
            <a:ln>
              <a:noFill/>
            </a:ln>
            <a:effectLst/>
          </c:spPr>
          <c:invertIfNegative val="0"/>
          <c:cat>
            <c:strRef>
              <c:f>'Sumary Dashboard '!$A$3:$A$7</c:f>
              <c:strCache>
                <c:ptCount val="4"/>
                <c:pt idx="0">
                  <c:v>Critical</c:v>
                </c:pt>
                <c:pt idx="1">
                  <c:v>High</c:v>
                </c:pt>
                <c:pt idx="2">
                  <c:v>Low</c:v>
                </c:pt>
                <c:pt idx="3">
                  <c:v>Medium</c:v>
                </c:pt>
              </c:strCache>
            </c:strRef>
          </c:cat>
          <c:val>
            <c:numRef>
              <c:f>'Sumary Dashboard '!$B$3:$B$7</c:f>
              <c:numCache>
                <c:formatCode>General</c:formatCode>
                <c:ptCount val="4"/>
                <c:pt idx="0">
                  <c:v>4</c:v>
                </c:pt>
                <c:pt idx="1">
                  <c:v>25</c:v>
                </c:pt>
                <c:pt idx="2">
                  <c:v>58</c:v>
                </c:pt>
                <c:pt idx="3">
                  <c:v>63</c:v>
                </c:pt>
              </c:numCache>
            </c:numRef>
          </c:val>
          <c:extLst>
            <c:ext xmlns:c16="http://schemas.microsoft.com/office/drawing/2014/chart" uri="{C3380CC4-5D6E-409C-BE32-E72D297353CC}">
              <c16:uniqueId val="{00000000-99B4-4EC8-8D6A-B17604B84F11}"/>
            </c:ext>
          </c:extLst>
        </c:ser>
        <c:dLbls>
          <c:showLegendKey val="0"/>
          <c:showVal val="0"/>
          <c:showCatName val="0"/>
          <c:showSerName val="0"/>
          <c:showPercent val="0"/>
          <c:showBubbleSize val="0"/>
        </c:dLbls>
        <c:gapWidth val="219"/>
        <c:overlap val="-27"/>
        <c:axId val="2086410624"/>
        <c:axId val="2086394784"/>
      </c:barChart>
      <c:catAx>
        <c:axId val="2086410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6394784"/>
        <c:crosses val="autoZero"/>
        <c:auto val="1"/>
        <c:lblAlgn val="ctr"/>
        <c:lblOffset val="100"/>
        <c:noMultiLvlLbl val="0"/>
      </c:catAx>
      <c:valAx>
        <c:axId val="2086394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6410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[Day5_help_desk_tickets.xlsx]Sumary Dashboard !PivotTable2</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s>
    <c:plotArea>
      <c:layout/>
      <c:pieChart>
        <c:varyColors val="1"/>
        <c:ser>
          <c:idx val="0"/>
          <c:order val="0"/>
          <c:tx>
            <c:strRef>
              <c:f>'Sumary Dashboard '!$E$2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CE2-4FC9-AA40-90FD2278413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CE2-4FC9-AA40-90FD2278413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CE2-4FC9-AA40-90FD2278413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CE2-4FC9-AA40-90FD2278413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CE2-4FC9-AA40-90FD2278413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CE2-4FC9-AA40-90FD2278413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CE2-4FC9-AA40-90FD2278413E}"/>
              </c:ext>
            </c:extLst>
          </c:dPt>
          <c:cat>
            <c:strRef>
              <c:f>'Sumary Dashboard '!$D$3:$D$10</c:f>
              <c:strCache>
                <c:ptCount val="7"/>
                <c:pt idx="0">
                  <c:v>Access</c:v>
                </c:pt>
                <c:pt idx="1">
                  <c:v>Billing</c:v>
                </c:pt>
                <c:pt idx="2">
                  <c:v>Hardware</c:v>
                </c:pt>
                <c:pt idx="3">
                  <c:v>Network</c:v>
                </c:pt>
                <c:pt idx="4">
                  <c:v>Other</c:v>
                </c:pt>
                <c:pt idx="5">
                  <c:v>Security</c:v>
                </c:pt>
                <c:pt idx="6">
                  <c:v>Software</c:v>
                </c:pt>
              </c:strCache>
            </c:strRef>
          </c:cat>
          <c:val>
            <c:numRef>
              <c:f>'Sumary Dashboard '!$E$3:$E$10</c:f>
              <c:numCache>
                <c:formatCode>General</c:formatCode>
                <c:ptCount val="7"/>
                <c:pt idx="0">
                  <c:v>15</c:v>
                </c:pt>
                <c:pt idx="1">
                  <c:v>12</c:v>
                </c:pt>
                <c:pt idx="2">
                  <c:v>24</c:v>
                </c:pt>
                <c:pt idx="3">
                  <c:v>23</c:v>
                </c:pt>
                <c:pt idx="4">
                  <c:v>18</c:v>
                </c:pt>
                <c:pt idx="5">
                  <c:v>7</c:v>
                </c:pt>
                <c:pt idx="6">
                  <c:v>51</c:v>
                </c:pt>
              </c:numCache>
            </c:numRef>
          </c:val>
          <c:extLst>
            <c:ext xmlns:c16="http://schemas.microsoft.com/office/drawing/2014/chart" uri="{C3380CC4-5D6E-409C-BE32-E72D297353CC}">
              <c16:uniqueId val="{0000000E-9CE2-4FC9-AA40-90FD2278413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[Day5_help_desk_tickets.xlsx]Sumary Dashboard !PivotTable3</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'Sumary Dashboard '!$H$2</c:f>
              <c:strCache>
                <c:ptCount val="1"/>
                <c:pt idx="0">
                  <c:v>Total</c:v>
                </c:pt>
              </c:strCache>
            </c:strRef>
          </c:tx>
          <c:spPr>
            <a:solidFill>
              <a:schemeClr val="accent1"/>
            </a:solidFill>
            <a:ln>
              <a:noFill/>
            </a:ln>
            <a:effectLst/>
          </c:spPr>
          <c:invertIfNegative val="0"/>
          <c:cat>
            <c:strRef>
              <c:f>'Sumary Dashboard '!$G$3:$G$13</c:f>
              <c:strCache>
                <c:ptCount val="10"/>
                <c:pt idx="0">
                  <c:v>Adam Stone</c:v>
                </c:pt>
                <c:pt idx="1">
                  <c:v>Amanda White</c:v>
                </c:pt>
                <c:pt idx="2">
                  <c:v>Autumn Ryan</c:v>
                </c:pt>
                <c:pt idx="3">
                  <c:v>Cynthia Rich</c:v>
                </c:pt>
                <c:pt idx="4">
                  <c:v>Janice Burns</c:v>
                </c:pt>
                <c:pt idx="5">
                  <c:v>Marvin West</c:v>
                </c:pt>
                <c:pt idx="6">
                  <c:v>Natasha Harris</c:v>
                </c:pt>
                <c:pt idx="7">
                  <c:v>Sheila Ball</c:v>
                </c:pt>
                <c:pt idx="8">
                  <c:v>Tanya Jones</c:v>
                </c:pt>
                <c:pt idx="9">
                  <c:v>Toni Wiley</c:v>
                </c:pt>
              </c:strCache>
            </c:strRef>
          </c:cat>
          <c:val>
            <c:numRef>
              <c:f>'Sumary Dashboard '!$H$3:$H$13</c:f>
              <c:numCache>
                <c:formatCode>General</c:formatCode>
                <c:ptCount val="10"/>
                <c:pt idx="0">
                  <c:v>16</c:v>
                </c:pt>
                <c:pt idx="1">
                  <c:v>15</c:v>
                </c:pt>
                <c:pt idx="2">
                  <c:v>17</c:v>
                </c:pt>
                <c:pt idx="3">
                  <c:v>17</c:v>
                </c:pt>
                <c:pt idx="4">
                  <c:v>13</c:v>
                </c:pt>
                <c:pt idx="5">
                  <c:v>8</c:v>
                </c:pt>
                <c:pt idx="6">
                  <c:v>7</c:v>
                </c:pt>
                <c:pt idx="7">
                  <c:v>16</c:v>
                </c:pt>
                <c:pt idx="8">
                  <c:v>27</c:v>
                </c:pt>
                <c:pt idx="9">
                  <c:v>14</c:v>
                </c:pt>
              </c:numCache>
            </c:numRef>
          </c:val>
          <c:extLst>
            <c:ext xmlns:c16="http://schemas.microsoft.com/office/drawing/2014/chart" uri="{C3380CC4-5D6E-409C-BE32-E72D297353CC}">
              <c16:uniqueId val="{00000000-A0F6-4C88-9DBD-5120845A5538}"/>
            </c:ext>
          </c:extLst>
        </c:ser>
        <c:dLbls>
          <c:showLegendKey val="0"/>
          <c:showVal val="0"/>
          <c:showCatName val="0"/>
          <c:showSerName val="0"/>
          <c:showPercent val="0"/>
          <c:showBubbleSize val="0"/>
        </c:dLbls>
        <c:gapWidth val="182"/>
        <c:axId val="2086413984"/>
        <c:axId val="2086397664"/>
      </c:barChart>
      <c:catAx>
        <c:axId val="20864139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6397664"/>
        <c:crosses val="autoZero"/>
        <c:auto val="1"/>
        <c:lblAlgn val="ctr"/>
        <c:lblOffset val="100"/>
        <c:noMultiLvlLbl val="0"/>
      </c:catAx>
      <c:valAx>
        <c:axId val="20863976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6413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[Day5_help_desk_tickets.xlsx]Sumary Dashboard !PivotTable1</c:name>
    <c:fmtId val="4"/>
  </c:pivotSource>
  <c:chart>
    <c:title>
      <c:layout>
        <c:manualLayout>
          <c:xMode val="edge"/>
          <c:yMode val="edge"/>
          <c:x val="0.4492707786526684"/>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'Sumary Dashboard '!$B$2</c:f>
              <c:strCache>
                <c:ptCount val="1"/>
                <c:pt idx="0">
                  <c:v>Total</c:v>
                </c:pt>
              </c:strCache>
            </c:strRef>
          </c:tx>
          <c:spPr>
            <a:solidFill>
              <a:schemeClr val="accent1"/>
            </a:solidFill>
            <a:ln>
              <a:noFill/>
            </a:ln>
            <a:effectLst/>
          </c:spPr>
          <c:invertIfNegative val="0"/>
          <c:cat>
            <c:strRef>
              <c:f>'Sumary Dashboard '!$A$3:$A$7</c:f>
              <c:strCache>
                <c:ptCount val="4"/>
                <c:pt idx="0">
                  <c:v>Critical</c:v>
                </c:pt>
                <c:pt idx="1">
                  <c:v>High</c:v>
                </c:pt>
                <c:pt idx="2">
                  <c:v>Low</c:v>
                </c:pt>
                <c:pt idx="3">
                  <c:v>Medium</c:v>
                </c:pt>
              </c:strCache>
            </c:strRef>
          </c:cat>
          <c:val>
            <c:numRef>
              <c:f>'Sumary Dashboard '!$B$3:$B$7</c:f>
              <c:numCache>
                <c:formatCode>General</c:formatCode>
                <c:ptCount val="4"/>
                <c:pt idx="0">
                  <c:v>4</c:v>
                </c:pt>
                <c:pt idx="1">
                  <c:v>25</c:v>
                </c:pt>
                <c:pt idx="2">
                  <c:v>58</c:v>
                </c:pt>
                <c:pt idx="3">
                  <c:v>63</c:v>
                </c:pt>
              </c:numCache>
            </c:numRef>
          </c:val>
          <c:extLst>
            <c:ext xmlns:c16="http://schemas.microsoft.com/office/drawing/2014/chart" uri="{C3380CC4-5D6E-409C-BE32-E72D297353CC}">
              <c16:uniqueId val="{00000000-467E-4E36-A670-9F6E4BBD1A5D}"/>
            </c:ext>
          </c:extLst>
        </c:ser>
        <c:dLbls>
          <c:showLegendKey val="0"/>
          <c:showVal val="0"/>
          <c:showCatName val="0"/>
          <c:showSerName val="0"/>
          <c:showPercent val="0"/>
          <c:showBubbleSize val="0"/>
        </c:dLbls>
        <c:gapWidth val="219"/>
        <c:overlap val="-27"/>
        <c:axId val="2086410624"/>
        <c:axId val="2086394784"/>
      </c:barChart>
      <c:catAx>
        <c:axId val="2086410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6394784"/>
        <c:crosses val="autoZero"/>
        <c:auto val="1"/>
        <c:lblAlgn val="ctr"/>
        <c:lblOffset val="100"/>
        <c:noMultiLvlLbl val="0"/>
      </c:catAx>
      <c:valAx>
        <c:axId val="2086394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6410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2</xdr:col>
      <xdr:colOff>358140</xdr:colOff>
      <xdr:row>16</xdr:row>
      <xdr:rowOff>15240</xdr:rowOff>
    </xdr:from>
    <xdr:to>
      <xdr:col>5</xdr:col>
      <xdr:colOff>76200</xdr:colOff>
      <xdr:row>26</xdr:row>
      <xdr:rowOff>76200</xdr:rowOff>
    </xdr:to>
    <xdr:graphicFrame macro="">
      <xdr:nvGraphicFramePr>
        <xdr:cNvPr id="2" name="Chart 1">
          <a:extLst>
            <a:ext uri="{FF2B5EF4-FFF2-40B4-BE49-F238E27FC236}">
              <a16:creationId xmlns:a16="http://schemas.microsoft.com/office/drawing/2014/main" id="{6D7261FC-80C7-CEA8-D5C5-63F8F4D835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167640</xdr:colOff>
      <xdr:row>0</xdr:row>
      <xdr:rowOff>179070</xdr:rowOff>
    </xdr:from>
    <xdr:to>
      <xdr:col>10</xdr:col>
      <xdr:colOff>236220</xdr:colOff>
      <xdr:row>15</xdr:row>
      <xdr:rowOff>179070</xdr:rowOff>
    </xdr:to>
    <xdr:graphicFrame macro="">
      <xdr:nvGraphicFramePr>
        <xdr:cNvPr id="3" name="Chart 2">
          <a:extLst>
            <a:ext uri="{FF2B5EF4-FFF2-40B4-BE49-F238E27FC236}">
              <a16:creationId xmlns:a16="http://schemas.microsoft.com/office/drawing/2014/main" id="{A281709B-C090-D2BC-DA36-59E36C8808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10</xdr:row>
      <xdr:rowOff>148590</xdr:rowOff>
    </xdr:from>
    <xdr:to>
      <xdr:col>3</xdr:col>
      <xdr:colOff>685800</xdr:colOff>
      <xdr:row>24</xdr:row>
      <xdr:rowOff>0</xdr:rowOff>
    </xdr:to>
    <xdr:graphicFrame macro="">
      <xdr:nvGraphicFramePr>
        <xdr:cNvPr id="2" name="Chart 1">
          <a:extLst>
            <a:ext uri="{FF2B5EF4-FFF2-40B4-BE49-F238E27FC236}">
              <a16:creationId xmlns:a16="http://schemas.microsoft.com/office/drawing/2014/main" id="{CFB4D8E3-D0CD-D637-65E9-53E0301035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60960</xdr:colOff>
      <xdr:row>14</xdr:row>
      <xdr:rowOff>102870</xdr:rowOff>
    </xdr:from>
    <xdr:to>
      <xdr:col>8</xdr:col>
      <xdr:colOff>472440</xdr:colOff>
      <xdr:row>27</xdr:row>
      <xdr:rowOff>99060</xdr:rowOff>
    </xdr:to>
    <xdr:graphicFrame macro="">
      <xdr:nvGraphicFramePr>
        <xdr:cNvPr id="3" name="Chart 2">
          <a:extLst>
            <a:ext uri="{FF2B5EF4-FFF2-40B4-BE49-F238E27FC236}">
              <a16:creationId xmlns:a16="http://schemas.microsoft.com/office/drawing/2014/main" id="{18560AA6-058C-380C-5BF6-B96D1F86AD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502920</xdr:colOff>
      <xdr:row>15</xdr:row>
      <xdr:rowOff>53340</xdr:rowOff>
    </xdr:from>
    <xdr:to>
      <xdr:col>13</xdr:col>
      <xdr:colOff>175260</xdr:colOff>
      <xdr:row>27</xdr:row>
      <xdr:rowOff>57150</xdr:rowOff>
    </xdr:to>
    <xdr:graphicFrame macro="">
      <xdr:nvGraphicFramePr>
        <xdr:cNvPr id="4" name="Chart 3">
          <a:extLst>
            <a:ext uri="{FF2B5EF4-FFF2-40B4-BE49-F238E27FC236}">
              <a16:creationId xmlns:a16="http://schemas.microsoft.com/office/drawing/2014/main" id="{D5E8EC8B-7A0F-CED5-F0B5-076B8D9438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502920</xdr:colOff>
      <xdr:row>2</xdr:row>
      <xdr:rowOff>22860</xdr:rowOff>
    </xdr:from>
    <xdr:to>
      <xdr:col>15</xdr:col>
      <xdr:colOff>144780</xdr:colOff>
      <xdr:row>16</xdr:row>
      <xdr:rowOff>43815</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1895DC3F-E90A-23D7-2999-E550BDC3BF6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666220" y="3886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662940</xdr:colOff>
      <xdr:row>17</xdr:row>
      <xdr:rowOff>106680</xdr:rowOff>
    </xdr:from>
    <xdr:to>
      <xdr:col>15</xdr:col>
      <xdr:colOff>304800</xdr:colOff>
      <xdr:row>31</xdr:row>
      <xdr:rowOff>127635</xdr:rowOff>
    </xdr:to>
    <mc:AlternateContent xmlns:mc="http://schemas.openxmlformats.org/markup-compatibility/2006" xmlns:a14="http://schemas.microsoft.com/office/drawing/2010/main">
      <mc:Choice Requires="a14">
        <xdr:graphicFrame macro="">
          <xdr:nvGraphicFramePr>
            <xdr:cNvPr id="6" name="assigned_analyst">
              <a:extLst>
                <a:ext uri="{FF2B5EF4-FFF2-40B4-BE49-F238E27FC236}">
                  <a16:creationId xmlns:a16="http://schemas.microsoft.com/office/drawing/2014/main" id="{9F6BFDF7-6D65-A320-6C2E-4FE948173E36}"/>
                </a:ext>
              </a:extLst>
            </xdr:cNvPr>
            <xdr:cNvGraphicFramePr/>
          </xdr:nvGraphicFramePr>
          <xdr:xfrm>
            <a:off x="0" y="0"/>
            <a:ext cx="0" cy="0"/>
          </xdr:xfrm>
          <a:graphic>
            <a:graphicData uri="http://schemas.microsoft.com/office/drawing/2010/slicer">
              <sle:slicer xmlns:sle="http://schemas.microsoft.com/office/drawing/2010/slicer" name="assigned_analyst"/>
            </a:graphicData>
          </a:graphic>
        </xdr:graphicFrame>
      </mc:Choice>
      <mc:Fallback xmlns="">
        <xdr:sp macro="" textlink="">
          <xdr:nvSpPr>
            <xdr:cNvPr id="0" name=""/>
            <xdr:cNvSpPr>
              <a:spLocks noTextEdit="1"/>
            </xdr:cNvSpPr>
          </xdr:nvSpPr>
          <xdr:spPr>
            <a:xfrm>
              <a:off x="11826240" y="32156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297180</xdr:colOff>
      <xdr:row>0</xdr:row>
      <xdr:rowOff>91440</xdr:rowOff>
    </xdr:from>
    <xdr:to>
      <xdr:col>11</xdr:col>
      <xdr:colOff>297180</xdr:colOff>
      <xdr:row>14</xdr:row>
      <xdr:rowOff>112395</xdr:rowOff>
    </xdr:to>
    <mc:AlternateContent xmlns:mc="http://schemas.openxmlformats.org/markup-compatibility/2006" xmlns:a14="http://schemas.microsoft.com/office/drawing/2010/main">
      <mc:Choice Requires="a14">
        <xdr:graphicFrame macro="">
          <xdr:nvGraphicFramePr>
            <xdr:cNvPr id="7" name="priority">
              <a:extLst>
                <a:ext uri="{FF2B5EF4-FFF2-40B4-BE49-F238E27FC236}">
                  <a16:creationId xmlns:a16="http://schemas.microsoft.com/office/drawing/2014/main" id="{FEB86F9B-2CC6-0D9E-F921-211ADBE183EC}"/>
                </a:ext>
              </a:extLst>
            </xdr:cNvPr>
            <xdr:cNvGraphicFramePr/>
          </xdr:nvGraphicFramePr>
          <xdr:xfrm>
            <a:off x="0" y="0"/>
            <a:ext cx="0" cy="0"/>
          </xdr:xfrm>
          <a:graphic>
            <a:graphicData uri="http://schemas.microsoft.com/office/drawing/2010/slicer">
              <sle:slicer xmlns:sle="http://schemas.microsoft.com/office/drawing/2010/slicer" name="priority"/>
            </a:graphicData>
          </a:graphic>
        </xdr:graphicFrame>
      </mc:Choice>
      <mc:Fallback xmlns="">
        <xdr:sp macro="" textlink="">
          <xdr:nvSpPr>
            <xdr:cNvPr id="0" name=""/>
            <xdr:cNvSpPr>
              <a:spLocks noTextEdit="1"/>
            </xdr:cNvSpPr>
          </xdr:nvSpPr>
          <xdr:spPr>
            <a:xfrm>
              <a:off x="7360920" y="914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563880</xdr:colOff>
      <xdr:row>2</xdr:row>
      <xdr:rowOff>114300</xdr:rowOff>
    </xdr:from>
    <xdr:to>
      <xdr:col>20</xdr:col>
      <xdr:colOff>472440</xdr:colOff>
      <xdr:row>30</xdr:row>
      <xdr:rowOff>114300</xdr:rowOff>
    </xdr:to>
    <xdr:sp macro="" textlink="">
      <xdr:nvSpPr>
        <xdr:cNvPr id="2" name="Rectangle: Rounded Corners 1">
          <a:extLst>
            <a:ext uri="{FF2B5EF4-FFF2-40B4-BE49-F238E27FC236}">
              <a16:creationId xmlns:a16="http://schemas.microsoft.com/office/drawing/2014/main" id="{6AF575A9-9998-7BAD-8678-1441B0AE1B5F}"/>
            </a:ext>
          </a:extLst>
        </xdr:cNvPr>
        <xdr:cNvSpPr/>
      </xdr:nvSpPr>
      <xdr:spPr>
        <a:xfrm>
          <a:off x="563880" y="480060"/>
          <a:ext cx="12100560" cy="51206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a:t>IT Help Desk Ticket Analysis </a:t>
          </a:r>
        </a:p>
      </xdr:txBody>
    </xdr:sp>
    <xdr:clientData/>
  </xdr:twoCellAnchor>
  <xdr:twoCellAnchor editAs="oneCell">
    <xdr:from>
      <xdr:col>1</xdr:col>
      <xdr:colOff>297180</xdr:colOff>
      <xdr:row>8</xdr:row>
      <xdr:rowOff>114300</xdr:rowOff>
    </xdr:from>
    <xdr:to>
      <xdr:col>4</xdr:col>
      <xdr:colOff>266700</xdr:colOff>
      <xdr:row>14</xdr:row>
      <xdr:rowOff>121920</xdr:rowOff>
    </xdr:to>
    <xdr:pic>
      <xdr:nvPicPr>
        <xdr:cNvPr id="3" name="Picture 2">
          <a:extLst>
            <a:ext uri="{FF2B5EF4-FFF2-40B4-BE49-F238E27FC236}">
              <a16:creationId xmlns:a16="http://schemas.microsoft.com/office/drawing/2014/main" id="{238D3821-2D6C-F9FA-5D16-BF4B7EA0AF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6780" y="1577340"/>
          <a:ext cx="1798320" cy="1104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472440</xdr:colOff>
      <xdr:row>6</xdr:row>
      <xdr:rowOff>68580</xdr:rowOff>
    </xdr:from>
    <xdr:to>
      <xdr:col>7</xdr:col>
      <xdr:colOff>441960</xdr:colOff>
      <xdr:row>15</xdr:row>
      <xdr:rowOff>68580</xdr:rowOff>
    </xdr:to>
    <xdr:pic>
      <xdr:nvPicPr>
        <xdr:cNvPr id="4" name="Picture 3">
          <a:extLst>
            <a:ext uri="{FF2B5EF4-FFF2-40B4-BE49-F238E27FC236}">
              <a16:creationId xmlns:a16="http://schemas.microsoft.com/office/drawing/2014/main" id="{82CD7A9E-C4DC-3BBE-7626-40FF5CDE67A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910840" y="1165860"/>
          <a:ext cx="1798320" cy="1645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167640</xdr:colOff>
      <xdr:row>16</xdr:row>
      <xdr:rowOff>167640</xdr:rowOff>
    </xdr:from>
    <xdr:to>
      <xdr:col>5</xdr:col>
      <xdr:colOff>0</xdr:colOff>
      <xdr:row>28</xdr:row>
      <xdr:rowOff>175260</xdr:rowOff>
    </xdr:to>
    <xdr:pic>
      <xdr:nvPicPr>
        <xdr:cNvPr id="5" name="Picture 4">
          <a:extLst>
            <a:ext uri="{FF2B5EF4-FFF2-40B4-BE49-F238E27FC236}">
              <a16:creationId xmlns:a16="http://schemas.microsoft.com/office/drawing/2014/main" id="{F2FF759C-2CA2-C207-9DEA-6F8E67EE3FB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77240" y="3093720"/>
          <a:ext cx="2270760" cy="22021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114300</xdr:colOff>
      <xdr:row>17</xdr:row>
      <xdr:rowOff>60960</xdr:rowOff>
    </xdr:from>
    <xdr:to>
      <xdr:col>10</xdr:col>
      <xdr:colOff>152400</xdr:colOff>
      <xdr:row>30</xdr:row>
      <xdr:rowOff>95250</xdr:rowOff>
    </xdr:to>
    <xdr:graphicFrame macro="">
      <xdr:nvGraphicFramePr>
        <xdr:cNvPr id="6" name="Chart 5">
          <a:extLst>
            <a:ext uri="{FF2B5EF4-FFF2-40B4-BE49-F238E27FC236}">
              <a16:creationId xmlns:a16="http://schemas.microsoft.com/office/drawing/2014/main" id="{57E30493-9531-4E0B-8755-5F674FFAE3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297180</xdr:colOff>
      <xdr:row>17</xdr:row>
      <xdr:rowOff>91440</xdr:rowOff>
    </xdr:from>
    <xdr:to>
      <xdr:col>17</xdr:col>
      <xdr:colOff>381000</xdr:colOff>
      <xdr:row>30</xdr:row>
      <xdr:rowOff>87630</xdr:rowOff>
    </xdr:to>
    <xdr:graphicFrame macro="">
      <xdr:nvGraphicFramePr>
        <xdr:cNvPr id="7" name="Chart 6">
          <a:extLst>
            <a:ext uri="{FF2B5EF4-FFF2-40B4-BE49-F238E27FC236}">
              <a16:creationId xmlns:a16="http://schemas.microsoft.com/office/drawing/2014/main" id="{EAB502FA-11EB-4C7D-9563-C18658C9D9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18</xdr:col>
      <xdr:colOff>60960</xdr:colOff>
      <xdr:row>6</xdr:row>
      <xdr:rowOff>30481</xdr:rowOff>
    </xdr:from>
    <xdr:to>
      <xdr:col>20</xdr:col>
      <xdr:colOff>228600</xdr:colOff>
      <xdr:row>15</xdr:row>
      <xdr:rowOff>144781</xdr:rowOff>
    </xdr:to>
    <mc:AlternateContent xmlns:mc="http://schemas.openxmlformats.org/markup-compatibility/2006" xmlns:a14="http://schemas.microsoft.com/office/drawing/2010/main">
      <mc:Choice Requires="a14">
        <xdr:graphicFrame macro="">
          <xdr:nvGraphicFramePr>
            <xdr:cNvPr id="8" name="priority 1">
              <a:extLst>
                <a:ext uri="{FF2B5EF4-FFF2-40B4-BE49-F238E27FC236}">
                  <a16:creationId xmlns:a16="http://schemas.microsoft.com/office/drawing/2014/main" id="{9102A6D6-6D82-405C-AD43-DF0FF7500508}"/>
                </a:ext>
              </a:extLst>
            </xdr:cNvPr>
            <xdr:cNvGraphicFramePr/>
          </xdr:nvGraphicFramePr>
          <xdr:xfrm>
            <a:off x="0" y="0"/>
            <a:ext cx="0" cy="0"/>
          </xdr:xfrm>
          <a:graphic>
            <a:graphicData uri="http://schemas.microsoft.com/office/drawing/2010/slicer">
              <sle:slicer xmlns:sle="http://schemas.microsoft.com/office/drawing/2010/slicer" name="priority 1"/>
            </a:graphicData>
          </a:graphic>
        </xdr:graphicFrame>
      </mc:Choice>
      <mc:Fallback xmlns="">
        <xdr:sp macro="" textlink="">
          <xdr:nvSpPr>
            <xdr:cNvPr id="0" name=""/>
            <xdr:cNvSpPr>
              <a:spLocks noTextEdit="1"/>
            </xdr:cNvSpPr>
          </xdr:nvSpPr>
          <xdr:spPr>
            <a:xfrm>
              <a:off x="11033760" y="1127761"/>
              <a:ext cx="1386840" cy="1760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129540</xdr:colOff>
      <xdr:row>6</xdr:row>
      <xdr:rowOff>30480</xdr:rowOff>
    </xdr:from>
    <xdr:to>
      <xdr:col>14</xdr:col>
      <xdr:colOff>243840</xdr:colOff>
      <xdr:row>16</xdr:row>
      <xdr:rowOff>68580</xdr:rowOff>
    </xdr:to>
    <xdr:graphicFrame macro="">
      <xdr:nvGraphicFramePr>
        <xdr:cNvPr id="9" name="Chart 8">
          <a:extLst>
            <a:ext uri="{FF2B5EF4-FFF2-40B4-BE49-F238E27FC236}">
              <a16:creationId xmlns:a16="http://schemas.microsoft.com/office/drawing/2014/main" id="{0A2D817A-45C7-4BCE-AD05-AF8B81175D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18</xdr:col>
      <xdr:colOff>68580</xdr:colOff>
      <xdr:row>16</xdr:row>
      <xdr:rowOff>129541</xdr:rowOff>
    </xdr:from>
    <xdr:to>
      <xdr:col>20</xdr:col>
      <xdr:colOff>236220</xdr:colOff>
      <xdr:row>29</xdr:row>
      <xdr:rowOff>60960</xdr:rowOff>
    </xdr:to>
    <mc:AlternateContent xmlns:mc="http://schemas.openxmlformats.org/markup-compatibility/2006" xmlns:a14="http://schemas.microsoft.com/office/drawing/2010/main">
      <mc:Choice Requires="a14">
        <xdr:graphicFrame macro="">
          <xdr:nvGraphicFramePr>
            <xdr:cNvPr id="11" name="category 1">
              <a:extLst>
                <a:ext uri="{FF2B5EF4-FFF2-40B4-BE49-F238E27FC236}">
                  <a16:creationId xmlns:a16="http://schemas.microsoft.com/office/drawing/2014/main" id="{DBDBFAC1-45E3-492C-B5D4-B3D353FABBEE}"/>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1041380" y="3055621"/>
              <a:ext cx="1386840" cy="23088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525780</xdr:colOff>
      <xdr:row>5</xdr:row>
      <xdr:rowOff>129539</xdr:rowOff>
    </xdr:from>
    <xdr:to>
      <xdr:col>17</xdr:col>
      <xdr:colOff>525780</xdr:colOff>
      <xdr:row>16</xdr:row>
      <xdr:rowOff>114300</xdr:rowOff>
    </xdr:to>
    <mc:AlternateContent xmlns:mc="http://schemas.openxmlformats.org/markup-compatibility/2006" xmlns:a14="http://schemas.microsoft.com/office/drawing/2010/main">
      <mc:Choice Requires="a14">
        <xdr:graphicFrame macro="">
          <xdr:nvGraphicFramePr>
            <xdr:cNvPr id="13" name="assigned_analyst 1">
              <a:extLst>
                <a:ext uri="{FF2B5EF4-FFF2-40B4-BE49-F238E27FC236}">
                  <a16:creationId xmlns:a16="http://schemas.microsoft.com/office/drawing/2014/main" id="{2C580DAF-64B4-431C-9F84-CB4ED3D33C82}"/>
                </a:ext>
              </a:extLst>
            </xdr:cNvPr>
            <xdr:cNvGraphicFramePr/>
          </xdr:nvGraphicFramePr>
          <xdr:xfrm>
            <a:off x="0" y="0"/>
            <a:ext cx="0" cy="0"/>
          </xdr:xfrm>
          <a:graphic>
            <a:graphicData uri="http://schemas.microsoft.com/office/drawing/2010/slicer">
              <sle:slicer xmlns:sle="http://schemas.microsoft.com/office/drawing/2010/slicer" name="assigned_analyst 1"/>
            </a:graphicData>
          </a:graphic>
        </xdr:graphicFrame>
      </mc:Choice>
      <mc:Fallback xmlns="">
        <xdr:sp macro="" textlink="">
          <xdr:nvSpPr>
            <xdr:cNvPr id="0" name=""/>
            <xdr:cNvSpPr>
              <a:spLocks noTextEdit="1"/>
            </xdr:cNvSpPr>
          </xdr:nvSpPr>
          <xdr:spPr>
            <a:xfrm>
              <a:off x="9060180" y="1043939"/>
              <a:ext cx="1828800" cy="19964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avanthi Belide" refreshedDate="46101.726894907406" createdVersion="8" refreshedVersion="8" minRefreshableVersion="3" recordCount="150" xr:uid="{45267309-9373-48BB-808E-FFCEB61A9DF6}">
  <cacheSource type="worksheet">
    <worksheetSource ref="A1:G151" sheet="help_desk_tickets"/>
  </cacheSource>
  <cacheFields count="13">
    <cacheField name="ticket_id" numFmtId="0">
      <sharedItems count="150">
        <s v="TICKET-1000"/>
        <s v="TICKET-1001"/>
        <s v="TICKET-1002"/>
        <s v="TICKET-1003"/>
        <s v="TICKET-1004"/>
        <s v="TICKET-1005"/>
        <s v="TICKET-1006"/>
        <s v="TICKET-1007"/>
        <s v="TICKET-1008"/>
        <s v="TICKET-1009"/>
        <s v="TICKET-1010"/>
        <s v="TICKET-1011"/>
        <s v="TICKET-1012"/>
        <s v="TICKET-1013"/>
        <s v="TICKET-1014"/>
        <s v="TICKET-1015"/>
        <s v="TICKET-1016"/>
        <s v="TICKET-1017"/>
        <s v="TICKET-1018"/>
        <s v="TICKET-1019"/>
        <s v="TICKET-1020"/>
        <s v="TICKET-1021"/>
        <s v="TICKET-1022"/>
        <s v="TICKET-1023"/>
        <s v="TICKET-1024"/>
        <s v="TICKET-1025"/>
        <s v="TICKET-1026"/>
        <s v="TICKET-1027"/>
        <s v="TICKET-1028"/>
        <s v="TICKET-1029"/>
        <s v="TICKET-1030"/>
        <s v="TICKET-1031"/>
        <s v="TICKET-1032"/>
        <s v="TICKET-1033"/>
        <s v="TICKET-1034"/>
        <s v="TICKET-1035"/>
        <s v="TICKET-1036"/>
        <s v="TICKET-1037"/>
        <s v="TICKET-1038"/>
        <s v="TICKET-1039"/>
        <s v="TICKET-1040"/>
        <s v="TICKET-1041"/>
        <s v="TICKET-1042"/>
        <s v="TICKET-1043"/>
        <s v="TICKET-1044"/>
        <s v="TICKET-1045"/>
        <s v="TICKET-1046"/>
        <s v="TICKET-1047"/>
        <s v="TICKET-1048"/>
        <s v="TICKET-1049"/>
        <s v="TICKET-1050"/>
        <s v="TICKET-1051"/>
        <s v="TICKET-1052"/>
        <s v="TICKET-1053"/>
        <s v="TICKET-1054"/>
        <s v="TICKET-1055"/>
        <s v="TICKET-1056"/>
        <s v="TICKET-1057"/>
        <s v="TICKET-1058"/>
        <s v="TICKET-1059"/>
        <s v="TICKET-1060"/>
        <s v="TICKET-1061"/>
        <s v="TICKET-1062"/>
        <s v="TICKET-1063"/>
        <s v="TICKET-1064"/>
        <s v="TICKET-1065"/>
        <s v="TICKET-1066"/>
        <s v="TICKET-1067"/>
        <s v="TICKET-1068"/>
        <s v="TICKET-1069"/>
        <s v="TICKET-1070"/>
        <s v="TICKET-1071"/>
        <s v="TICKET-1072"/>
        <s v="TICKET-1073"/>
        <s v="TICKET-1074"/>
        <s v="TICKET-1075"/>
        <s v="TICKET-1076"/>
        <s v="TICKET-1077"/>
        <s v="TICKET-1078"/>
        <s v="TICKET-1079"/>
        <s v="TICKET-1080"/>
        <s v="TICKET-1081"/>
        <s v="TICKET-1082"/>
        <s v="TICKET-1083"/>
        <s v="TICKET-1084"/>
        <s v="TICKET-1085"/>
        <s v="TICKET-1086"/>
        <s v="TICKET-1087"/>
        <s v="TICKET-1088"/>
        <s v="TICKET-1089"/>
        <s v="TICKET-1090"/>
        <s v="TICKET-1091"/>
        <s v="TICKET-1092"/>
        <s v="TICKET-1093"/>
        <s v="TICKET-1094"/>
        <s v="TICKET-1095"/>
        <s v="TICKET-1096"/>
        <s v="TICKET-1097"/>
        <s v="TICKET-1098"/>
        <s v="TICKET-1099"/>
        <s v="TICKET-1100"/>
        <s v="TICKET-1101"/>
        <s v="TICKET-1102"/>
        <s v="TICKET-1103"/>
        <s v="TICKET-1104"/>
        <s v="TICKET-1105"/>
        <s v="TICKET-1106"/>
        <s v="TICKET-1107"/>
        <s v="TICKET-1108"/>
        <s v="TICKET-1109"/>
        <s v="TICKET-1110"/>
        <s v="TICKET-1111"/>
        <s v="TICKET-1112"/>
        <s v="TICKET-1113"/>
        <s v="TICKET-1114"/>
        <s v="TICKET-1115"/>
        <s v="TICKET-1116"/>
        <s v="TICKET-1117"/>
        <s v="TICKET-1118"/>
        <s v="TICKET-1119"/>
        <s v="TICKET-1120"/>
        <s v="TICKET-1121"/>
        <s v="TICKET-1122"/>
        <s v="TICKET-1123"/>
        <s v="TICKET-1124"/>
        <s v="TICKET-1125"/>
        <s v="TICKET-1126"/>
        <s v="TICKET-1127"/>
        <s v="TICKET-1128"/>
        <s v="TICKET-1129"/>
        <s v="TICKET-1130"/>
        <s v="TICKET-1131"/>
        <s v="TICKET-1132"/>
        <s v="TICKET-1133"/>
        <s v="TICKET-1134"/>
        <s v="TICKET-1135"/>
        <s v="TICKET-1136"/>
        <s v="TICKET-1137"/>
        <s v="TICKET-1138"/>
        <s v="TICKET-1139"/>
        <s v="TICKET-1140"/>
        <s v="TICKET-1141"/>
        <s v="TICKET-1142"/>
        <s v="TICKET-1143"/>
        <s v="TICKET-1144"/>
        <s v="TICKET-1145"/>
        <s v="TICKET-1146"/>
        <s v="TICKET-1147"/>
        <s v="TICKET-1148"/>
        <s v="TICKET-1149"/>
      </sharedItems>
    </cacheField>
    <cacheField name="submission_date" numFmtId="47">
      <sharedItems containsSemiMixedTypes="0" containsNonDate="0" containsDate="1" containsString="0" minDate="1899-12-30T00:00:06" maxDate="1899-12-30T00:59:04" count="148">
        <d v="1899-12-30T00:36:16"/>
        <d v="1899-12-30T00:27:59"/>
        <d v="1899-12-30T00:32:02"/>
        <d v="1899-12-30T00:47:34"/>
        <d v="1899-12-30T00:46:09"/>
        <d v="1899-12-30T00:32:40"/>
        <d v="1899-12-30T00:38:16"/>
        <d v="1899-12-30T00:43:28"/>
        <d v="1899-12-30T00:41:14"/>
        <d v="1899-12-30T00:49:33"/>
        <d v="1899-12-30T00:20:02"/>
        <d v="1899-12-30T00:56:19"/>
        <d v="1899-12-30T00:51:47"/>
        <d v="1899-12-30T00:08:54"/>
        <d v="1899-12-30T00:32:58"/>
        <d v="1899-12-30T00:34:11"/>
        <d v="1899-12-30T00:52:05"/>
        <d v="1899-12-30T00:42:14"/>
        <d v="1899-12-30T00:03:04"/>
        <d v="1899-12-30T00:27:15"/>
        <d v="1899-12-30T00:49:38"/>
        <d v="1899-12-30T00:34:57"/>
        <d v="1899-12-30T00:29:46"/>
        <d v="1899-12-30T00:27:53"/>
        <d v="1899-12-30T00:37:37"/>
        <d v="1899-12-30T00:42:50"/>
        <d v="1899-12-30T00:26:51"/>
        <d v="1899-12-30T00:29:05"/>
        <d v="1899-12-30T00:02:57"/>
        <d v="1899-12-30T00:57:13"/>
        <d v="1899-12-30T00:17:04"/>
        <d v="1899-12-30T00:58:58"/>
        <d v="1899-12-30T00:10:39"/>
        <d v="1899-12-30T00:33:03"/>
        <d v="1899-12-30T00:06:08"/>
        <d v="1899-12-30T00:48:03"/>
        <d v="1899-12-30T00:46:26"/>
        <d v="1899-12-30T00:56:36"/>
        <d v="1899-12-30T00:20:12"/>
        <d v="1899-12-30T00:30:07"/>
        <d v="1899-12-30T00:49:39"/>
        <d v="1899-12-30T00:26:30"/>
        <d v="1899-12-30T00:42:24"/>
        <d v="1899-12-30T00:37:33"/>
        <d v="1899-12-30T00:02:33"/>
        <d v="1899-12-30T00:41:54"/>
        <d v="1899-12-30T00:43:06"/>
        <d v="1899-12-30T00:23:41"/>
        <d v="1899-12-30T00:12:43"/>
        <d v="1899-12-30T00:51:19"/>
        <d v="1899-12-30T00:22:42"/>
        <d v="1899-12-30T00:51:44"/>
        <d v="1899-12-30T00:21:50"/>
        <d v="1899-12-30T00:41:48"/>
        <d v="1899-12-30T00:00:06"/>
        <d v="1899-12-30T00:06:48"/>
        <d v="1899-12-30T00:52:13"/>
        <d v="1899-12-30T00:29:35"/>
        <d v="1899-12-30T00:42:51"/>
        <d v="1899-12-30T00:37:43"/>
        <d v="1899-12-30T00:05:38"/>
        <d v="1899-12-30T00:19:38"/>
        <d v="1899-12-30T00:39:40"/>
        <d v="1899-12-30T00:57:09"/>
        <d v="1899-12-30T00:58:12"/>
        <d v="1899-12-30T00:11:15"/>
        <d v="1899-12-30T00:21:58"/>
        <d v="1899-12-30T00:18:19"/>
        <d v="1899-12-30T00:46:50"/>
        <d v="1899-12-30T00:30:29"/>
        <d v="1899-12-30T00:58:21"/>
        <d v="1899-12-30T00:55:27"/>
        <d v="1899-12-30T00:34:13"/>
        <d v="1899-12-30T00:17:56"/>
        <d v="1899-12-30T00:48:14"/>
        <d v="1899-12-30T00:31:23"/>
        <d v="1899-12-30T00:42:38"/>
        <d v="1899-12-30T00:59:04"/>
        <d v="1899-12-30T00:58:35"/>
        <d v="1899-12-30T00:43:35"/>
        <d v="1899-12-30T00:50:45"/>
        <d v="1899-12-30T00:17:27"/>
        <d v="1899-12-30T00:49:12"/>
        <d v="1899-12-30T00:09:04"/>
        <d v="1899-12-30T00:23:34"/>
        <d v="1899-12-30T00:18:40"/>
        <d v="1899-12-30T00:11:23"/>
        <d v="1899-12-30T00:58:40"/>
        <d v="1899-12-30T00:20:46"/>
        <d v="1899-12-30T00:04:37"/>
        <d v="1899-12-30T00:36:43"/>
        <d v="1899-12-30T00:26:10"/>
        <d v="1899-12-30T00:27:43"/>
        <d v="1899-12-30T00:06:41"/>
        <d v="1899-12-30T00:47:29"/>
        <d v="1899-12-30T00:49:45"/>
        <d v="1899-12-30T00:16:19"/>
        <d v="1899-12-30T00:22:48"/>
        <d v="1899-12-30T00:15:23"/>
        <d v="1899-12-30T00:13:44"/>
        <d v="1899-12-30T00:55:11"/>
        <d v="1899-12-30T00:49:20"/>
        <d v="1899-12-30T00:36:03"/>
        <d v="1899-12-30T00:19:01"/>
        <d v="1899-12-30T00:45:06"/>
        <d v="1899-12-30T00:18:02"/>
        <d v="1899-12-30T00:54:12"/>
        <d v="1899-12-30T00:57:35"/>
        <d v="1899-12-30T00:24:13"/>
        <d v="1899-12-30T00:56:24"/>
        <d v="1899-12-30T00:29:55"/>
        <d v="1899-12-30T00:02:11"/>
        <d v="1899-12-30T00:19:48"/>
        <d v="1899-12-30T00:39:15"/>
        <d v="1899-12-30T00:02:17"/>
        <d v="1899-12-30T00:29:18"/>
        <d v="1899-12-30T00:40:04"/>
        <d v="1899-12-30T00:42:23"/>
        <d v="1899-12-30T00:15:34"/>
        <d v="1899-12-30T00:02:22"/>
        <d v="1899-12-30T00:08:30"/>
        <d v="1899-12-30T00:50:17"/>
        <d v="1899-12-30T00:11:31"/>
        <d v="1899-12-30T00:03:59"/>
        <d v="1899-12-30T00:27:58"/>
        <d v="1899-12-30T00:22:43"/>
        <d v="1899-12-30T00:23:19"/>
        <d v="1899-12-30T00:02:08"/>
        <d v="1899-12-30T00:30:19"/>
        <d v="1899-12-30T00:54:16"/>
        <d v="1899-12-30T00:29:53"/>
        <d v="1899-12-30T00:38:17"/>
        <d v="1899-12-30T00:07:14"/>
        <d v="1899-12-30T00:02:50"/>
        <d v="1899-12-30T00:57:14"/>
        <d v="1899-12-30T00:50:13"/>
        <d v="1899-12-30T00:14:35"/>
        <d v="1899-12-30T00:22:46"/>
        <d v="1899-12-30T00:38:53"/>
        <d v="1899-12-30T00:58:02"/>
        <d v="1899-12-30T00:22:03"/>
        <d v="1899-12-30T00:20:39"/>
        <d v="1899-12-30T00:49:31"/>
        <d v="1899-12-30T00:04:20"/>
        <d v="1899-12-30T00:03:22"/>
        <d v="1899-12-30T00:56:42"/>
        <d v="1899-12-30T00:22:14"/>
        <d v="1899-12-30T00:12:39"/>
      </sharedItems>
      <fieldGroup par="9"/>
    </cacheField>
    <cacheField name="resolution_date" numFmtId="47">
      <sharedItems containsSemiMixedTypes="0" containsNonDate="0" containsDate="1" containsString="0" minDate="1899-12-30T00:00:27" maxDate="1899-12-30T00:59:57" count="146">
        <d v="1899-12-30T00:46:41"/>
        <d v="1899-12-30T00:18:06"/>
        <d v="1899-12-30T00:50:37"/>
        <d v="1899-12-30T00:38:19"/>
        <d v="1899-12-30T00:53:07"/>
        <d v="1899-12-30T00:52:42"/>
        <d v="1899-12-30T00:11:49"/>
        <d v="1899-12-30T00:26:19"/>
        <d v="1899-12-30T00:04:28"/>
        <d v="1899-12-30T00:58:37"/>
        <d v="1899-12-30T00:28:31"/>
        <d v="1899-12-30T00:46:33"/>
        <d v="1899-12-30T00:58:41"/>
        <d v="1899-12-30T00:54:44"/>
        <d v="1899-12-30T00:11:32"/>
        <d v="1899-12-30T00:20:02"/>
        <d v="1899-12-30T00:18:53"/>
        <d v="1899-12-30T00:37:18"/>
        <d v="1899-12-30T00:48:25"/>
        <d v="1899-12-30T00:58:39"/>
        <d v="1899-12-30T00:06:40"/>
        <d v="1899-12-30T00:25:12"/>
        <d v="1899-12-30T00:34:14"/>
        <d v="1899-12-30T00:23:45"/>
        <d v="1899-12-30T00:42:35"/>
        <d v="1899-12-30T00:35:59"/>
        <d v="1899-12-30T00:14:52"/>
        <d v="1899-12-30T00:15:14"/>
        <d v="1899-12-30T00:57:18"/>
        <d v="1899-12-30T00:38:57"/>
        <d v="1899-12-30T00:38:11"/>
        <d v="1899-12-30T00:35:19"/>
        <d v="1899-12-30T00:40:38"/>
        <d v="1899-12-30T00:28:47"/>
        <d v="1899-12-30T00:43:21"/>
        <d v="1899-12-30T00:36:47"/>
        <d v="1899-12-30T00:18:49"/>
        <d v="1899-12-30T00:07:19"/>
        <d v="1899-12-30T00:43:04"/>
        <d v="1899-12-30T00:44:18"/>
        <d v="1899-12-30T00:59:27"/>
        <d v="1899-12-30T00:22:39"/>
        <d v="1899-12-30T00:00:27"/>
        <d v="1899-12-30T00:09:44"/>
        <d v="1899-12-30T00:10:24"/>
        <d v="1899-12-30T00:04:57"/>
        <d v="1899-12-30T00:41:59"/>
        <d v="1899-12-30T00:57:19"/>
        <d v="1899-12-30T00:39:55"/>
        <d v="1899-12-30T00:32:46"/>
        <d v="1899-12-30T00:09:54"/>
        <d v="1899-12-30T00:25:06"/>
        <d v="1899-12-30T00:27:46"/>
        <d v="1899-12-30T00:53:39"/>
        <d v="1899-12-30T00:03:10"/>
        <d v="1899-12-30T00:47:48"/>
        <d v="1899-12-30T00:28:34"/>
        <d v="1899-12-30T00:48:58"/>
        <d v="1899-12-30T00:16:37"/>
        <d v="1899-12-30T00:17:59"/>
        <d v="1899-12-30T00:49:50"/>
        <d v="1899-12-30T00:03:29"/>
        <d v="1899-12-30T00:21:43"/>
        <d v="1899-12-30T00:55:37"/>
        <d v="1899-12-30T00:01:56"/>
        <d v="1899-12-30T00:55:36"/>
        <d v="1899-12-30T00:05:28"/>
        <d v="1899-12-30T00:03:00"/>
        <d v="1899-12-30T00:16:59"/>
        <d v="1899-12-30T00:37:01"/>
        <d v="1899-12-30T00:11:24"/>
        <d v="1899-12-30T00:58:26"/>
        <d v="1899-12-30T00:32:31"/>
        <d v="1899-12-30T00:40:49"/>
        <d v="1899-12-30T00:19:46"/>
        <d v="1899-12-30T00:40:58"/>
        <d v="1899-12-30T00:11:12"/>
        <d v="1899-12-30T00:40:18"/>
        <d v="1899-12-30T00:29:43"/>
        <d v="1899-12-30T00:08:25"/>
        <d v="1899-12-30T00:32:38"/>
        <d v="1899-12-30T00:00:38"/>
        <d v="1899-12-30T00:21:18"/>
        <d v="1899-12-30T00:26:15"/>
        <d v="1899-12-30T00:20:43"/>
        <d v="1899-12-30T00:08:10"/>
        <d v="1899-12-30T00:37:11"/>
        <d v="1899-12-30T00:12:02"/>
        <d v="1899-12-30T00:31:59"/>
        <d v="1899-12-30T00:21:32"/>
        <d v="1899-12-30T00:22:20"/>
        <d v="1899-12-30T00:09:01"/>
        <d v="1899-12-30T00:49:37"/>
        <d v="1899-12-30T00:08:52"/>
        <d v="1899-12-30T00:43:15"/>
        <d v="1899-12-30T00:49:20"/>
        <d v="1899-12-30T00:34:20"/>
        <d v="1899-12-30T00:28:59"/>
        <d v="1899-12-30T00:26:30"/>
        <d v="1899-12-30T00:04:04"/>
        <d v="1899-12-30T00:17:50"/>
        <d v="1899-12-30T00:31:30"/>
        <d v="1899-12-30T00:59:45"/>
        <d v="1899-12-30T00:36:27"/>
        <d v="1899-12-30T00:41:24"/>
        <d v="1899-12-30T00:29:37"/>
        <d v="1899-12-30T00:11:11"/>
        <d v="1899-12-30T00:56:19"/>
        <d v="1899-12-30T00:24:35"/>
        <d v="1899-12-30T00:35:51"/>
        <d v="1899-12-30T00:40:12"/>
        <d v="1899-12-30T00:40:56"/>
        <d v="1899-12-30T00:31:35"/>
        <d v="1899-12-30T00:07:28"/>
        <d v="1899-12-30T00:50:48"/>
        <d v="1899-12-30T00:50:20"/>
        <d v="1899-12-30T00:18:46"/>
        <d v="1899-12-30T00:59:57"/>
        <d v="1899-12-30T00:05:17"/>
        <d v="1899-12-30T00:25:23"/>
        <d v="1899-12-30T00:31:43"/>
        <d v="1899-12-30T00:24:48"/>
        <d v="1899-12-30T00:06:33"/>
        <d v="1899-12-30T00:11:22"/>
        <d v="1899-12-30T00:04:42"/>
        <d v="1899-12-30T00:23:32"/>
        <d v="1899-12-30T00:18:37"/>
        <d v="1899-12-30T00:09:05"/>
        <d v="1899-12-30T00:37:10"/>
        <d v="1899-12-30T00:20:30"/>
        <d v="1899-12-30T00:05:49"/>
        <d v="1899-12-30T00:05:13"/>
        <d v="1899-12-30T00:38:38"/>
        <d v="1899-12-30T00:46:12"/>
        <d v="1899-12-30T00:47:19"/>
        <d v="1899-12-30T00:16:51"/>
        <d v="1899-12-30T00:41:10"/>
        <d v="1899-12-30T00:24:43"/>
        <d v="1899-12-30T00:50:41"/>
        <d v="1899-12-30T00:14:10"/>
        <d v="1899-12-30T00:34:39"/>
        <d v="1899-12-30T00:50:14"/>
        <d v="1899-12-30T00:54:19"/>
        <d v="1899-12-30T00:01:09"/>
        <d v="1899-12-30T00:50:12"/>
        <d v="1899-12-30T00:13:25"/>
      </sharedItems>
      <fieldGroup par="12"/>
    </cacheField>
    <cacheField name="category" numFmtId="0">
      <sharedItems count="7">
        <s v="Other"/>
        <s v="Software"/>
        <s v="Hardware"/>
        <s v="Access"/>
        <s v="Network"/>
        <s v="Security"/>
        <s v="Billing"/>
      </sharedItems>
    </cacheField>
    <cacheField name="assigned_analyst" numFmtId="0">
      <sharedItems count="10">
        <s v="Toni Wiley"/>
        <s v="Tanya Jones"/>
        <s v="Sheila Ball"/>
        <s v="Cynthia Rich"/>
        <s v="Janice Burns"/>
        <s v="Autumn Ryan"/>
        <s v="Amanda White"/>
        <s v="Adam Stone"/>
        <s v="Natasha Harris"/>
        <s v="Marvin West"/>
      </sharedItems>
    </cacheField>
    <cacheField name="description" numFmtId="0">
      <sharedItems/>
    </cacheField>
    <cacheField name="priority" numFmtId="0">
      <sharedItems count="4">
        <s v="High"/>
        <s v="Medium"/>
        <s v="Low"/>
        <s v="Critical"/>
      </sharedItems>
    </cacheField>
    <cacheField name="Seconds (submission_date)" numFmtId="0" databaseField="0">
      <fieldGroup base="1">
        <rangePr groupBy="seconds" startDate="1899-12-30T00:00:06" endDate="1899-12-30T00:59:04"/>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Minutes (submission_date)" numFmtId="0" databaseField="0">
      <fieldGroup base="1">
        <rangePr groupBy="minutes" startDate="1899-12-30T00:00:06" endDate="1899-12-30T00:59:04"/>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Hours (submission_date)" numFmtId="0" databaseField="0">
      <fieldGroup base="1">
        <rangePr groupBy="hours" startDate="1899-12-30T00:00:06" endDate="1899-12-30T00:59:04"/>
        <groupItems count="26">
          <s v="&lt;00-01-1900"/>
          <s v="00"/>
          <s v="01"/>
          <s v="02"/>
          <s v="03"/>
          <s v="04"/>
          <s v="05"/>
          <s v="06"/>
          <s v="07"/>
          <s v="08"/>
          <s v="09"/>
          <s v="10"/>
          <s v="11"/>
          <s v="12"/>
          <s v="13"/>
          <s v="14"/>
          <s v="15"/>
          <s v="16"/>
          <s v="17"/>
          <s v="18"/>
          <s v="19"/>
          <s v="20"/>
          <s v="21"/>
          <s v="22"/>
          <s v="23"/>
          <s v="&gt;00-01-1900"/>
        </groupItems>
      </fieldGroup>
    </cacheField>
    <cacheField name="Seconds (resolution_date)" numFmtId="0" databaseField="0">
      <fieldGroup base="2">
        <rangePr groupBy="seconds" startDate="1899-12-30T00:00:27" endDate="1899-12-30T00:59:57"/>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Minutes (resolution_date)" numFmtId="0" databaseField="0">
      <fieldGroup base="2">
        <rangePr groupBy="minutes" startDate="1899-12-30T00:00:27" endDate="1899-12-30T00:59:57"/>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Hours (resolution_date)" numFmtId="0" databaseField="0">
      <fieldGroup base="2">
        <rangePr groupBy="hours" startDate="1899-12-30T00:00:27" endDate="1899-12-30T00:59:57"/>
        <groupItems count="26">
          <s v="&lt;00-01-1900"/>
          <s v="00"/>
          <s v="01"/>
          <s v="02"/>
          <s v="03"/>
          <s v="04"/>
          <s v="05"/>
          <s v="06"/>
          <s v="07"/>
          <s v="08"/>
          <s v="09"/>
          <s v="10"/>
          <s v="11"/>
          <s v="12"/>
          <s v="13"/>
          <s v="14"/>
          <s v="15"/>
          <s v="16"/>
          <s v="17"/>
          <s v="18"/>
          <s v="19"/>
          <s v="20"/>
          <s v="21"/>
          <s v="22"/>
          <s v="23"/>
          <s v="&gt;00-01-1900"/>
        </groupItems>
      </fieldGroup>
    </cacheField>
  </cacheFields>
  <extLst>
    <ext xmlns:x14="http://schemas.microsoft.com/office/spreadsheetml/2009/9/main" uri="{725AE2AE-9491-48be-B2B4-4EB974FC3084}">
      <x14:pivotCacheDefinition pivotCacheId="137608594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avanthi Belide" refreshedDate="46101.793906828701" createdVersion="8" refreshedVersion="8" minRefreshableVersion="3" recordCount="150" xr:uid="{CC3FEB20-3340-483B-ADA2-8402D1B76DC1}">
  <cacheSource type="worksheet">
    <worksheetSource ref="A1:J151" sheet="help_desk_tickets"/>
  </cacheSource>
  <cacheFields count="13">
    <cacheField name="ticket_id" numFmtId="0">
      <sharedItems/>
    </cacheField>
    <cacheField name="submission_date" numFmtId="47">
      <sharedItems containsSemiMixedTypes="0" containsNonDate="0" containsDate="1" containsString="0" minDate="1899-12-30T00:00:06" maxDate="1899-12-30T00:59:04"/>
    </cacheField>
    <cacheField name="resolution_date" numFmtId="47">
      <sharedItems containsSemiMixedTypes="0" containsNonDate="0" containsDate="1" containsString="0" minDate="1899-12-30T00:00:27" maxDate="1899-12-30T00:59:57"/>
    </cacheField>
    <cacheField name="category" numFmtId="0">
      <sharedItems count="7">
        <s v="Other"/>
        <s v="Software"/>
        <s v="Hardware"/>
        <s v="Access"/>
        <s v="Network"/>
        <s v="Security"/>
        <s v="Billing"/>
      </sharedItems>
    </cacheField>
    <cacheField name="assigned_analyst" numFmtId="0">
      <sharedItems/>
    </cacheField>
    <cacheField name="description" numFmtId="0">
      <sharedItems/>
    </cacheField>
    <cacheField name="priority" numFmtId="0">
      <sharedItems/>
    </cacheField>
    <cacheField name="Resolution Time" numFmtId="164">
      <sharedItems containsSemiMixedTypes="0" containsNonDate="0" containsDate="1" containsString="0" minDate="1899-12-30T00:00:07" maxDate="1899-12-30T00:56:17" count="145">
        <d v="1899-12-30T00:10:25"/>
        <d v="1899-12-30T00:09:53"/>
        <d v="1899-12-30T00:18:34"/>
        <d v="1899-12-30T00:09:15"/>
        <d v="1899-12-30T00:06:59"/>
        <d v="1899-12-30T00:20:01"/>
        <d v="1899-12-30T00:26:26"/>
        <d v="1899-12-30T00:17:09"/>
        <d v="1899-12-30T00:36:45"/>
        <d v="1899-12-30T00:09:04"/>
        <d v="1899-12-30T00:08:30"/>
        <d v="1899-12-30T00:09:46"/>
        <d v="1899-12-30T00:06:54"/>
        <d v="1899-12-30T00:45:50"/>
        <d v="1899-12-30T00:21:26"/>
        <d v="1899-12-30T00:14:09"/>
        <d v="1899-12-30T00:33:12"/>
        <d v="1899-12-30T00:04:55"/>
        <d v="1899-12-30T00:45:21"/>
        <d v="1899-12-30T00:31:24"/>
        <d v="1899-12-30T00:42:57"/>
        <d v="1899-12-30T00:09:44"/>
        <d v="1899-12-30T00:04:29"/>
        <d v="1899-12-30T00:04:08"/>
        <d v="1899-12-30T00:04:58"/>
        <d v="1899-12-30T00:06:51"/>
        <d v="1899-12-30T00:11:59"/>
        <d v="1899-12-30T00:13:52"/>
        <d v="1899-12-30T00:54:21"/>
        <d v="1899-12-30T00:18:16"/>
        <d v="1899-12-30T00:21:07"/>
        <d v="1899-12-30T00:23:38"/>
        <d v="1899-12-30T00:29:59"/>
        <d v="1899-12-30T00:04:15"/>
        <d v="1899-12-30T00:37:13"/>
        <d v="1899-12-30T00:11:16"/>
        <d v="1899-12-30T00:27:37"/>
        <d v="1899-12-30T00:49:17"/>
        <d v="1899-12-30T00:22:52"/>
        <d v="1899-12-30T00:14:11"/>
        <d v="1899-12-30T00:09:48"/>
        <d v="1899-12-30T00:03:51"/>
        <d v="1899-12-30T00:41:57"/>
        <d v="1899-12-30T00:27:48"/>
        <d v="1899-12-30T00:07:51"/>
        <d v="1899-12-30T00:36:57"/>
        <d v="1899-12-30T00:01:07"/>
        <d v="1899-12-30T00:33:39"/>
        <d v="1899-12-30T00:27:11"/>
        <d v="1899-12-30T00:18:33"/>
        <d v="1899-12-30T00:12:48"/>
        <d v="1899-12-30T00:26:38"/>
        <d v="1899-12-30T00:05:56"/>
        <d v="1899-12-30T00:11:50"/>
        <d v="1899-12-30T00:03:03"/>
        <d v="1899-12-30T00:41:00"/>
        <d v="1899-12-30T00:23:39"/>
        <d v="1899-12-30T00:19:23"/>
        <d v="1899-12-30T00:26:14"/>
        <d v="1899-12-30T00:19:44"/>
        <d v="1899-12-30T00:44:12"/>
        <d v="1899-12-30T00:16:09"/>
        <d v="1899-12-30T00:17:58"/>
        <d v="1899-12-30T00:01:32"/>
        <d v="1899-12-30T00:56:17"/>
        <d v="1899-12-30T00:44:21"/>
        <d v="1899-12-30T00:16:29"/>
        <d v="1899-12-30T00:15:19"/>
        <d v="1899-12-30T00:29:50"/>
        <d v="1899-12-30T00:06:32"/>
        <d v="1899-12-30T00:46:57"/>
        <d v="1899-12-30T00:02:59"/>
        <d v="1899-12-30T00:06:35"/>
        <d v="1899-12-30T00:01:50"/>
        <d v="1899-12-30T00:07:16"/>
        <d v="1899-12-30T00:20:11"/>
        <d v="1899-12-30T00:02:20"/>
        <d v="1899-12-30T00:29:21"/>
        <d v="1899-12-30T00:50:10"/>
        <d v="1899-12-30T00:10:56"/>
        <d v="1899-12-30T00:50:07"/>
        <d v="1899-12-30T00:22:57"/>
        <d v="1899-12-30T00:11:39"/>
        <d v="1899-12-30T00:15:23"/>
        <d v="1899-12-30T00:18:31"/>
        <d v="1899-12-30T00:00:39"/>
        <d v="1899-12-30T00:26:41"/>
        <d v="1899-12-30T00:00:46"/>
        <d v="1899-12-30T00:17:43"/>
        <d v="1899-12-30T00:27:43"/>
        <d v="1899-12-30T00:23:28"/>
        <d v="1899-12-30T00:18:51"/>
        <d v="1899-12-30T00:36:33"/>
        <d v="1899-12-30T00:01:52"/>
        <d v="1899-12-30T00:15:25"/>
        <d v="1899-12-30T00:12:39"/>
        <d v="1899-12-30T00:03:42"/>
        <d v="1899-12-30T00:11:19"/>
        <d v="1899-12-30T00:04:07"/>
        <d v="1899-12-30T00:23:41"/>
        <d v="1899-12-30T00:28:37"/>
        <d v="1899-12-30T00:23:42"/>
        <d v="1899-12-30T00:17:26"/>
        <d v="1899-12-30T00:03:43"/>
        <d v="1899-12-30T00:11:36"/>
        <d v="1899-12-30T00:43:01"/>
        <d v="1899-12-30T00:01:16"/>
        <d v="1899-12-30T00:00:22"/>
        <d v="1899-12-30T00:20:32"/>
        <d v="1899-12-30T00:10:18"/>
        <d v="1899-12-30T00:38:44"/>
        <d v="1899-12-30T00:11:47"/>
        <d v="1899-12-30T00:31:47"/>
        <d v="1899-12-30T00:48:31"/>
        <d v="1899-12-30T00:21:02"/>
        <d v="1899-12-30T00:21:17"/>
        <d v="1899-12-30T00:17:34"/>
        <d v="1899-12-30T00:23:02"/>
        <d v="1899-12-30T00:23:13"/>
        <d v="1899-12-30T00:25:29"/>
        <d v="1899-12-30T00:42:34"/>
        <d v="1899-12-30T00:16:35"/>
        <d v="1899-12-30T00:18:01"/>
        <d v="1899-12-30T00:00:13"/>
        <d v="1899-12-30T00:16:28"/>
        <d v="1899-12-30T00:21:14"/>
        <d v="1899-12-30T00:17:06"/>
        <d v="1899-12-30T00:09:24"/>
        <d v="1899-12-30T00:32:28"/>
        <d v="1899-12-30T00:02:01"/>
        <d v="1899-12-30T00:35:48"/>
        <d v="1899-12-30T00:11:01"/>
        <d v="1899-12-30T00:02:54"/>
        <d v="1899-12-30T00:02:16"/>
        <d v="1899-12-30T00:18:25"/>
        <d v="1899-12-30T00:07:21"/>
        <d v="1899-12-30T00:07:53"/>
        <d v="1899-12-30T00:14:00"/>
        <d v="1899-12-30T00:00:07"/>
        <d v="1899-12-30T00:13:46"/>
        <d v="1899-12-30T00:00:35"/>
        <d v="1899-12-30T00:50:58"/>
        <d v="1899-12-30T00:55:33"/>
        <d v="1899-12-30T00:27:58"/>
        <d v="1899-12-30T00:00:47"/>
      </sharedItems>
      <fieldGroup par="12"/>
    </cacheField>
    <cacheField name="Day of week" numFmtId="0">
      <sharedItems count="1">
        <s v="Saturday"/>
      </sharedItems>
    </cacheField>
    <cacheField name="Month" numFmtId="0">
      <sharedItems count="1">
        <s v="January"/>
      </sharedItems>
    </cacheField>
    <cacheField name="Seconds (Resolution Time)" numFmtId="0" databaseField="0">
      <fieldGroup base="7">
        <rangePr groupBy="seconds" startDate="1899-12-30T00:00:07" endDate="1899-12-30T00:56:17"/>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Minutes (Resolution Time)" numFmtId="0" databaseField="0">
      <fieldGroup base="7">
        <rangePr groupBy="minutes" startDate="1899-12-30T00:00:07" endDate="1899-12-30T00:56:17"/>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Hours (Resolution Time)" numFmtId="0" databaseField="0">
      <fieldGroup base="7">
        <rangePr groupBy="hours" startDate="1899-12-30T00:00:07" endDate="1899-12-30T00:56:17"/>
        <groupItems count="26">
          <s v="&lt;00-01-1900"/>
          <s v="00"/>
          <s v="01"/>
          <s v="02"/>
          <s v="03"/>
          <s v="04"/>
          <s v="05"/>
          <s v="06"/>
          <s v="07"/>
          <s v="08"/>
          <s v="09"/>
          <s v="10"/>
          <s v="11"/>
          <s v="12"/>
          <s v="13"/>
          <s v="14"/>
          <s v="15"/>
          <s v="16"/>
          <s v="17"/>
          <s v="18"/>
          <s v="19"/>
          <s v="20"/>
          <s v="21"/>
          <s v="22"/>
          <s v="23"/>
          <s v="&gt;00-01-1900"/>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x v="0"/>
    <x v="0"/>
    <x v="0"/>
    <x v="0"/>
    <x v="0"/>
    <s v="Dream part subject until full. Brother century suddenly above. Six eight benefit animal move best."/>
    <x v="0"/>
  </r>
  <r>
    <x v="1"/>
    <x v="1"/>
    <x v="1"/>
    <x v="1"/>
    <x v="1"/>
    <s v="Application X is crashing every time I open it. Lead how phone also score player later blue."/>
    <x v="1"/>
  </r>
  <r>
    <x v="2"/>
    <x v="2"/>
    <x v="2"/>
    <x v="0"/>
    <x v="2"/>
    <s v="Black attack cold would page. Reality she war a chance. Physical hour Mr item red agreement for."/>
    <x v="1"/>
  </r>
  <r>
    <x v="3"/>
    <x v="3"/>
    <x v="3"/>
    <x v="2"/>
    <x v="3"/>
    <s v="My laptop's keyboard isn't working properly, some keys are stuck. Tree culture above effort more national whether."/>
    <x v="0"/>
  </r>
  <r>
    <x v="4"/>
    <x v="4"/>
    <x v="4"/>
    <x v="1"/>
    <x v="4"/>
    <s v="Application X is crashing every time I open it. Order wrong fight foreign bad house pick."/>
    <x v="0"/>
  </r>
  <r>
    <x v="5"/>
    <x v="5"/>
    <x v="5"/>
    <x v="1"/>
    <x v="2"/>
    <s v="Application X is crashing every time I open it. Sport should network realize relate very voice."/>
    <x v="2"/>
  </r>
  <r>
    <x v="6"/>
    <x v="6"/>
    <x v="6"/>
    <x v="3"/>
    <x v="5"/>
    <s v="I'm locked out of my account and can't reset my password. If rather year suffer wrong."/>
    <x v="2"/>
  </r>
  <r>
    <x v="7"/>
    <x v="7"/>
    <x v="7"/>
    <x v="1"/>
    <x v="6"/>
    <s v="Application X is crashing every time I open it. Here bill leg region training. Grow new may."/>
    <x v="2"/>
  </r>
  <r>
    <x v="8"/>
    <x v="8"/>
    <x v="8"/>
    <x v="2"/>
    <x v="6"/>
    <s v="My laptop's keyboard isn't working properly, some keys are stuck. Common maintain theory involve ok detail."/>
    <x v="1"/>
  </r>
  <r>
    <x v="9"/>
    <x v="9"/>
    <x v="9"/>
    <x v="1"/>
    <x v="2"/>
    <s v="Application X is crashing every time I open it. Responsibility again recently traditional word."/>
    <x v="1"/>
  </r>
  <r>
    <x v="10"/>
    <x v="10"/>
    <x v="10"/>
    <x v="1"/>
    <x v="7"/>
    <s v="Application X is crashing every time I open it. Structure this woman born."/>
    <x v="2"/>
  </r>
  <r>
    <x v="11"/>
    <x v="11"/>
    <x v="11"/>
    <x v="4"/>
    <x v="8"/>
    <s v="Can't connect to the Wi-Fi. It's showing 'No internet access'. Maintain without college strong few not week."/>
    <x v="0"/>
  </r>
  <r>
    <x v="12"/>
    <x v="12"/>
    <x v="12"/>
    <x v="4"/>
    <x v="0"/>
    <s v="Can't connect to the Wi-Fi. It's showing 'No internet access'. Official human task door century energy Mr."/>
    <x v="1"/>
  </r>
  <r>
    <x v="13"/>
    <x v="13"/>
    <x v="13"/>
    <x v="1"/>
    <x v="6"/>
    <s v="Application X is crashing every time I open it. Spring operation performance glass choice kind."/>
    <x v="2"/>
  </r>
  <r>
    <x v="14"/>
    <x v="14"/>
    <x v="14"/>
    <x v="1"/>
    <x v="1"/>
    <s v="Application X is crashing every time I open it. Summer yard maintain fire ask eight."/>
    <x v="0"/>
  </r>
  <r>
    <x v="15"/>
    <x v="15"/>
    <x v="15"/>
    <x v="1"/>
    <x v="9"/>
    <s v="Application X is crashing every time I open it. Least check between event. Can brother two form."/>
    <x v="0"/>
  </r>
  <r>
    <x v="16"/>
    <x v="16"/>
    <x v="16"/>
    <x v="1"/>
    <x v="6"/>
    <s v="Application X is crashing every time I open it. Resource in affect charge customer accept dream."/>
    <x v="2"/>
  </r>
  <r>
    <x v="17"/>
    <x v="17"/>
    <x v="17"/>
    <x v="5"/>
    <x v="0"/>
    <s v="Thought national word picture each deep."/>
    <x v="2"/>
  </r>
  <r>
    <x v="18"/>
    <x v="18"/>
    <x v="18"/>
    <x v="4"/>
    <x v="3"/>
    <s v="Can't connect to the Wi-Fi. It's showing 'No internet access'. Card series research else cup though artist."/>
    <x v="2"/>
  </r>
  <r>
    <x v="19"/>
    <x v="19"/>
    <x v="19"/>
    <x v="2"/>
    <x v="3"/>
    <s v="My laptop's keyboard isn't working properly, some keys are stuck. Young up grow after offer east region would."/>
    <x v="1"/>
  </r>
  <r>
    <x v="20"/>
    <x v="20"/>
    <x v="20"/>
    <x v="1"/>
    <x v="1"/>
    <s v="Application X is crashing every time I open it. Nice then management."/>
    <x v="1"/>
  </r>
  <r>
    <x v="21"/>
    <x v="21"/>
    <x v="21"/>
    <x v="1"/>
    <x v="0"/>
    <s v="Application X is crashing every time I open it. Water act involve follow hot."/>
    <x v="1"/>
  </r>
  <r>
    <x v="22"/>
    <x v="22"/>
    <x v="22"/>
    <x v="1"/>
    <x v="7"/>
    <s v="Application X is crashing every time I open it. Another such apply table let."/>
    <x v="1"/>
  </r>
  <r>
    <x v="23"/>
    <x v="23"/>
    <x v="23"/>
    <x v="1"/>
    <x v="4"/>
    <s v="Application X is crashing every time I open it. Senior per draw day mention sea quickly."/>
    <x v="1"/>
  </r>
  <r>
    <x v="24"/>
    <x v="24"/>
    <x v="24"/>
    <x v="4"/>
    <x v="3"/>
    <s v="Can't connect to the Wi-Fi. It's showing 'No internet access'. Race Republican expect east might collection."/>
    <x v="2"/>
  </r>
  <r>
    <x v="25"/>
    <x v="25"/>
    <x v="25"/>
    <x v="1"/>
    <x v="1"/>
    <s v="Application X is crashing every time I open it. Total maintain service writer."/>
    <x v="1"/>
  </r>
  <r>
    <x v="26"/>
    <x v="26"/>
    <x v="26"/>
    <x v="4"/>
    <x v="4"/>
    <s v="Can't connect to the Wi-Fi. It's showing 'No internet access'. Individual herself decide generation."/>
    <x v="0"/>
  </r>
  <r>
    <x v="27"/>
    <x v="27"/>
    <x v="27"/>
    <x v="6"/>
    <x v="1"/>
    <s v="Yourself floor foot character choose. Brother prepare but film key name."/>
    <x v="1"/>
  </r>
  <r>
    <x v="28"/>
    <x v="28"/>
    <x v="28"/>
    <x v="0"/>
    <x v="0"/>
    <s v="Successful radio play network yet. Fill director direction ready white."/>
    <x v="2"/>
  </r>
  <r>
    <x v="29"/>
    <x v="29"/>
    <x v="29"/>
    <x v="1"/>
    <x v="2"/>
    <s v="Application X is crashing every time I open it. Southern beat general first much hotel agency."/>
    <x v="1"/>
  </r>
  <r>
    <x v="30"/>
    <x v="30"/>
    <x v="30"/>
    <x v="4"/>
    <x v="2"/>
    <s v="Can't connect to the Wi-Fi. It's showing 'No internet access'. Cup government by life reduce each customer."/>
    <x v="2"/>
  </r>
  <r>
    <x v="31"/>
    <x v="31"/>
    <x v="31"/>
    <x v="1"/>
    <x v="1"/>
    <s v="Application X is crashing every time I open it. Market growth film."/>
    <x v="0"/>
  </r>
  <r>
    <x v="32"/>
    <x v="32"/>
    <x v="32"/>
    <x v="4"/>
    <x v="6"/>
    <s v="Can't connect to the Wi-Fi. It's showing 'No internet access'. Could north state feel others participant."/>
    <x v="2"/>
  </r>
  <r>
    <x v="33"/>
    <x v="33"/>
    <x v="33"/>
    <x v="6"/>
    <x v="5"/>
    <s v="Follow chair add finally these plan staff. Across shoulder school free."/>
    <x v="2"/>
  </r>
  <r>
    <x v="34"/>
    <x v="34"/>
    <x v="34"/>
    <x v="1"/>
    <x v="4"/>
    <s v="Application X is crashing every time I open it. Bag half join treat water by affect."/>
    <x v="2"/>
  </r>
  <r>
    <x v="35"/>
    <x v="35"/>
    <x v="35"/>
    <x v="2"/>
    <x v="1"/>
    <s v="My laptop's keyboard isn't working properly, some keys are stuck. Science bad news pressure anything probably save."/>
    <x v="2"/>
  </r>
  <r>
    <x v="36"/>
    <x v="36"/>
    <x v="36"/>
    <x v="1"/>
    <x v="8"/>
    <s v="Application X is crashing every time I open it. Fund project find law identify close worker."/>
    <x v="2"/>
  </r>
  <r>
    <x v="37"/>
    <x v="37"/>
    <x v="37"/>
    <x v="0"/>
    <x v="7"/>
    <s v="Rate play media air. Trade thank hundred choice reduce remember possible us."/>
    <x v="2"/>
  </r>
  <r>
    <x v="38"/>
    <x v="38"/>
    <x v="38"/>
    <x v="1"/>
    <x v="5"/>
    <s v="Application X is crashing every time I open it. Effort avoid door shoulder cut."/>
    <x v="1"/>
  </r>
  <r>
    <x v="39"/>
    <x v="39"/>
    <x v="39"/>
    <x v="3"/>
    <x v="6"/>
    <s v="I'm locked out of my account and can't reset my password. Point fine stop radio chair tree career scene."/>
    <x v="1"/>
  </r>
  <r>
    <x v="40"/>
    <x v="40"/>
    <x v="40"/>
    <x v="4"/>
    <x v="0"/>
    <s v="Can't connect to the Wi-Fi. It's showing 'No internet access'. Simple practice operation move put."/>
    <x v="1"/>
  </r>
  <r>
    <x v="41"/>
    <x v="41"/>
    <x v="41"/>
    <x v="2"/>
    <x v="1"/>
    <s v="My laptop's keyboard isn't working properly, some keys are stuck. Firm discuss audience say amount."/>
    <x v="2"/>
  </r>
  <r>
    <x v="42"/>
    <x v="42"/>
    <x v="42"/>
    <x v="6"/>
    <x v="9"/>
    <s v="Physical business information._x000a_Activity else house another. Still protect admit answer."/>
    <x v="2"/>
  </r>
  <r>
    <x v="43"/>
    <x v="43"/>
    <x v="43"/>
    <x v="1"/>
    <x v="6"/>
    <s v="Application X is crashing every time I open it. Anything despite not."/>
    <x v="3"/>
  </r>
  <r>
    <x v="44"/>
    <x v="44"/>
    <x v="44"/>
    <x v="2"/>
    <x v="5"/>
    <s v="My laptop's keyboard isn't working properly, some keys are stuck. Film answer tax different carry represent."/>
    <x v="0"/>
  </r>
  <r>
    <x v="45"/>
    <x v="45"/>
    <x v="45"/>
    <x v="1"/>
    <x v="1"/>
    <s v="Application X is crashing every time I open it. American computer let go event."/>
    <x v="0"/>
  </r>
  <r>
    <x v="46"/>
    <x v="46"/>
    <x v="46"/>
    <x v="4"/>
    <x v="4"/>
    <s v="Can't connect to the Wi-Fi. It's showing 'No internet access'. Build oil wait community less happen."/>
    <x v="1"/>
  </r>
  <r>
    <x v="47"/>
    <x v="47"/>
    <x v="47"/>
    <x v="3"/>
    <x v="1"/>
    <s v="I'm locked out of my account and can't reset my password. Decide stuff agree national politics current son."/>
    <x v="2"/>
  </r>
  <r>
    <x v="48"/>
    <x v="48"/>
    <x v="48"/>
    <x v="4"/>
    <x v="1"/>
    <s v="Can't connect to the Wi-Fi. It's showing 'No internet access'. Phone interview worker could."/>
    <x v="1"/>
  </r>
  <r>
    <x v="49"/>
    <x v="49"/>
    <x v="49"/>
    <x v="4"/>
    <x v="1"/>
    <s v="Can't connect to the Wi-Fi. It's showing 'No internet access'. Together life least mission."/>
    <x v="1"/>
  </r>
  <r>
    <x v="50"/>
    <x v="50"/>
    <x v="50"/>
    <x v="0"/>
    <x v="3"/>
    <s v="If forget newspaper behavior note put. Almost affect entire. Trial set capital real."/>
    <x v="2"/>
  </r>
  <r>
    <x v="51"/>
    <x v="51"/>
    <x v="51"/>
    <x v="1"/>
    <x v="1"/>
    <s v="Application X is crashing every time I open it. My sound short."/>
    <x v="2"/>
  </r>
  <r>
    <x v="52"/>
    <x v="52"/>
    <x v="52"/>
    <x v="1"/>
    <x v="3"/>
    <s v="Application X is crashing every time I open it. Where culture site value set."/>
    <x v="1"/>
  </r>
  <r>
    <x v="53"/>
    <x v="53"/>
    <x v="53"/>
    <x v="1"/>
    <x v="1"/>
    <s v="Application X is crashing every time I open it. Go claim billion small experience old."/>
    <x v="1"/>
  </r>
  <r>
    <x v="54"/>
    <x v="54"/>
    <x v="54"/>
    <x v="4"/>
    <x v="2"/>
    <s v="Can't connect to the Wi-Fi. It's showing 'No internet access'. Option name including."/>
    <x v="0"/>
  </r>
  <r>
    <x v="55"/>
    <x v="55"/>
    <x v="55"/>
    <x v="3"/>
    <x v="1"/>
    <s v="I'm locked out of my account and can't reset my password. Idea enter expert decision something."/>
    <x v="1"/>
  </r>
  <r>
    <x v="56"/>
    <x v="56"/>
    <x v="56"/>
    <x v="0"/>
    <x v="3"/>
    <s v="Through culture similar finally. Oil world money about fine street small."/>
    <x v="1"/>
  </r>
  <r>
    <x v="57"/>
    <x v="57"/>
    <x v="57"/>
    <x v="5"/>
    <x v="6"/>
    <s v="Weight go sort sign law response since. Sister other actually Mrs fight everything get."/>
    <x v="2"/>
  </r>
  <r>
    <x v="58"/>
    <x v="58"/>
    <x v="58"/>
    <x v="0"/>
    <x v="6"/>
    <s v="Particular ask company nearly exist exactly friend."/>
    <x v="1"/>
  </r>
  <r>
    <x v="59"/>
    <x v="59"/>
    <x v="59"/>
    <x v="1"/>
    <x v="5"/>
    <s v="Application X is crashing every time I open it. Skin subject purpose baby training."/>
    <x v="1"/>
  </r>
  <r>
    <x v="60"/>
    <x v="60"/>
    <x v="60"/>
    <x v="2"/>
    <x v="3"/>
    <s v="My laptop's keyboard isn't working properly, some keys are stuck. Than none office improve."/>
    <x v="1"/>
  </r>
  <r>
    <x v="61"/>
    <x v="61"/>
    <x v="61"/>
    <x v="1"/>
    <x v="0"/>
    <s v="Application X is crashing every time I open it. With because article scene father black."/>
    <x v="1"/>
  </r>
  <r>
    <x v="62"/>
    <x v="62"/>
    <x v="62"/>
    <x v="1"/>
    <x v="7"/>
    <s v="Application X is crashing every time I open it. Food pass energy fund need read anything."/>
    <x v="1"/>
  </r>
  <r>
    <x v="63"/>
    <x v="63"/>
    <x v="63"/>
    <x v="3"/>
    <x v="7"/>
    <s v="I'm locked out of my account and can't reset my password. Agreement news significant cultural agree."/>
    <x v="0"/>
  </r>
  <r>
    <x v="64"/>
    <x v="64"/>
    <x v="64"/>
    <x v="3"/>
    <x v="4"/>
    <s v="I'm locked out of my account and can't reset my password. Especially under always tend teacher build."/>
    <x v="1"/>
  </r>
  <r>
    <x v="65"/>
    <x v="65"/>
    <x v="65"/>
    <x v="4"/>
    <x v="0"/>
    <s v="Can't connect to the Wi-Fi. It's showing 'No internet access'. Child as debate economy."/>
    <x v="1"/>
  </r>
  <r>
    <x v="66"/>
    <x v="66"/>
    <x v="66"/>
    <x v="2"/>
    <x v="2"/>
    <s v="My laptop's keyboard isn't working properly, some keys are stuck. Someone poor mission fill free."/>
    <x v="2"/>
  </r>
  <r>
    <x v="67"/>
    <x v="67"/>
    <x v="67"/>
    <x v="4"/>
    <x v="7"/>
    <s v="Can't connect to the Wi-Fi. It's showing 'No internet access'. Represent safe scene wall dog."/>
    <x v="1"/>
  </r>
  <r>
    <x v="68"/>
    <x v="68"/>
    <x v="68"/>
    <x v="1"/>
    <x v="5"/>
    <s v="Application X is crashing every time I open it. Claim success those baby."/>
    <x v="2"/>
  </r>
  <r>
    <x v="69"/>
    <x v="69"/>
    <x v="69"/>
    <x v="1"/>
    <x v="4"/>
    <s v="Application X is crashing every time I open it. Term lot their. Dark itself deal race Democrat."/>
    <x v="1"/>
  </r>
  <r>
    <x v="70"/>
    <x v="70"/>
    <x v="70"/>
    <x v="2"/>
    <x v="7"/>
    <s v="My laptop's keyboard isn't working properly, some keys are stuck. Bad past glass strategy. Above skin station."/>
    <x v="3"/>
  </r>
  <r>
    <x v="71"/>
    <x v="71"/>
    <x v="71"/>
    <x v="1"/>
    <x v="2"/>
    <s v="Application X is crashing every time I open it. Tv control generation away public remain."/>
    <x v="1"/>
  </r>
  <r>
    <x v="72"/>
    <x v="42"/>
    <x v="72"/>
    <x v="4"/>
    <x v="7"/>
    <s v="Can't connect to the Wi-Fi. It's showing 'No internet access'. Alone skill foot benefit."/>
    <x v="1"/>
  </r>
  <r>
    <x v="73"/>
    <x v="72"/>
    <x v="73"/>
    <x v="0"/>
    <x v="8"/>
    <s v="Media respond them indicate. Up movie television stop. Garden ten city already close."/>
    <x v="0"/>
  </r>
  <r>
    <x v="74"/>
    <x v="73"/>
    <x v="74"/>
    <x v="5"/>
    <x v="1"/>
    <s v="Lay support mouth control understand could. Husband for evening upon involve."/>
    <x v="2"/>
  </r>
  <r>
    <x v="75"/>
    <x v="74"/>
    <x v="75"/>
    <x v="0"/>
    <x v="7"/>
    <s v="Company month civil season include. Onto life for both little."/>
    <x v="0"/>
  </r>
  <r>
    <x v="76"/>
    <x v="75"/>
    <x v="76"/>
    <x v="1"/>
    <x v="1"/>
    <s v="Application X is crashing every time I open it. Candidate push mind exactly feel."/>
    <x v="0"/>
  </r>
  <r>
    <x v="77"/>
    <x v="76"/>
    <x v="77"/>
    <x v="5"/>
    <x v="5"/>
    <s v="Writer city suffer within important recently difference. Wait only relationship free."/>
    <x v="0"/>
  </r>
  <r>
    <x v="78"/>
    <x v="77"/>
    <x v="78"/>
    <x v="1"/>
    <x v="1"/>
    <s v="Application X is crashing every time I open it. Form customer bill interest remember which."/>
    <x v="2"/>
  </r>
  <r>
    <x v="79"/>
    <x v="78"/>
    <x v="79"/>
    <x v="4"/>
    <x v="1"/>
    <s v="Can't connect to the Wi-Fi. It's showing 'No internet access'. Agree begin guess ask choice low themselves born."/>
    <x v="2"/>
  </r>
  <r>
    <x v="80"/>
    <x v="79"/>
    <x v="80"/>
    <x v="1"/>
    <x v="6"/>
    <s v="Application X is crashing every time I open it. Center worry nor whole."/>
    <x v="2"/>
  </r>
  <r>
    <x v="81"/>
    <x v="80"/>
    <x v="81"/>
    <x v="3"/>
    <x v="3"/>
    <s v="I'm locked out of my account and can't reset my password. Miss son responsibility hour."/>
    <x v="2"/>
  </r>
  <r>
    <x v="82"/>
    <x v="81"/>
    <x v="82"/>
    <x v="1"/>
    <x v="1"/>
    <s v="Application X is crashing every time I open it. Develop course foreign no either."/>
    <x v="1"/>
  </r>
  <r>
    <x v="83"/>
    <x v="82"/>
    <x v="83"/>
    <x v="6"/>
    <x v="4"/>
    <s v="Public husband return country service very. Be exactly time firm yard price bad."/>
    <x v="2"/>
  </r>
  <r>
    <x v="84"/>
    <x v="83"/>
    <x v="84"/>
    <x v="2"/>
    <x v="9"/>
    <s v="My laptop's keyboard isn't working properly, some keys are stuck. Perform author more owner girl message."/>
    <x v="2"/>
  </r>
  <r>
    <x v="85"/>
    <x v="84"/>
    <x v="85"/>
    <x v="3"/>
    <x v="5"/>
    <s v="I'm locked out of my account and can't reset my password. Church stop environment."/>
    <x v="0"/>
  </r>
  <r>
    <x v="86"/>
    <x v="85"/>
    <x v="86"/>
    <x v="1"/>
    <x v="7"/>
    <s v="Application X is crashing every time I open it. Everyone body modern feeling shake loss."/>
    <x v="1"/>
  </r>
  <r>
    <x v="87"/>
    <x v="86"/>
    <x v="87"/>
    <x v="2"/>
    <x v="2"/>
    <s v="My laptop's keyboard isn't working properly, some keys are stuck. Whole material thus despite firm more."/>
    <x v="1"/>
  </r>
  <r>
    <x v="88"/>
    <x v="87"/>
    <x v="88"/>
    <x v="1"/>
    <x v="5"/>
    <s v="Application X is crashing every time I open it. Until statement century seat vote never."/>
    <x v="1"/>
  </r>
  <r>
    <x v="89"/>
    <x v="88"/>
    <x v="89"/>
    <x v="1"/>
    <x v="5"/>
    <s v="Application X is crashing every time I open it. Big season the."/>
    <x v="2"/>
  </r>
  <r>
    <x v="90"/>
    <x v="89"/>
    <x v="90"/>
    <x v="1"/>
    <x v="0"/>
    <s v="Application X is crashing every time I open it. Usually career attention realize."/>
    <x v="1"/>
  </r>
  <r>
    <x v="91"/>
    <x v="90"/>
    <x v="91"/>
    <x v="1"/>
    <x v="5"/>
    <s v="Application X is crashing every time I open it. Firm tonight statement feel Mrs music."/>
    <x v="2"/>
  </r>
  <r>
    <x v="92"/>
    <x v="91"/>
    <x v="92"/>
    <x v="4"/>
    <x v="3"/>
    <s v="Can't connect to the Wi-Fi. It's showing 'No internet access'. Life change act. Through imagine again whole."/>
    <x v="1"/>
  </r>
  <r>
    <x v="93"/>
    <x v="92"/>
    <x v="93"/>
    <x v="0"/>
    <x v="3"/>
    <s v="Including development attack wide. Concern his environment attack program rest team."/>
    <x v="2"/>
  </r>
  <r>
    <x v="94"/>
    <x v="93"/>
    <x v="94"/>
    <x v="3"/>
    <x v="7"/>
    <s v="I'm locked out of my account and can't reset my password. Another collection another many."/>
    <x v="2"/>
  </r>
  <r>
    <x v="95"/>
    <x v="94"/>
    <x v="95"/>
    <x v="0"/>
    <x v="0"/>
    <s v="Compare or at environmental. Six what them fall. Husband certain institution phone resource blood."/>
    <x v="1"/>
  </r>
  <r>
    <x v="96"/>
    <x v="95"/>
    <x v="96"/>
    <x v="3"/>
    <x v="4"/>
    <s v="I'm locked out of my account and can't reset my password. Medical let door front. Law end always."/>
    <x v="2"/>
  </r>
  <r>
    <x v="97"/>
    <x v="96"/>
    <x v="97"/>
    <x v="2"/>
    <x v="5"/>
    <s v="My laptop's keyboard isn't working properly, some keys are stuck. Rich fire power city. Water career next relate."/>
    <x v="2"/>
  </r>
  <r>
    <x v="98"/>
    <x v="97"/>
    <x v="98"/>
    <x v="1"/>
    <x v="1"/>
    <s v="Application X is crashing every time I open it. Result happy song want finish stuff."/>
    <x v="0"/>
  </r>
  <r>
    <x v="99"/>
    <x v="98"/>
    <x v="99"/>
    <x v="2"/>
    <x v="4"/>
    <s v="My laptop's keyboard isn't working properly, some keys are stuck. Themselves big matter happy small."/>
    <x v="1"/>
  </r>
  <r>
    <x v="100"/>
    <x v="99"/>
    <x v="100"/>
    <x v="1"/>
    <x v="5"/>
    <s v="Application X is crashing every time I open it. Agent will respond help."/>
    <x v="3"/>
  </r>
  <r>
    <x v="101"/>
    <x v="100"/>
    <x v="101"/>
    <x v="1"/>
    <x v="7"/>
    <s v="Application X is crashing every time I open it. Short commercial everybody difficult change."/>
    <x v="1"/>
  </r>
  <r>
    <x v="102"/>
    <x v="101"/>
    <x v="84"/>
    <x v="0"/>
    <x v="5"/>
    <s v="Any today within none hot again green. Remember attack event view father."/>
    <x v="2"/>
  </r>
  <r>
    <x v="103"/>
    <x v="102"/>
    <x v="102"/>
    <x v="1"/>
    <x v="9"/>
    <s v="Application X is crashing every time I open it. Represent senior his finish include nothing."/>
    <x v="1"/>
  </r>
  <r>
    <x v="104"/>
    <x v="103"/>
    <x v="103"/>
    <x v="6"/>
    <x v="9"/>
    <s v="She certain boy build. Test bag country president environment."/>
    <x v="0"/>
  </r>
  <r>
    <x v="105"/>
    <x v="104"/>
    <x v="104"/>
    <x v="4"/>
    <x v="8"/>
    <s v="Can't connect to the Wi-Fi. It's showing 'No internet access'. Hair job save son."/>
    <x v="2"/>
  </r>
  <r>
    <x v="106"/>
    <x v="105"/>
    <x v="105"/>
    <x v="6"/>
    <x v="2"/>
    <s v="Growth middle establish public."/>
    <x v="1"/>
  </r>
  <r>
    <x v="107"/>
    <x v="106"/>
    <x v="106"/>
    <x v="2"/>
    <x v="1"/>
    <s v="My laptop's keyboard isn't working properly, some keys are stuck. Produce require line letter listen often."/>
    <x v="2"/>
  </r>
  <r>
    <x v="108"/>
    <x v="107"/>
    <x v="107"/>
    <x v="2"/>
    <x v="2"/>
    <s v="My laptop's keyboard isn't working properly, some keys are stuck. At bag continue."/>
    <x v="0"/>
  </r>
  <r>
    <x v="109"/>
    <x v="108"/>
    <x v="108"/>
    <x v="1"/>
    <x v="2"/>
    <s v="Application X is crashing every time I open it. Without pass book tend."/>
    <x v="2"/>
  </r>
  <r>
    <x v="110"/>
    <x v="109"/>
    <x v="109"/>
    <x v="3"/>
    <x v="7"/>
    <s v="I'm locked out of my account and can't reset my password. Right where add."/>
    <x v="0"/>
  </r>
  <r>
    <x v="111"/>
    <x v="110"/>
    <x v="110"/>
    <x v="1"/>
    <x v="2"/>
    <s v="Application X is crashing every time I open it. Argue team senior low training."/>
    <x v="2"/>
  </r>
  <r>
    <x v="112"/>
    <x v="111"/>
    <x v="111"/>
    <x v="5"/>
    <x v="1"/>
    <s v="Plant attack should. Drive international today. Pretty statement her upon nation."/>
    <x v="2"/>
  </r>
  <r>
    <x v="113"/>
    <x v="112"/>
    <x v="112"/>
    <x v="2"/>
    <x v="3"/>
    <s v="My laptop's keyboard isn't working properly, some keys are stuck. Chance place build body population."/>
    <x v="0"/>
  </r>
  <r>
    <x v="114"/>
    <x v="113"/>
    <x v="113"/>
    <x v="0"/>
    <x v="4"/>
    <s v="Something million activity. Interview under cover career under. Can address show public."/>
    <x v="1"/>
  </r>
  <r>
    <x v="115"/>
    <x v="114"/>
    <x v="114"/>
    <x v="3"/>
    <x v="9"/>
    <s v="I'm locked out of my account and can't reset my password. Receive nature option oil read trouble."/>
    <x v="2"/>
  </r>
  <r>
    <x v="116"/>
    <x v="115"/>
    <x v="115"/>
    <x v="1"/>
    <x v="2"/>
    <s v="Application X is crashing every time I open it. Toward ago director condition food share meet."/>
    <x v="1"/>
  </r>
  <r>
    <x v="117"/>
    <x v="116"/>
    <x v="116"/>
    <x v="3"/>
    <x v="8"/>
    <s v="I'm locked out of my account and can't reset my password. For we when drive. Start identify now throw."/>
    <x v="1"/>
  </r>
  <r>
    <x v="118"/>
    <x v="117"/>
    <x v="117"/>
    <x v="6"/>
    <x v="5"/>
    <s v="Even focus animal civil quality lay skill. Need maybe former return."/>
    <x v="2"/>
  </r>
  <r>
    <x v="119"/>
    <x v="118"/>
    <x v="118"/>
    <x v="2"/>
    <x v="1"/>
    <s v="My laptop's keyboard isn't working properly, some keys are stuck. Cup money work certainly color."/>
    <x v="1"/>
  </r>
  <r>
    <x v="120"/>
    <x v="119"/>
    <x v="119"/>
    <x v="0"/>
    <x v="4"/>
    <s v="Clear late win beat. Those arm say year him science door."/>
    <x v="1"/>
  </r>
  <r>
    <x v="121"/>
    <x v="120"/>
    <x v="120"/>
    <x v="3"/>
    <x v="7"/>
    <s v="I'm locked out of my account and can't reset my password. Purpose almost nature create authority company."/>
    <x v="1"/>
  </r>
  <r>
    <x v="122"/>
    <x v="121"/>
    <x v="121"/>
    <x v="1"/>
    <x v="0"/>
    <s v="Application X is crashing every time I open it. Garden better chance impact where how member."/>
    <x v="1"/>
  </r>
  <r>
    <x v="123"/>
    <x v="122"/>
    <x v="122"/>
    <x v="4"/>
    <x v="1"/>
    <s v="Can't connect to the Wi-Fi. It's showing 'No internet access'. Bag without else red. Able year decision others."/>
    <x v="1"/>
  </r>
  <r>
    <x v="124"/>
    <x v="123"/>
    <x v="11"/>
    <x v="6"/>
    <x v="9"/>
    <s v="Police machine star. Computer lead control across blue eye force. Parent set professor sit couple."/>
    <x v="1"/>
  </r>
  <r>
    <x v="125"/>
    <x v="124"/>
    <x v="123"/>
    <x v="6"/>
    <x v="3"/>
    <s v="Group resource dinner knowledge scientist Mr. Police simply enter training too."/>
    <x v="1"/>
  </r>
  <r>
    <x v="126"/>
    <x v="125"/>
    <x v="124"/>
    <x v="2"/>
    <x v="5"/>
    <s v="My laptop's keyboard isn't working properly, some keys are stuck. Go wear understand relate."/>
    <x v="2"/>
  </r>
  <r>
    <x v="127"/>
    <x v="126"/>
    <x v="125"/>
    <x v="1"/>
    <x v="9"/>
    <s v="Application X is crashing every time I open it. Gas mother rate wind fight success medical."/>
    <x v="2"/>
  </r>
  <r>
    <x v="128"/>
    <x v="127"/>
    <x v="126"/>
    <x v="4"/>
    <x v="2"/>
    <s v="Can't connect to the Wi-Fi. It's showing 'No internet access'. These entire million eat play sit."/>
    <x v="0"/>
  </r>
  <r>
    <x v="129"/>
    <x v="128"/>
    <x v="127"/>
    <x v="0"/>
    <x v="1"/>
    <s v="Draw once season talk forward. Decision partner north realize finish one question."/>
    <x v="1"/>
  </r>
  <r>
    <x v="130"/>
    <x v="129"/>
    <x v="128"/>
    <x v="6"/>
    <x v="6"/>
    <s v="Catch travel form bar pretty himself team. Light suffer evidence land ok may guy."/>
    <x v="2"/>
  </r>
  <r>
    <x v="131"/>
    <x v="130"/>
    <x v="129"/>
    <x v="6"/>
    <x v="2"/>
    <s v="Act believe heavy watch best game part. Too language mean. Cut age personal resource."/>
    <x v="2"/>
  </r>
  <r>
    <x v="132"/>
    <x v="131"/>
    <x v="130"/>
    <x v="0"/>
    <x v="7"/>
    <s v="Year name message voice data. Protect word up today. Break drop already life."/>
    <x v="2"/>
  </r>
  <r>
    <x v="133"/>
    <x v="132"/>
    <x v="131"/>
    <x v="3"/>
    <x v="3"/>
    <s v="I'm locked out of my account and can't reset my password. Maintain tree story research hair why."/>
    <x v="0"/>
  </r>
  <r>
    <x v="134"/>
    <x v="133"/>
    <x v="132"/>
    <x v="0"/>
    <x v="5"/>
    <s v="Memory process group arm attack indicate mother. View three prepare by."/>
    <x v="2"/>
  </r>
  <r>
    <x v="135"/>
    <x v="134"/>
    <x v="133"/>
    <x v="5"/>
    <x v="6"/>
    <s v="Foreign sign be money cup raise keep. Right scene market."/>
    <x v="2"/>
  </r>
  <r>
    <x v="136"/>
    <x v="135"/>
    <x v="134"/>
    <x v="2"/>
    <x v="6"/>
    <s v="My laptop's keyboard isn't working properly, some keys are stuck. Certain six among before."/>
    <x v="2"/>
  </r>
  <r>
    <x v="137"/>
    <x v="136"/>
    <x v="135"/>
    <x v="2"/>
    <x v="1"/>
    <s v="My laptop's keyboard isn't working properly, some keys are stuck. Ago his against point garden drug."/>
    <x v="2"/>
  </r>
  <r>
    <x v="138"/>
    <x v="137"/>
    <x v="136"/>
    <x v="1"/>
    <x v="0"/>
    <s v="Application X is crashing every time I open it. Any state food citizen."/>
    <x v="1"/>
  </r>
  <r>
    <x v="139"/>
    <x v="138"/>
    <x v="137"/>
    <x v="4"/>
    <x v="6"/>
    <s v="Can't connect to the Wi-Fi. It's showing 'No internet access'. He particularly begin save area finally word."/>
    <x v="2"/>
  </r>
  <r>
    <x v="140"/>
    <x v="139"/>
    <x v="138"/>
    <x v="2"/>
    <x v="8"/>
    <s v="My laptop's keyboard isn't working properly, some keys are stuck. Serious simply mind cost movie actually."/>
    <x v="1"/>
  </r>
  <r>
    <x v="141"/>
    <x v="140"/>
    <x v="139"/>
    <x v="2"/>
    <x v="0"/>
    <s v="My laptop's keyboard isn't working properly, some keys are stuck. Social approach mother white."/>
    <x v="1"/>
  </r>
  <r>
    <x v="142"/>
    <x v="141"/>
    <x v="140"/>
    <x v="4"/>
    <x v="4"/>
    <s v="Can't connect to the Wi-Fi. It's showing 'No internet access'. Enter room up sound nature."/>
    <x v="1"/>
  </r>
  <r>
    <x v="143"/>
    <x v="142"/>
    <x v="92"/>
    <x v="2"/>
    <x v="3"/>
    <s v="My laptop's keyboard isn't working properly, some keys are stuck. Effort to since question."/>
    <x v="2"/>
  </r>
  <r>
    <x v="144"/>
    <x v="143"/>
    <x v="1"/>
    <x v="1"/>
    <x v="8"/>
    <s v="Application X is crashing every time I open it. These drive president building."/>
    <x v="1"/>
  </r>
  <r>
    <x v="145"/>
    <x v="40"/>
    <x v="141"/>
    <x v="6"/>
    <x v="3"/>
    <s v="Suddenly effort she without without."/>
    <x v="3"/>
  </r>
  <r>
    <x v="146"/>
    <x v="144"/>
    <x v="142"/>
    <x v="4"/>
    <x v="6"/>
    <s v="Can't connect to the Wi-Fi. It's showing 'No internet access'. Should that nation can difficult nice."/>
    <x v="0"/>
  </r>
  <r>
    <x v="147"/>
    <x v="145"/>
    <x v="143"/>
    <x v="5"/>
    <x v="3"/>
    <s v="Look scene real owner agent whose specific. Along they yourself character year or behind."/>
    <x v="2"/>
  </r>
  <r>
    <x v="148"/>
    <x v="146"/>
    <x v="144"/>
    <x v="0"/>
    <x v="7"/>
    <s v="You reflect radio. Especially speech wish interesting wife."/>
    <x v="1"/>
  </r>
  <r>
    <x v="149"/>
    <x v="147"/>
    <x v="145"/>
    <x v="2"/>
    <x v="0"/>
    <s v="My laptop's keyboard isn't working properly, some keys are stuck. Event pattern factor deep manager work."/>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s v="TICKET-1000"/>
    <d v="1899-12-30T00:36:16"/>
    <d v="1899-12-30T00:46:41"/>
    <x v="0"/>
    <s v="Toni Wiley"/>
    <s v="Dream part subject until full. Brother century suddenly above. Six eight benefit animal move best."/>
    <s v="High"/>
    <x v="0"/>
    <x v="0"/>
    <x v="0"/>
  </r>
  <r>
    <s v="TICKET-1001"/>
    <d v="1899-12-30T00:27:59"/>
    <d v="1899-12-30T00:18:06"/>
    <x v="1"/>
    <s v="Tanya Jones"/>
    <s v="Application X is crashing every time I open it. Lead how phone also score player later blue."/>
    <s v="Medium"/>
    <x v="1"/>
    <x v="0"/>
    <x v="0"/>
  </r>
  <r>
    <s v="TICKET-1002"/>
    <d v="1899-12-30T00:32:02"/>
    <d v="1899-12-30T00:50:37"/>
    <x v="0"/>
    <s v="Sheila Ball"/>
    <s v="Black attack cold would page. Reality she war a chance. Physical hour Mr item red agreement for."/>
    <s v="Medium"/>
    <x v="2"/>
    <x v="0"/>
    <x v="0"/>
  </r>
  <r>
    <s v="TICKET-1003"/>
    <d v="1899-12-30T00:47:34"/>
    <d v="1899-12-30T00:38:19"/>
    <x v="2"/>
    <s v="Cynthia Rich"/>
    <s v="My laptop's keyboard isn't working properly, some keys are stuck. Tree culture above effort more national whether."/>
    <s v="High"/>
    <x v="3"/>
    <x v="0"/>
    <x v="0"/>
  </r>
  <r>
    <s v="TICKET-1004"/>
    <d v="1899-12-30T00:46:09"/>
    <d v="1899-12-30T00:53:07"/>
    <x v="1"/>
    <s v="Janice Burns"/>
    <s v="Application X is crashing every time I open it. Order wrong fight foreign bad house pick."/>
    <s v="High"/>
    <x v="4"/>
    <x v="0"/>
    <x v="0"/>
  </r>
  <r>
    <s v="TICKET-1005"/>
    <d v="1899-12-30T00:32:40"/>
    <d v="1899-12-30T00:52:42"/>
    <x v="1"/>
    <s v="Sheila Ball"/>
    <s v="Application X is crashing every time I open it. Sport should network realize relate very voice."/>
    <s v="Low"/>
    <x v="5"/>
    <x v="0"/>
    <x v="0"/>
  </r>
  <r>
    <s v="TICKET-1006"/>
    <d v="1899-12-30T00:38:16"/>
    <d v="1899-12-30T00:11:49"/>
    <x v="3"/>
    <s v="Autumn Ryan"/>
    <s v="I'm locked out of my account and can't reset my password. If rather year suffer wrong."/>
    <s v="Low"/>
    <x v="6"/>
    <x v="0"/>
    <x v="0"/>
  </r>
  <r>
    <s v="TICKET-1007"/>
    <d v="1899-12-30T00:43:28"/>
    <d v="1899-12-30T00:26:19"/>
    <x v="1"/>
    <s v="Amanda White"/>
    <s v="Application X is crashing every time I open it. Here bill leg region training. Grow new may."/>
    <s v="Low"/>
    <x v="7"/>
    <x v="0"/>
    <x v="0"/>
  </r>
  <r>
    <s v="TICKET-1008"/>
    <d v="1899-12-30T00:41:14"/>
    <d v="1899-12-30T00:04:28"/>
    <x v="2"/>
    <s v="Amanda White"/>
    <s v="My laptop's keyboard isn't working properly, some keys are stuck. Common maintain theory involve ok detail."/>
    <s v="Medium"/>
    <x v="8"/>
    <x v="0"/>
    <x v="0"/>
  </r>
  <r>
    <s v="TICKET-1009"/>
    <d v="1899-12-30T00:49:33"/>
    <d v="1899-12-30T00:58:37"/>
    <x v="1"/>
    <s v="Sheila Ball"/>
    <s v="Application X is crashing every time I open it. Responsibility again recently traditional word."/>
    <s v="Medium"/>
    <x v="9"/>
    <x v="0"/>
    <x v="0"/>
  </r>
  <r>
    <s v="TICKET-1010"/>
    <d v="1899-12-30T00:20:02"/>
    <d v="1899-12-30T00:28:31"/>
    <x v="1"/>
    <s v="Adam Stone"/>
    <s v="Application X is crashing every time I open it. Structure this woman born."/>
    <s v="Low"/>
    <x v="10"/>
    <x v="0"/>
    <x v="0"/>
  </r>
  <r>
    <s v="TICKET-1011"/>
    <d v="1899-12-30T00:56:19"/>
    <d v="1899-12-30T00:46:33"/>
    <x v="4"/>
    <s v="Natasha Harris"/>
    <s v="Can't connect to the Wi-Fi. It's showing 'No internet access'. Maintain without college strong few not week."/>
    <s v="High"/>
    <x v="11"/>
    <x v="0"/>
    <x v="0"/>
  </r>
  <r>
    <s v="TICKET-1012"/>
    <d v="1899-12-30T00:51:47"/>
    <d v="1899-12-30T00:58:41"/>
    <x v="4"/>
    <s v="Toni Wiley"/>
    <s v="Can't connect to the Wi-Fi. It's showing 'No internet access'. Official human task door century energy Mr."/>
    <s v="Medium"/>
    <x v="12"/>
    <x v="0"/>
    <x v="0"/>
  </r>
  <r>
    <s v="TICKET-1013"/>
    <d v="1899-12-30T00:08:54"/>
    <d v="1899-12-30T00:54:44"/>
    <x v="1"/>
    <s v="Amanda White"/>
    <s v="Application X is crashing every time I open it. Spring operation performance glass choice kind."/>
    <s v="Low"/>
    <x v="13"/>
    <x v="0"/>
    <x v="0"/>
  </r>
  <r>
    <s v="TICKET-1014"/>
    <d v="1899-12-30T00:32:58"/>
    <d v="1899-12-30T00:11:32"/>
    <x v="1"/>
    <s v="Tanya Jones"/>
    <s v="Application X is crashing every time I open it. Summer yard maintain fire ask eight."/>
    <s v="High"/>
    <x v="14"/>
    <x v="0"/>
    <x v="0"/>
  </r>
  <r>
    <s v="TICKET-1015"/>
    <d v="1899-12-30T00:34:11"/>
    <d v="1899-12-30T00:20:02"/>
    <x v="1"/>
    <s v="Marvin West"/>
    <s v="Application X is crashing every time I open it. Least check between event. Can brother two form."/>
    <s v="High"/>
    <x v="15"/>
    <x v="0"/>
    <x v="0"/>
  </r>
  <r>
    <s v="TICKET-1016"/>
    <d v="1899-12-30T00:52:05"/>
    <d v="1899-12-30T00:18:53"/>
    <x v="1"/>
    <s v="Amanda White"/>
    <s v="Application X is crashing every time I open it. Resource in affect charge customer accept dream."/>
    <s v="Low"/>
    <x v="16"/>
    <x v="0"/>
    <x v="0"/>
  </r>
  <r>
    <s v="TICKET-1017"/>
    <d v="1899-12-30T00:42:14"/>
    <d v="1899-12-30T00:37:18"/>
    <x v="5"/>
    <s v="Toni Wiley"/>
    <s v="Thought national word picture each deep."/>
    <s v="Low"/>
    <x v="17"/>
    <x v="0"/>
    <x v="0"/>
  </r>
  <r>
    <s v="TICKET-1018"/>
    <d v="1899-12-30T00:03:04"/>
    <d v="1899-12-30T00:48:25"/>
    <x v="4"/>
    <s v="Cynthia Rich"/>
    <s v="Can't connect to the Wi-Fi. It's showing 'No internet access'. Card series research else cup though artist."/>
    <s v="Low"/>
    <x v="18"/>
    <x v="0"/>
    <x v="0"/>
  </r>
  <r>
    <s v="TICKET-1019"/>
    <d v="1899-12-30T00:27:15"/>
    <d v="1899-12-30T00:58:39"/>
    <x v="2"/>
    <s v="Cynthia Rich"/>
    <s v="My laptop's keyboard isn't working properly, some keys are stuck. Young up grow after offer east region would."/>
    <s v="Medium"/>
    <x v="19"/>
    <x v="0"/>
    <x v="0"/>
  </r>
  <r>
    <s v="TICKET-1020"/>
    <d v="1899-12-30T00:49:38"/>
    <d v="1899-12-30T00:06:40"/>
    <x v="1"/>
    <s v="Tanya Jones"/>
    <s v="Application X is crashing every time I open it. Nice then management."/>
    <s v="Medium"/>
    <x v="20"/>
    <x v="0"/>
    <x v="0"/>
  </r>
  <r>
    <s v="TICKET-1021"/>
    <d v="1899-12-30T00:34:57"/>
    <d v="1899-12-30T00:25:12"/>
    <x v="1"/>
    <s v="Toni Wiley"/>
    <s v="Application X is crashing every time I open it. Water act involve follow hot."/>
    <s v="Medium"/>
    <x v="21"/>
    <x v="0"/>
    <x v="0"/>
  </r>
  <r>
    <s v="TICKET-1022"/>
    <d v="1899-12-30T00:29:46"/>
    <d v="1899-12-30T00:34:14"/>
    <x v="1"/>
    <s v="Adam Stone"/>
    <s v="Application X is crashing every time I open it. Another such apply table let."/>
    <s v="Medium"/>
    <x v="22"/>
    <x v="0"/>
    <x v="0"/>
  </r>
  <r>
    <s v="TICKET-1023"/>
    <d v="1899-12-30T00:27:53"/>
    <d v="1899-12-30T00:23:45"/>
    <x v="1"/>
    <s v="Janice Burns"/>
    <s v="Application X is crashing every time I open it. Senior per draw day mention sea quickly."/>
    <s v="Medium"/>
    <x v="23"/>
    <x v="0"/>
    <x v="0"/>
  </r>
  <r>
    <s v="TICKET-1024"/>
    <d v="1899-12-30T00:37:37"/>
    <d v="1899-12-30T00:42:35"/>
    <x v="4"/>
    <s v="Cynthia Rich"/>
    <s v="Can't connect to the Wi-Fi. It's showing 'No internet access'. Race Republican expect east might collection."/>
    <s v="Low"/>
    <x v="24"/>
    <x v="0"/>
    <x v="0"/>
  </r>
  <r>
    <s v="TICKET-1025"/>
    <d v="1899-12-30T00:42:50"/>
    <d v="1899-12-30T00:35:59"/>
    <x v="1"/>
    <s v="Tanya Jones"/>
    <s v="Application X is crashing every time I open it. Total maintain service writer."/>
    <s v="Medium"/>
    <x v="25"/>
    <x v="0"/>
    <x v="0"/>
  </r>
  <r>
    <s v="TICKET-1026"/>
    <d v="1899-12-30T00:26:51"/>
    <d v="1899-12-30T00:14:52"/>
    <x v="4"/>
    <s v="Janice Burns"/>
    <s v="Can't connect to the Wi-Fi. It's showing 'No internet access'. Individual herself decide generation."/>
    <s v="High"/>
    <x v="26"/>
    <x v="0"/>
    <x v="0"/>
  </r>
  <r>
    <s v="TICKET-1027"/>
    <d v="1899-12-30T00:29:05"/>
    <d v="1899-12-30T00:15:14"/>
    <x v="6"/>
    <s v="Tanya Jones"/>
    <s v="Yourself floor foot character choose. Brother prepare but film key name."/>
    <s v="Medium"/>
    <x v="27"/>
    <x v="0"/>
    <x v="0"/>
  </r>
  <r>
    <s v="TICKET-1028"/>
    <d v="1899-12-30T00:02:57"/>
    <d v="1899-12-30T00:57:18"/>
    <x v="0"/>
    <s v="Toni Wiley"/>
    <s v="Successful radio play network yet. Fill director direction ready white."/>
    <s v="Low"/>
    <x v="28"/>
    <x v="0"/>
    <x v="0"/>
  </r>
  <r>
    <s v="TICKET-1029"/>
    <d v="1899-12-30T00:57:13"/>
    <d v="1899-12-30T00:38:57"/>
    <x v="1"/>
    <s v="Sheila Ball"/>
    <s v="Application X is crashing every time I open it. Southern beat general first much hotel agency."/>
    <s v="Medium"/>
    <x v="29"/>
    <x v="0"/>
    <x v="0"/>
  </r>
  <r>
    <s v="TICKET-1030"/>
    <d v="1899-12-30T00:17:04"/>
    <d v="1899-12-30T00:38:11"/>
    <x v="4"/>
    <s v="Sheila Ball"/>
    <s v="Can't connect to the Wi-Fi. It's showing 'No internet access'. Cup government by life reduce each customer."/>
    <s v="Low"/>
    <x v="30"/>
    <x v="0"/>
    <x v="0"/>
  </r>
  <r>
    <s v="TICKET-1031"/>
    <d v="1899-12-30T00:58:58"/>
    <d v="1899-12-30T00:35:19"/>
    <x v="1"/>
    <s v="Tanya Jones"/>
    <s v="Application X is crashing every time I open it. Market growth film."/>
    <s v="High"/>
    <x v="31"/>
    <x v="0"/>
    <x v="0"/>
  </r>
  <r>
    <s v="TICKET-1032"/>
    <d v="1899-12-30T00:10:39"/>
    <d v="1899-12-30T00:40:38"/>
    <x v="4"/>
    <s v="Amanda White"/>
    <s v="Can't connect to the Wi-Fi. It's showing 'No internet access'. Could north state feel others participant."/>
    <s v="Low"/>
    <x v="32"/>
    <x v="0"/>
    <x v="0"/>
  </r>
  <r>
    <s v="TICKET-1033"/>
    <d v="1899-12-30T00:33:03"/>
    <d v="1899-12-30T00:28:47"/>
    <x v="6"/>
    <s v="Autumn Ryan"/>
    <s v="Follow chair add finally these plan staff. Across shoulder school free."/>
    <s v="Low"/>
    <x v="33"/>
    <x v="0"/>
    <x v="0"/>
  </r>
  <r>
    <s v="TICKET-1034"/>
    <d v="1899-12-30T00:06:08"/>
    <d v="1899-12-30T00:43:21"/>
    <x v="1"/>
    <s v="Janice Burns"/>
    <s v="Application X is crashing every time I open it. Bag half join treat water by affect."/>
    <s v="Low"/>
    <x v="34"/>
    <x v="0"/>
    <x v="0"/>
  </r>
  <r>
    <s v="TICKET-1035"/>
    <d v="1899-12-30T00:48:03"/>
    <d v="1899-12-30T00:36:47"/>
    <x v="2"/>
    <s v="Tanya Jones"/>
    <s v="My laptop's keyboard isn't working properly, some keys are stuck. Science bad news pressure anything probably save."/>
    <s v="Low"/>
    <x v="35"/>
    <x v="0"/>
    <x v="0"/>
  </r>
  <r>
    <s v="TICKET-1036"/>
    <d v="1899-12-30T00:46:26"/>
    <d v="1899-12-30T00:18:49"/>
    <x v="1"/>
    <s v="Natasha Harris"/>
    <s v="Application X is crashing every time I open it. Fund project find law identify close worker."/>
    <s v="Low"/>
    <x v="36"/>
    <x v="0"/>
    <x v="0"/>
  </r>
  <r>
    <s v="TICKET-1037"/>
    <d v="1899-12-30T00:56:36"/>
    <d v="1899-12-30T00:07:19"/>
    <x v="0"/>
    <s v="Adam Stone"/>
    <s v="Rate play media air. Trade thank hundred choice reduce remember possible us."/>
    <s v="Low"/>
    <x v="37"/>
    <x v="0"/>
    <x v="0"/>
  </r>
  <r>
    <s v="TICKET-1038"/>
    <d v="1899-12-30T00:20:12"/>
    <d v="1899-12-30T00:43:04"/>
    <x v="1"/>
    <s v="Autumn Ryan"/>
    <s v="Application X is crashing every time I open it. Effort avoid door shoulder cut."/>
    <s v="Medium"/>
    <x v="38"/>
    <x v="0"/>
    <x v="0"/>
  </r>
  <r>
    <s v="TICKET-1039"/>
    <d v="1899-12-30T00:30:07"/>
    <d v="1899-12-30T00:44:18"/>
    <x v="3"/>
    <s v="Amanda White"/>
    <s v="I'm locked out of my account and can't reset my password. Point fine stop radio chair tree career scene."/>
    <s v="Medium"/>
    <x v="39"/>
    <x v="0"/>
    <x v="0"/>
  </r>
  <r>
    <s v="TICKET-1040"/>
    <d v="1899-12-30T00:49:39"/>
    <d v="1899-12-30T00:59:27"/>
    <x v="4"/>
    <s v="Toni Wiley"/>
    <s v="Can't connect to the Wi-Fi. It's showing 'No internet access'. Simple practice operation move put."/>
    <s v="Medium"/>
    <x v="40"/>
    <x v="0"/>
    <x v="0"/>
  </r>
  <r>
    <s v="TICKET-1041"/>
    <d v="1899-12-30T00:26:30"/>
    <d v="1899-12-30T00:22:39"/>
    <x v="2"/>
    <s v="Tanya Jones"/>
    <s v="My laptop's keyboard isn't working properly, some keys are stuck. Firm discuss audience say amount."/>
    <s v="Low"/>
    <x v="41"/>
    <x v="0"/>
    <x v="0"/>
  </r>
  <r>
    <s v="TICKET-1042"/>
    <d v="1899-12-30T00:42:24"/>
    <d v="1899-12-30T00:00:27"/>
    <x v="6"/>
    <s v="Marvin West"/>
    <s v="Physical business information._x000a_Activity else house another. Still protect admit answer."/>
    <s v="Low"/>
    <x v="42"/>
    <x v="0"/>
    <x v="0"/>
  </r>
  <r>
    <s v="TICKET-1043"/>
    <d v="1899-12-30T00:37:33"/>
    <d v="1899-12-30T00:09:44"/>
    <x v="1"/>
    <s v="Amanda White"/>
    <s v="Application X is crashing every time I open it. Anything despite not."/>
    <s v="Critical"/>
    <x v="43"/>
    <x v="0"/>
    <x v="0"/>
  </r>
  <r>
    <s v="TICKET-1044"/>
    <d v="1899-12-30T00:02:33"/>
    <d v="1899-12-30T00:10:24"/>
    <x v="2"/>
    <s v="Autumn Ryan"/>
    <s v="My laptop's keyboard isn't working properly, some keys are stuck. Film answer tax different carry represent."/>
    <s v="High"/>
    <x v="44"/>
    <x v="0"/>
    <x v="0"/>
  </r>
  <r>
    <s v="TICKET-1045"/>
    <d v="1899-12-30T00:41:54"/>
    <d v="1899-12-30T00:04:57"/>
    <x v="1"/>
    <s v="Tanya Jones"/>
    <s v="Application X is crashing every time I open it. American computer let go event."/>
    <s v="High"/>
    <x v="45"/>
    <x v="0"/>
    <x v="0"/>
  </r>
  <r>
    <s v="TICKET-1046"/>
    <d v="1899-12-30T00:43:06"/>
    <d v="1899-12-30T00:41:59"/>
    <x v="4"/>
    <s v="Janice Burns"/>
    <s v="Can't connect to the Wi-Fi. It's showing 'No internet access'. Build oil wait community less happen."/>
    <s v="Medium"/>
    <x v="46"/>
    <x v="0"/>
    <x v="0"/>
  </r>
  <r>
    <s v="TICKET-1047"/>
    <d v="1899-12-30T00:23:41"/>
    <d v="1899-12-30T00:57:19"/>
    <x v="3"/>
    <s v="Tanya Jones"/>
    <s v="I'm locked out of my account and can't reset my password. Decide stuff agree national politics current son."/>
    <s v="Low"/>
    <x v="47"/>
    <x v="0"/>
    <x v="0"/>
  </r>
  <r>
    <s v="TICKET-1048"/>
    <d v="1899-12-30T00:12:43"/>
    <d v="1899-12-30T00:39:55"/>
    <x v="4"/>
    <s v="Tanya Jones"/>
    <s v="Can't connect to the Wi-Fi. It's showing 'No internet access'. Phone interview worker could."/>
    <s v="Medium"/>
    <x v="48"/>
    <x v="0"/>
    <x v="0"/>
  </r>
  <r>
    <s v="TICKET-1049"/>
    <d v="1899-12-30T00:51:19"/>
    <d v="1899-12-30T00:32:46"/>
    <x v="4"/>
    <s v="Tanya Jones"/>
    <s v="Can't connect to the Wi-Fi. It's showing 'No internet access'. Together life least mission."/>
    <s v="Medium"/>
    <x v="49"/>
    <x v="0"/>
    <x v="0"/>
  </r>
  <r>
    <s v="TICKET-1050"/>
    <d v="1899-12-30T00:22:42"/>
    <d v="1899-12-30T00:09:54"/>
    <x v="0"/>
    <s v="Cynthia Rich"/>
    <s v="If forget newspaper behavior note put. Almost affect entire. Trial set capital real."/>
    <s v="Low"/>
    <x v="50"/>
    <x v="0"/>
    <x v="0"/>
  </r>
  <r>
    <s v="TICKET-1051"/>
    <d v="1899-12-30T00:51:44"/>
    <d v="1899-12-30T00:25:06"/>
    <x v="1"/>
    <s v="Tanya Jones"/>
    <s v="Application X is crashing every time I open it. My sound short."/>
    <s v="Low"/>
    <x v="51"/>
    <x v="0"/>
    <x v="0"/>
  </r>
  <r>
    <s v="TICKET-1052"/>
    <d v="1899-12-30T00:21:50"/>
    <d v="1899-12-30T00:27:46"/>
    <x v="1"/>
    <s v="Cynthia Rich"/>
    <s v="Application X is crashing every time I open it. Where culture site value set."/>
    <s v="Medium"/>
    <x v="52"/>
    <x v="0"/>
    <x v="0"/>
  </r>
  <r>
    <s v="TICKET-1053"/>
    <d v="1899-12-30T00:41:48"/>
    <d v="1899-12-30T00:53:39"/>
    <x v="1"/>
    <s v="Tanya Jones"/>
    <s v="Application X is crashing every time I open it. Go claim billion small experience old."/>
    <s v="Medium"/>
    <x v="53"/>
    <x v="0"/>
    <x v="0"/>
  </r>
  <r>
    <s v="TICKET-1054"/>
    <d v="1899-12-30T00:00:06"/>
    <d v="1899-12-30T00:03:10"/>
    <x v="4"/>
    <s v="Sheila Ball"/>
    <s v="Can't connect to the Wi-Fi. It's showing 'No internet access'. Option name including."/>
    <s v="High"/>
    <x v="54"/>
    <x v="0"/>
    <x v="0"/>
  </r>
  <r>
    <s v="TICKET-1055"/>
    <d v="1899-12-30T00:06:48"/>
    <d v="1899-12-30T00:47:48"/>
    <x v="3"/>
    <s v="Tanya Jones"/>
    <s v="I'm locked out of my account and can't reset my password. Idea enter expert decision something."/>
    <s v="Medium"/>
    <x v="55"/>
    <x v="0"/>
    <x v="0"/>
  </r>
  <r>
    <s v="TICKET-1056"/>
    <d v="1899-12-30T00:52:13"/>
    <d v="1899-12-30T00:28:34"/>
    <x v="0"/>
    <s v="Cynthia Rich"/>
    <s v="Through culture similar finally. Oil world money about fine street small."/>
    <s v="Medium"/>
    <x v="56"/>
    <x v="0"/>
    <x v="0"/>
  </r>
  <r>
    <s v="TICKET-1057"/>
    <d v="1899-12-30T00:29:35"/>
    <d v="1899-12-30T00:48:58"/>
    <x v="5"/>
    <s v="Amanda White"/>
    <s v="Weight go sort sign law response since. Sister other actually Mrs fight everything get."/>
    <s v="Low"/>
    <x v="57"/>
    <x v="0"/>
    <x v="0"/>
  </r>
  <r>
    <s v="TICKET-1058"/>
    <d v="1899-12-30T00:42:51"/>
    <d v="1899-12-30T00:16:37"/>
    <x v="0"/>
    <s v="Amanda White"/>
    <s v="Particular ask company nearly exist exactly friend."/>
    <s v="Medium"/>
    <x v="58"/>
    <x v="0"/>
    <x v="0"/>
  </r>
  <r>
    <s v="TICKET-1059"/>
    <d v="1899-12-30T00:37:43"/>
    <d v="1899-12-30T00:17:59"/>
    <x v="1"/>
    <s v="Autumn Ryan"/>
    <s v="Application X is crashing every time I open it. Skin subject purpose baby training."/>
    <s v="Medium"/>
    <x v="59"/>
    <x v="0"/>
    <x v="0"/>
  </r>
  <r>
    <s v="TICKET-1060"/>
    <d v="1899-12-30T00:05:38"/>
    <d v="1899-12-30T00:49:50"/>
    <x v="2"/>
    <s v="Cynthia Rich"/>
    <s v="My laptop's keyboard isn't working properly, some keys are stuck. Than none office improve."/>
    <s v="Medium"/>
    <x v="60"/>
    <x v="0"/>
    <x v="0"/>
  </r>
  <r>
    <s v="TICKET-1061"/>
    <d v="1899-12-30T00:19:38"/>
    <d v="1899-12-30T00:03:29"/>
    <x v="1"/>
    <s v="Toni Wiley"/>
    <s v="Application X is crashing every time I open it. With because article scene father black."/>
    <s v="Medium"/>
    <x v="61"/>
    <x v="0"/>
    <x v="0"/>
  </r>
  <r>
    <s v="TICKET-1062"/>
    <d v="1899-12-30T00:39:40"/>
    <d v="1899-12-30T00:21:43"/>
    <x v="1"/>
    <s v="Adam Stone"/>
    <s v="Application X is crashing every time I open it. Food pass energy fund need read anything."/>
    <s v="Medium"/>
    <x v="62"/>
    <x v="0"/>
    <x v="0"/>
  </r>
  <r>
    <s v="TICKET-1063"/>
    <d v="1899-12-30T00:57:09"/>
    <d v="1899-12-30T00:55:37"/>
    <x v="3"/>
    <s v="Adam Stone"/>
    <s v="I'm locked out of my account and can't reset my password. Agreement news significant cultural agree."/>
    <s v="High"/>
    <x v="63"/>
    <x v="0"/>
    <x v="0"/>
  </r>
  <r>
    <s v="TICKET-1064"/>
    <d v="1899-12-30T00:58:12"/>
    <d v="1899-12-30T00:01:56"/>
    <x v="3"/>
    <s v="Janice Burns"/>
    <s v="I'm locked out of my account and can't reset my password. Especially under always tend teacher build."/>
    <s v="Medium"/>
    <x v="64"/>
    <x v="0"/>
    <x v="0"/>
  </r>
  <r>
    <s v="TICKET-1065"/>
    <d v="1899-12-30T00:11:15"/>
    <d v="1899-12-30T00:55:36"/>
    <x v="4"/>
    <s v="Toni Wiley"/>
    <s v="Can't connect to the Wi-Fi. It's showing 'No internet access'. Child as debate economy."/>
    <s v="Medium"/>
    <x v="65"/>
    <x v="0"/>
    <x v="0"/>
  </r>
  <r>
    <s v="TICKET-1066"/>
    <d v="1899-12-30T00:21:58"/>
    <d v="1899-12-30T00:05:28"/>
    <x v="2"/>
    <s v="Sheila Ball"/>
    <s v="My laptop's keyboard isn't working properly, some keys are stuck. Someone poor mission fill free."/>
    <s v="Low"/>
    <x v="66"/>
    <x v="0"/>
    <x v="0"/>
  </r>
  <r>
    <s v="TICKET-1067"/>
    <d v="1899-12-30T00:18:19"/>
    <d v="1899-12-30T00:03:00"/>
    <x v="4"/>
    <s v="Adam Stone"/>
    <s v="Can't connect to the Wi-Fi. It's showing 'No internet access'. Represent safe scene wall dog."/>
    <s v="Medium"/>
    <x v="67"/>
    <x v="0"/>
    <x v="0"/>
  </r>
  <r>
    <s v="TICKET-1068"/>
    <d v="1899-12-30T00:46:50"/>
    <d v="1899-12-30T00:16:59"/>
    <x v="1"/>
    <s v="Autumn Ryan"/>
    <s v="Application X is crashing every time I open it. Claim success those baby."/>
    <s v="Low"/>
    <x v="68"/>
    <x v="0"/>
    <x v="0"/>
  </r>
  <r>
    <s v="TICKET-1069"/>
    <d v="1899-12-30T00:30:29"/>
    <d v="1899-12-30T00:37:01"/>
    <x v="1"/>
    <s v="Janice Burns"/>
    <s v="Application X is crashing every time I open it. Term lot their. Dark itself deal race Democrat."/>
    <s v="Medium"/>
    <x v="69"/>
    <x v="0"/>
    <x v="0"/>
  </r>
  <r>
    <s v="TICKET-1070"/>
    <d v="1899-12-30T00:58:21"/>
    <d v="1899-12-30T00:11:24"/>
    <x v="2"/>
    <s v="Adam Stone"/>
    <s v="My laptop's keyboard isn't working properly, some keys are stuck. Bad past glass strategy. Above skin station."/>
    <s v="Critical"/>
    <x v="70"/>
    <x v="0"/>
    <x v="0"/>
  </r>
  <r>
    <s v="TICKET-1071"/>
    <d v="1899-12-30T00:55:27"/>
    <d v="1899-12-30T00:58:26"/>
    <x v="1"/>
    <s v="Sheila Ball"/>
    <s v="Application X is crashing every time I open it. Tv control generation away public remain."/>
    <s v="Medium"/>
    <x v="71"/>
    <x v="0"/>
    <x v="0"/>
  </r>
  <r>
    <s v="TICKET-1072"/>
    <d v="1899-12-30T00:42:24"/>
    <d v="1899-12-30T00:32:31"/>
    <x v="4"/>
    <s v="Adam Stone"/>
    <s v="Can't connect to the Wi-Fi. It's showing 'No internet access'. Alone skill foot benefit."/>
    <s v="Medium"/>
    <x v="1"/>
    <x v="0"/>
    <x v="0"/>
  </r>
  <r>
    <s v="TICKET-1073"/>
    <d v="1899-12-30T00:34:13"/>
    <d v="1899-12-30T00:40:49"/>
    <x v="0"/>
    <s v="Natasha Harris"/>
    <s v="Media respond them indicate. Up movie television stop. Garden ten city already close."/>
    <s v="High"/>
    <x v="72"/>
    <x v="0"/>
    <x v="0"/>
  </r>
  <r>
    <s v="TICKET-1074"/>
    <d v="1899-12-30T00:17:56"/>
    <d v="1899-12-30T00:19:46"/>
    <x v="5"/>
    <s v="Tanya Jones"/>
    <s v="Lay support mouth control understand could. Husband for evening upon involve."/>
    <s v="Low"/>
    <x v="73"/>
    <x v="0"/>
    <x v="0"/>
  </r>
  <r>
    <s v="TICKET-1075"/>
    <d v="1899-12-30T00:48:14"/>
    <d v="1899-12-30T00:40:58"/>
    <x v="0"/>
    <s v="Adam Stone"/>
    <s v="Company month civil season include. Onto life for both little."/>
    <s v="High"/>
    <x v="74"/>
    <x v="0"/>
    <x v="0"/>
  </r>
  <r>
    <s v="TICKET-1076"/>
    <d v="1899-12-30T00:31:23"/>
    <d v="1899-12-30T00:11:12"/>
    <x v="1"/>
    <s v="Tanya Jones"/>
    <s v="Application X is crashing every time I open it. Candidate push mind exactly feel."/>
    <s v="High"/>
    <x v="75"/>
    <x v="0"/>
    <x v="0"/>
  </r>
  <r>
    <s v="TICKET-1077"/>
    <d v="1899-12-30T00:42:38"/>
    <d v="1899-12-30T00:40:18"/>
    <x v="5"/>
    <s v="Autumn Ryan"/>
    <s v="Writer city suffer within important recently difference. Wait only relationship free."/>
    <s v="High"/>
    <x v="76"/>
    <x v="0"/>
    <x v="0"/>
  </r>
  <r>
    <s v="TICKET-1078"/>
    <d v="1899-12-30T00:59:04"/>
    <d v="1899-12-30T00:29:43"/>
    <x v="1"/>
    <s v="Tanya Jones"/>
    <s v="Application X is crashing every time I open it. Form customer bill interest remember which."/>
    <s v="Low"/>
    <x v="77"/>
    <x v="0"/>
    <x v="0"/>
  </r>
  <r>
    <s v="TICKET-1079"/>
    <d v="1899-12-30T00:58:35"/>
    <d v="1899-12-30T00:08:25"/>
    <x v="4"/>
    <s v="Tanya Jones"/>
    <s v="Can't connect to the Wi-Fi. It's showing 'No internet access'. Agree begin guess ask choice low themselves born."/>
    <s v="Low"/>
    <x v="78"/>
    <x v="0"/>
    <x v="0"/>
  </r>
  <r>
    <s v="TICKET-1080"/>
    <d v="1899-12-30T00:43:35"/>
    <d v="1899-12-30T00:32:38"/>
    <x v="1"/>
    <s v="Amanda White"/>
    <s v="Application X is crashing every time I open it. Center worry nor whole."/>
    <s v="Low"/>
    <x v="79"/>
    <x v="0"/>
    <x v="0"/>
  </r>
  <r>
    <s v="TICKET-1081"/>
    <d v="1899-12-30T00:50:45"/>
    <d v="1899-12-30T00:00:38"/>
    <x v="3"/>
    <s v="Cynthia Rich"/>
    <s v="I'm locked out of my account and can't reset my password. Miss son responsibility hour."/>
    <s v="Low"/>
    <x v="80"/>
    <x v="0"/>
    <x v="0"/>
  </r>
  <r>
    <s v="TICKET-1082"/>
    <d v="1899-12-30T00:17:27"/>
    <d v="1899-12-30T00:21:18"/>
    <x v="1"/>
    <s v="Tanya Jones"/>
    <s v="Application X is crashing every time I open it. Develop course foreign no either."/>
    <s v="Medium"/>
    <x v="41"/>
    <x v="0"/>
    <x v="0"/>
  </r>
  <r>
    <s v="TICKET-1083"/>
    <d v="1899-12-30T00:49:12"/>
    <d v="1899-12-30T00:26:15"/>
    <x v="6"/>
    <s v="Janice Burns"/>
    <s v="Public husband return country service very. Be exactly time firm yard price bad."/>
    <s v="Low"/>
    <x v="81"/>
    <x v="0"/>
    <x v="0"/>
  </r>
  <r>
    <s v="TICKET-1084"/>
    <d v="1899-12-30T00:09:04"/>
    <d v="1899-12-30T00:20:43"/>
    <x v="2"/>
    <s v="Marvin West"/>
    <s v="My laptop's keyboard isn't working properly, some keys are stuck. Perform author more owner girl message."/>
    <s v="Low"/>
    <x v="82"/>
    <x v="0"/>
    <x v="0"/>
  </r>
  <r>
    <s v="TICKET-1085"/>
    <d v="1899-12-30T00:23:34"/>
    <d v="1899-12-30T00:08:10"/>
    <x v="3"/>
    <s v="Autumn Ryan"/>
    <s v="I'm locked out of my account and can't reset my password. Church stop environment."/>
    <s v="High"/>
    <x v="83"/>
    <x v="0"/>
    <x v="0"/>
  </r>
  <r>
    <s v="TICKET-1086"/>
    <d v="1899-12-30T00:18:40"/>
    <d v="1899-12-30T00:37:11"/>
    <x v="1"/>
    <s v="Adam Stone"/>
    <s v="Application X is crashing every time I open it. Everyone body modern feeling shake loss."/>
    <s v="Medium"/>
    <x v="84"/>
    <x v="0"/>
    <x v="0"/>
  </r>
  <r>
    <s v="TICKET-1087"/>
    <d v="1899-12-30T00:11:23"/>
    <d v="1899-12-30T00:12:02"/>
    <x v="2"/>
    <s v="Sheila Ball"/>
    <s v="My laptop's keyboard isn't working properly, some keys are stuck. Whole material thus despite firm more."/>
    <s v="Medium"/>
    <x v="85"/>
    <x v="0"/>
    <x v="0"/>
  </r>
  <r>
    <s v="TICKET-1088"/>
    <d v="1899-12-30T00:58:40"/>
    <d v="1899-12-30T00:31:59"/>
    <x v="1"/>
    <s v="Autumn Ryan"/>
    <s v="Application X is crashing every time I open it. Until statement century seat vote never."/>
    <s v="Medium"/>
    <x v="86"/>
    <x v="0"/>
    <x v="0"/>
  </r>
  <r>
    <s v="TICKET-1089"/>
    <d v="1899-12-30T00:20:46"/>
    <d v="1899-12-30T00:21:32"/>
    <x v="1"/>
    <s v="Autumn Ryan"/>
    <s v="Application X is crashing every time I open it. Big season the."/>
    <s v="Low"/>
    <x v="87"/>
    <x v="0"/>
    <x v="0"/>
  </r>
  <r>
    <s v="TICKET-1090"/>
    <d v="1899-12-30T00:04:37"/>
    <d v="1899-12-30T00:22:20"/>
    <x v="1"/>
    <s v="Toni Wiley"/>
    <s v="Application X is crashing every time I open it. Usually career attention realize."/>
    <s v="Medium"/>
    <x v="88"/>
    <x v="0"/>
    <x v="0"/>
  </r>
  <r>
    <s v="TICKET-1091"/>
    <d v="1899-12-30T00:36:43"/>
    <d v="1899-12-30T00:09:01"/>
    <x v="1"/>
    <s v="Autumn Ryan"/>
    <s v="Application X is crashing every time I open it. Firm tonight statement feel Mrs music."/>
    <s v="Low"/>
    <x v="89"/>
    <x v="0"/>
    <x v="0"/>
  </r>
  <r>
    <s v="TICKET-1092"/>
    <d v="1899-12-30T00:26:10"/>
    <d v="1899-12-30T00:49:37"/>
    <x v="4"/>
    <s v="Cynthia Rich"/>
    <s v="Can't connect to the Wi-Fi. It's showing 'No internet access'. Life change act. Through imagine again whole."/>
    <s v="Medium"/>
    <x v="90"/>
    <x v="0"/>
    <x v="0"/>
  </r>
  <r>
    <s v="TICKET-1093"/>
    <d v="1899-12-30T00:27:43"/>
    <d v="1899-12-30T00:08:52"/>
    <x v="0"/>
    <s v="Cynthia Rich"/>
    <s v="Including development attack wide. Concern his environment attack program rest team."/>
    <s v="Low"/>
    <x v="91"/>
    <x v="0"/>
    <x v="0"/>
  </r>
  <r>
    <s v="TICKET-1094"/>
    <d v="1899-12-30T00:06:41"/>
    <d v="1899-12-30T00:43:15"/>
    <x v="3"/>
    <s v="Adam Stone"/>
    <s v="I'm locked out of my account and can't reset my password. Another collection another many."/>
    <s v="Low"/>
    <x v="92"/>
    <x v="0"/>
    <x v="0"/>
  </r>
  <r>
    <s v="TICKET-1095"/>
    <d v="1899-12-30T00:47:29"/>
    <d v="1899-12-30T00:49:20"/>
    <x v="0"/>
    <s v="Toni Wiley"/>
    <s v="Compare or at environmental. Six what them fall. Husband certain institution phone resource blood."/>
    <s v="Medium"/>
    <x v="93"/>
    <x v="0"/>
    <x v="0"/>
  </r>
  <r>
    <s v="TICKET-1096"/>
    <d v="1899-12-30T00:49:45"/>
    <d v="1899-12-30T00:34:20"/>
    <x v="3"/>
    <s v="Janice Burns"/>
    <s v="I'm locked out of my account and can't reset my password. Medical let door front. Law end always."/>
    <s v="Low"/>
    <x v="94"/>
    <x v="0"/>
    <x v="0"/>
  </r>
  <r>
    <s v="TICKET-1097"/>
    <d v="1899-12-30T00:16:19"/>
    <d v="1899-12-30T00:28:59"/>
    <x v="2"/>
    <s v="Autumn Ryan"/>
    <s v="My laptop's keyboard isn't working properly, some keys are stuck. Rich fire power city. Water career next relate."/>
    <s v="Low"/>
    <x v="95"/>
    <x v="0"/>
    <x v="0"/>
  </r>
  <r>
    <s v="TICKET-1098"/>
    <d v="1899-12-30T00:22:48"/>
    <d v="1899-12-30T00:26:30"/>
    <x v="1"/>
    <s v="Tanya Jones"/>
    <s v="Application X is crashing every time I open it. Result happy song want finish stuff."/>
    <s v="High"/>
    <x v="96"/>
    <x v="0"/>
    <x v="0"/>
  </r>
  <r>
    <s v="TICKET-1099"/>
    <d v="1899-12-30T00:15:23"/>
    <d v="1899-12-30T00:04:04"/>
    <x v="2"/>
    <s v="Janice Burns"/>
    <s v="My laptop's keyboard isn't working properly, some keys are stuck. Themselves big matter happy small."/>
    <s v="Medium"/>
    <x v="97"/>
    <x v="0"/>
    <x v="0"/>
  </r>
  <r>
    <s v="TICKET-1100"/>
    <d v="1899-12-30T00:13:44"/>
    <d v="1899-12-30T00:17:50"/>
    <x v="1"/>
    <s v="Autumn Ryan"/>
    <s v="Application X is crashing every time I open it. Agent will respond help."/>
    <s v="Critical"/>
    <x v="98"/>
    <x v="0"/>
    <x v="0"/>
  </r>
  <r>
    <s v="TICKET-1101"/>
    <d v="1899-12-30T00:55:11"/>
    <d v="1899-12-30T00:31:30"/>
    <x v="1"/>
    <s v="Adam Stone"/>
    <s v="Application X is crashing every time I open it. Short commercial everybody difficult change."/>
    <s v="Medium"/>
    <x v="99"/>
    <x v="0"/>
    <x v="0"/>
  </r>
  <r>
    <s v="TICKET-1102"/>
    <d v="1899-12-30T00:49:20"/>
    <d v="1899-12-30T00:20:43"/>
    <x v="0"/>
    <s v="Autumn Ryan"/>
    <s v="Any today within none hot again green. Remember attack event view father."/>
    <s v="Low"/>
    <x v="100"/>
    <x v="0"/>
    <x v="0"/>
  </r>
  <r>
    <s v="TICKET-1103"/>
    <d v="1899-12-30T00:36:03"/>
    <d v="1899-12-30T00:59:45"/>
    <x v="1"/>
    <s v="Marvin West"/>
    <s v="Application X is crashing every time I open it. Represent senior his finish include nothing."/>
    <s v="Medium"/>
    <x v="101"/>
    <x v="0"/>
    <x v="0"/>
  </r>
  <r>
    <s v="TICKET-1104"/>
    <d v="1899-12-30T00:19:01"/>
    <d v="1899-12-30T00:36:27"/>
    <x v="6"/>
    <s v="Marvin West"/>
    <s v="She certain boy build. Test bag country president environment."/>
    <s v="High"/>
    <x v="102"/>
    <x v="0"/>
    <x v="0"/>
  </r>
  <r>
    <s v="TICKET-1105"/>
    <d v="1899-12-30T00:45:06"/>
    <d v="1899-12-30T00:41:24"/>
    <x v="4"/>
    <s v="Natasha Harris"/>
    <s v="Can't connect to the Wi-Fi. It's showing 'No internet access'. Hair job save son."/>
    <s v="Low"/>
    <x v="103"/>
    <x v="0"/>
    <x v="0"/>
  </r>
  <r>
    <s v="TICKET-1106"/>
    <d v="1899-12-30T00:18:02"/>
    <d v="1899-12-30T00:29:37"/>
    <x v="6"/>
    <s v="Sheila Ball"/>
    <s v="Growth middle establish public."/>
    <s v="Medium"/>
    <x v="104"/>
    <x v="0"/>
    <x v="0"/>
  </r>
  <r>
    <s v="TICKET-1107"/>
    <d v="1899-12-30T00:54:12"/>
    <d v="1899-12-30T00:11:11"/>
    <x v="2"/>
    <s v="Tanya Jones"/>
    <s v="My laptop's keyboard isn't working properly, some keys are stuck. Produce require line letter listen often."/>
    <s v="Low"/>
    <x v="105"/>
    <x v="0"/>
    <x v="0"/>
  </r>
  <r>
    <s v="TICKET-1108"/>
    <d v="1899-12-30T00:57:35"/>
    <d v="1899-12-30T00:56:19"/>
    <x v="2"/>
    <s v="Sheila Ball"/>
    <s v="My laptop's keyboard isn't working properly, some keys are stuck. At bag continue."/>
    <s v="High"/>
    <x v="106"/>
    <x v="0"/>
    <x v="0"/>
  </r>
  <r>
    <s v="TICKET-1109"/>
    <d v="1899-12-30T00:24:13"/>
    <d v="1899-12-30T00:24:35"/>
    <x v="1"/>
    <s v="Sheila Ball"/>
    <s v="Application X is crashing every time I open it. Without pass book tend."/>
    <s v="Low"/>
    <x v="107"/>
    <x v="0"/>
    <x v="0"/>
  </r>
  <r>
    <s v="TICKET-1110"/>
    <d v="1899-12-30T00:56:24"/>
    <d v="1899-12-30T00:35:51"/>
    <x v="3"/>
    <s v="Adam Stone"/>
    <s v="I'm locked out of my account and can't reset my password. Right where add."/>
    <s v="High"/>
    <x v="108"/>
    <x v="0"/>
    <x v="0"/>
  </r>
  <r>
    <s v="TICKET-1111"/>
    <d v="1899-12-30T00:29:55"/>
    <d v="1899-12-30T00:40:12"/>
    <x v="1"/>
    <s v="Sheila Ball"/>
    <s v="Application X is crashing every time I open it. Argue team senior low training."/>
    <s v="Low"/>
    <x v="109"/>
    <x v="0"/>
    <x v="0"/>
  </r>
  <r>
    <s v="TICKET-1112"/>
    <d v="1899-12-30T00:02:11"/>
    <d v="1899-12-30T00:40:56"/>
    <x v="5"/>
    <s v="Tanya Jones"/>
    <s v="Plant attack should. Drive international today. Pretty statement her upon nation."/>
    <s v="Low"/>
    <x v="110"/>
    <x v="0"/>
    <x v="0"/>
  </r>
  <r>
    <s v="TICKET-1113"/>
    <d v="1899-12-30T00:19:48"/>
    <d v="1899-12-30T00:31:35"/>
    <x v="2"/>
    <s v="Cynthia Rich"/>
    <s v="My laptop's keyboard isn't working properly, some keys are stuck. Chance place build body population."/>
    <s v="High"/>
    <x v="111"/>
    <x v="0"/>
    <x v="0"/>
  </r>
  <r>
    <s v="TICKET-1114"/>
    <d v="1899-12-30T00:39:15"/>
    <d v="1899-12-30T00:07:28"/>
    <x v="0"/>
    <s v="Janice Burns"/>
    <s v="Something million activity. Interview under cover career under. Can address show public."/>
    <s v="Medium"/>
    <x v="112"/>
    <x v="0"/>
    <x v="0"/>
  </r>
  <r>
    <s v="TICKET-1115"/>
    <d v="1899-12-30T00:02:17"/>
    <d v="1899-12-30T00:50:48"/>
    <x v="3"/>
    <s v="Marvin West"/>
    <s v="I'm locked out of my account and can't reset my password. Receive nature option oil read trouble."/>
    <s v="Low"/>
    <x v="113"/>
    <x v="0"/>
    <x v="0"/>
  </r>
  <r>
    <s v="TICKET-1116"/>
    <d v="1899-12-30T00:29:18"/>
    <d v="1899-12-30T00:50:20"/>
    <x v="1"/>
    <s v="Sheila Ball"/>
    <s v="Application X is crashing every time I open it. Toward ago director condition food share meet."/>
    <s v="Medium"/>
    <x v="114"/>
    <x v="0"/>
    <x v="0"/>
  </r>
  <r>
    <s v="TICKET-1117"/>
    <d v="1899-12-30T00:40:04"/>
    <d v="1899-12-30T00:18:46"/>
    <x v="3"/>
    <s v="Natasha Harris"/>
    <s v="I'm locked out of my account and can't reset my password. For we when drive. Start identify now throw."/>
    <s v="Medium"/>
    <x v="115"/>
    <x v="0"/>
    <x v="0"/>
  </r>
  <r>
    <s v="TICKET-1118"/>
    <d v="1899-12-30T00:42:23"/>
    <d v="1899-12-30T00:59:57"/>
    <x v="6"/>
    <s v="Autumn Ryan"/>
    <s v="Even focus animal civil quality lay skill. Need maybe former return."/>
    <s v="Low"/>
    <x v="116"/>
    <x v="0"/>
    <x v="0"/>
  </r>
  <r>
    <s v="TICKET-1119"/>
    <d v="1899-12-30T00:15:34"/>
    <d v="1899-12-30T00:05:17"/>
    <x v="2"/>
    <s v="Tanya Jones"/>
    <s v="My laptop's keyboard isn't working properly, some keys are stuck. Cup money work certainly color."/>
    <s v="Medium"/>
    <x v="109"/>
    <x v="0"/>
    <x v="0"/>
  </r>
  <r>
    <s v="TICKET-1120"/>
    <d v="1899-12-30T00:02:22"/>
    <d v="1899-12-30T00:25:23"/>
    <x v="0"/>
    <s v="Janice Burns"/>
    <s v="Clear late win beat. Those arm say year him science door."/>
    <s v="Medium"/>
    <x v="117"/>
    <x v="0"/>
    <x v="0"/>
  </r>
  <r>
    <s v="TICKET-1121"/>
    <d v="1899-12-30T00:08:30"/>
    <d v="1899-12-30T00:31:43"/>
    <x v="3"/>
    <s v="Adam Stone"/>
    <s v="I'm locked out of my account and can't reset my password. Purpose almost nature create authority company."/>
    <s v="Medium"/>
    <x v="118"/>
    <x v="0"/>
    <x v="0"/>
  </r>
  <r>
    <s v="TICKET-1122"/>
    <d v="1899-12-30T00:50:17"/>
    <d v="1899-12-30T00:24:48"/>
    <x v="1"/>
    <s v="Toni Wiley"/>
    <s v="Application X is crashing every time I open it. Garden better chance impact where how member."/>
    <s v="Medium"/>
    <x v="119"/>
    <x v="0"/>
    <x v="0"/>
  </r>
  <r>
    <s v="TICKET-1123"/>
    <d v="1899-12-30T00:11:31"/>
    <d v="1899-12-30T00:06:33"/>
    <x v="4"/>
    <s v="Tanya Jones"/>
    <s v="Can't connect to the Wi-Fi. It's showing 'No internet access'. Bag without else red. Able year decision others."/>
    <s v="Medium"/>
    <x v="24"/>
    <x v="0"/>
    <x v="0"/>
  </r>
  <r>
    <s v="TICKET-1124"/>
    <d v="1899-12-30T00:03:59"/>
    <d v="1899-12-30T00:46:33"/>
    <x v="6"/>
    <s v="Marvin West"/>
    <s v="Police machine star. Computer lead control across blue eye force. Parent set professor sit couple."/>
    <s v="Medium"/>
    <x v="120"/>
    <x v="0"/>
    <x v="0"/>
  </r>
  <r>
    <s v="TICKET-1125"/>
    <d v="1899-12-30T00:27:58"/>
    <d v="1899-12-30T00:11:22"/>
    <x v="6"/>
    <s v="Cynthia Rich"/>
    <s v="Group resource dinner knowledge scientist Mr. Police simply enter training too."/>
    <s v="Medium"/>
    <x v="121"/>
    <x v="0"/>
    <x v="0"/>
  </r>
  <r>
    <s v="TICKET-1126"/>
    <d v="1899-12-30T00:22:43"/>
    <d v="1899-12-30T00:04:42"/>
    <x v="2"/>
    <s v="Autumn Ryan"/>
    <s v="My laptop's keyboard isn't working properly, some keys are stuck. Go wear understand relate."/>
    <s v="Low"/>
    <x v="122"/>
    <x v="0"/>
    <x v="0"/>
  </r>
  <r>
    <s v="TICKET-1127"/>
    <d v="1899-12-30T00:23:19"/>
    <d v="1899-12-30T00:23:32"/>
    <x v="1"/>
    <s v="Marvin West"/>
    <s v="Application X is crashing every time I open it. Gas mother rate wind fight success medical."/>
    <s v="Low"/>
    <x v="123"/>
    <x v="0"/>
    <x v="0"/>
  </r>
  <r>
    <s v="TICKET-1128"/>
    <d v="1899-12-30T00:02:08"/>
    <d v="1899-12-30T00:18:37"/>
    <x v="4"/>
    <s v="Sheila Ball"/>
    <s v="Can't connect to the Wi-Fi. It's showing 'No internet access'. These entire million eat play sit."/>
    <s v="High"/>
    <x v="124"/>
    <x v="0"/>
    <x v="0"/>
  </r>
  <r>
    <s v="TICKET-1129"/>
    <d v="1899-12-30T00:30:19"/>
    <d v="1899-12-30T00:09:05"/>
    <x v="0"/>
    <s v="Tanya Jones"/>
    <s v="Draw once season talk forward. Decision partner north realize finish one question."/>
    <s v="Medium"/>
    <x v="125"/>
    <x v="0"/>
    <x v="0"/>
  </r>
  <r>
    <s v="TICKET-1130"/>
    <d v="1899-12-30T00:54:16"/>
    <d v="1899-12-30T00:37:10"/>
    <x v="6"/>
    <s v="Amanda White"/>
    <s v="Catch travel form bar pretty himself team. Light suffer evidence land ok may guy."/>
    <s v="Low"/>
    <x v="126"/>
    <x v="0"/>
    <x v="0"/>
  </r>
  <r>
    <s v="TICKET-1131"/>
    <d v="1899-12-30T00:29:53"/>
    <d v="1899-12-30T00:20:30"/>
    <x v="6"/>
    <s v="Sheila Ball"/>
    <s v="Act believe heavy watch best game part. Too language mean. Cut age personal resource."/>
    <s v="Low"/>
    <x v="127"/>
    <x v="0"/>
    <x v="0"/>
  </r>
  <r>
    <s v="TICKET-1132"/>
    <d v="1899-12-30T00:38:17"/>
    <d v="1899-12-30T00:05:49"/>
    <x v="0"/>
    <s v="Adam Stone"/>
    <s v="Year name message voice data. Protect word up today. Break drop already life."/>
    <s v="Low"/>
    <x v="128"/>
    <x v="0"/>
    <x v="0"/>
  </r>
  <r>
    <s v="TICKET-1133"/>
    <d v="1899-12-30T00:07:14"/>
    <d v="1899-12-30T00:05:13"/>
    <x v="3"/>
    <s v="Cynthia Rich"/>
    <s v="I'm locked out of my account and can't reset my password. Maintain tree story research hair why."/>
    <s v="High"/>
    <x v="129"/>
    <x v="0"/>
    <x v="0"/>
  </r>
  <r>
    <s v="TICKET-1134"/>
    <d v="1899-12-30T00:02:50"/>
    <d v="1899-12-30T00:38:38"/>
    <x v="0"/>
    <s v="Autumn Ryan"/>
    <s v="Memory process group arm attack indicate mother. View three prepare by."/>
    <s v="Low"/>
    <x v="130"/>
    <x v="0"/>
    <x v="0"/>
  </r>
  <r>
    <s v="TICKET-1135"/>
    <d v="1899-12-30T00:57:14"/>
    <d v="1899-12-30T00:46:12"/>
    <x v="5"/>
    <s v="Amanda White"/>
    <s v="Foreign sign be money cup raise keep. Right scene market."/>
    <s v="Low"/>
    <x v="131"/>
    <x v="0"/>
    <x v="0"/>
  </r>
  <r>
    <s v="TICKET-1136"/>
    <d v="1899-12-30T00:50:13"/>
    <d v="1899-12-30T00:47:19"/>
    <x v="2"/>
    <s v="Amanda White"/>
    <s v="My laptop's keyboard isn't working properly, some keys are stuck. Certain six among before."/>
    <s v="Low"/>
    <x v="132"/>
    <x v="0"/>
    <x v="0"/>
  </r>
  <r>
    <s v="TICKET-1137"/>
    <d v="1899-12-30T00:14:35"/>
    <d v="1899-12-30T00:16:51"/>
    <x v="2"/>
    <s v="Tanya Jones"/>
    <s v="My laptop's keyboard isn't working properly, some keys are stuck. Ago his against point garden drug."/>
    <s v="Low"/>
    <x v="133"/>
    <x v="0"/>
    <x v="0"/>
  </r>
  <r>
    <s v="TICKET-1138"/>
    <d v="1899-12-30T00:22:46"/>
    <d v="1899-12-30T00:41:10"/>
    <x v="1"/>
    <s v="Toni Wiley"/>
    <s v="Application X is crashing every time I open it. Any state food citizen."/>
    <s v="Medium"/>
    <x v="134"/>
    <x v="0"/>
    <x v="0"/>
  </r>
  <r>
    <s v="TICKET-1139"/>
    <d v="1899-12-30T00:38:53"/>
    <d v="1899-12-30T00:24:43"/>
    <x v="4"/>
    <s v="Amanda White"/>
    <s v="Can't connect to the Wi-Fi. It's showing 'No internet access'. He particularly begin save area finally word."/>
    <s v="Low"/>
    <x v="39"/>
    <x v="0"/>
    <x v="0"/>
  </r>
  <r>
    <s v="TICKET-1140"/>
    <d v="1899-12-30T00:58:02"/>
    <d v="1899-12-30T00:50:41"/>
    <x v="2"/>
    <s v="Natasha Harris"/>
    <s v="My laptop's keyboard isn't working properly, some keys are stuck. Serious simply mind cost movie actually."/>
    <s v="Medium"/>
    <x v="135"/>
    <x v="0"/>
    <x v="0"/>
  </r>
  <r>
    <s v="TICKET-1141"/>
    <d v="1899-12-30T00:22:03"/>
    <d v="1899-12-30T00:14:10"/>
    <x v="2"/>
    <s v="Toni Wiley"/>
    <s v="My laptop's keyboard isn't working properly, some keys are stuck. Social approach mother white."/>
    <s v="Medium"/>
    <x v="136"/>
    <x v="0"/>
    <x v="0"/>
  </r>
  <r>
    <s v="TICKET-1142"/>
    <d v="1899-12-30T00:20:39"/>
    <d v="1899-12-30T00:34:39"/>
    <x v="4"/>
    <s v="Janice Burns"/>
    <s v="Can't connect to the Wi-Fi. It's showing 'No internet access'. Enter room up sound nature."/>
    <s v="Medium"/>
    <x v="137"/>
    <x v="0"/>
    <x v="0"/>
  </r>
  <r>
    <s v="TICKET-1143"/>
    <d v="1899-12-30T00:49:31"/>
    <d v="1899-12-30T00:49:37"/>
    <x v="2"/>
    <s v="Cynthia Rich"/>
    <s v="My laptop's keyboard isn't working properly, some keys are stuck. Effort to since question."/>
    <s v="Low"/>
    <x v="138"/>
    <x v="0"/>
    <x v="0"/>
  </r>
  <r>
    <s v="TICKET-1144"/>
    <d v="1899-12-30T00:04:20"/>
    <d v="1899-12-30T00:18:06"/>
    <x v="1"/>
    <s v="Natasha Harris"/>
    <s v="Application X is crashing every time I open it. These drive president building."/>
    <s v="Medium"/>
    <x v="139"/>
    <x v="0"/>
    <x v="0"/>
  </r>
  <r>
    <s v="TICKET-1145"/>
    <d v="1899-12-30T00:49:39"/>
    <d v="1899-12-30T00:50:14"/>
    <x v="6"/>
    <s v="Cynthia Rich"/>
    <s v="Suddenly effort she without without."/>
    <s v="Critical"/>
    <x v="140"/>
    <x v="0"/>
    <x v="0"/>
  </r>
  <r>
    <s v="TICKET-1146"/>
    <d v="1899-12-30T00:03:22"/>
    <d v="1899-12-30T00:54:19"/>
    <x v="4"/>
    <s v="Amanda White"/>
    <s v="Can't connect to the Wi-Fi. It's showing 'No internet access'. Should that nation can difficult nice."/>
    <s v="High"/>
    <x v="141"/>
    <x v="0"/>
    <x v="0"/>
  </r>
  <r>
    <s v="TICKET-1147"/>
    <d v="1899-12-30T00:56:42"/>
    <d v="1899-12-30T00:01:09"/>
    <x v="5"/>
    <s v="Cynthia Rich"/>
    <s v="Look scene real owner agent whose specific. Along they yourself character year or behind."/>
    <s v="Low"/>
    <x v="142"/>
    <x v="0"/>
    <x v="0"/>
  </r>
  <r>
    <s v="TICKET-1148"/>
    <d v="1899-12-30T00:22:14"/>
    <d v="1899-12-30T00:50:12"/>
    <x v="0"/>
    <s v="Adam Stone"/>
    <s v="You reflect radio. Especially speech wish interesting wife."/>
    <s v="Medium"/>
    <x v="143"/>
    <x v="0"/>
    <x v="0"/>
  </r>
  <r>
    <s v="TICKET-1149"/>
    <d v="1899-12-30T00:12:39"/>
    <d v="1899-12-30T00:13:25"/>
    <x v="2"/>
    <s v="Toni Wiley"/>
    <s v="My laptop's keyboard isn't working properly, some keys are stuck. Event pattern factor deep manager work."/>
    <s v="Medium"/>
    <x v="144"/>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22E56E-1FDF-4890-BCA7-DE845623FF12}"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ay of week">
  <location ref="A2:B4" firstHeaderRow="1" firstDataRow="1" firstDataCol="1"/>
  <pivotFields count="13">
    <pivotField showAll="0"/>
    <pivotField numFmtId="47" showAll="0"/>
    <pivotField numFmtId="47" showAll="0"/>
    <pivotField showAll="0"/>
    <pivotField showAll="0"/>
    <pivotField showAll="0"/>
    <pivotField showAll="0"/>
    <pivotField dataField="1" numFmtId="164" showAll="0">
      <items count="146">
        <item x="138"/>
        <item x="123"/>
        <item x="107"/>
        <item x="140"/>
        <item x="85"/>
        <item x="87"/>
        <item x="144"/>
        <item x="46"/>
        <item x="106"/>
        <item x="63"/>
        <item x="73"/>
        <item x="93"/>
        <item x="129"/>
        <item x="133"/>
        <item x="76"/>
        <item x="132"/>
        <item x="71"/>
        <item x="54"/>
        <item x="96"/>
        <item x="103"/>
        <item x="41"/>
        <item x="98"/>
        <item x="23"/>
        <item x="33"/>
        <item x="22"/>
        <item x="17"/>
        <item x="24"/>
        <item x="52"/>
        <item x="69"/>
        <item x="72"/>
        <item x="25"/>
        <item x="12"/>
        <item x="4"/>
        <item x="74"/>
        <item x="135"/>
        <item x="44"/>
        <item x="136"/>
        <item x="10"/>
        <item x="9"/>
        <item x="3"/>
        <item x="127"/>
        <item x="21"/>
        <item x="11"/>
        <item x="40"/>
        <item x="1"/>
        <item x="109"/>
        <item x="0"/>
        <item x="79"/>
        <item x="131"/>
        <item x="35"/>
        <item x="97"/>
        <item x="104"/>
        <item x="82"/>
        <item x="111"/>
        <item x="53"/>
        <item x="26"/>
        <item x="95"/>
        <item x="50"/>
        <item x="139"/>
        <item x="27"/>
        <item x="137"/>
        <item x="15"/>
        <item x="39"/>
        <item x="67"/>
        <item x="83"/>
        <item x="94"/>
        <item x="61"/>
        <item x="124"/>
        <item x="66"/>
        <item x="121"/>
        <item x="126"/>
        <item x="7"/>
        <item x="102"/>
        <item x="116"/>
        <item x="88"/>
        <item x="62"/>
        <item x="122"/>
        <item x="29"/>
        <item x="134"/>
        <item x="84"/>
        <item x="49"/>
        <item x="2"/>
        <item x="91"/>
        <item x="57"/>
        <item x="59"/>
        <item x="5"/>
        <item x="75"/>
        <item x="108"/>
        <item x="114"/>
        <item x="30"/>
        <item x="125"/>
        <item x="115"/>
        <item x="14"/>
        <item x="38"/>
        <item x="81"/>
        <item x="117"/>
        <item x="118"/>
        <item x="90"/>
        <item x="31"/>
        <item x="56"/>
        <item x="99"/>
        <item x="101"/>
        <item x="119"/>
        <item x="58"/>
        <item x="6"/>
        <item x="51"/>
        <item x="86"/>
        <item x="48"/>
        <item x="36"/>
        <item x="89"/>
        <item x="43"/>
        <item x="143"/>
        <item x="100"/>
        <item x="77"/>
        <item x="68"/>
        <item x="32"/>
        <item x="19"/>
        <item x="112"/>
        <item x="128"/>
        <item x="16"/>
        <item x="47"/>
        <item x="130"/>
        <item x="92"/>
        <item x="8"/>
        <item x="45"/>
        <item x="34"/>
        <item x="110"/>
        <item x="55"/>
        <item x="42"/>
        <item x="120"/>
        <item x="20"/>
        <item x="105"/>
        <item x="60"/>
        <item x="65"/>
        <item x="18"/>
        <item x="13"/>
        <item x="70"/>
        <item x="113"/>
        <item x="37"/>
        <item x="80"/>
        <item x="78"/>
        <item x="141"/>
        <item x="28"/>
        <item x="142"/>
        <item x="64"/>
        <item t="default"/>
      </items>
    </pivotField>
    <pivotField axis="axisRow" showAll="0">
      <items count="2">
        <item x="0"/>
        <item t="default"/>
      </items>
    </pivotField>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8"/>
  </rowFields>
  <rowItems count="2">
    <i>
      <x/>
    </i>
    <i t="grand">
      <x/>
    </i>
  </rowItems>
  <colItems count="1">
    <i/>
  </colItems>
  <dataFields count="1">
    <dataField name="Average of Resolution Time" fld="7" subtotal="average" baseField="8"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A13B170-8448-4F09-9CA2-882C78992728}"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Month">
  <location ref="A12:B14" firstHeaderRow="1" firstDataRow="1" firstDataCol="1"/>
  <pivotFields count="13">
    <pivotField dataField="1" showAll="0"/>
    <pivotField numFmtId="47" showAll="0"/>
    <pivotField numFmtId="47" showAll="0"/>
    <pivotField showAll="0"/>
    <pivotField showAll="0"/>
    <pivotField showAll="0"/>
    <pivotField showAll="0"/>
    <pivotField numFmtId="164" showAll="0">
      <items count="146">
        <item x="138"/>
        <item x="123"/>
        <item x="107"/>
        <item x="140"/>
        <item x="85"/>
        <item x="87"/>
        <item x="144"/>
        <item x="46"/>
        <item x="106"/>
        <item x="63"/>
        <item x="73"/>
        <item x="93"/>
        <item x="129"/>
        <item x="133"/>
        <item x="76"/>
        <item x="132"/>
        <item x="71"/>
        <item x="54"/>
        <item x="96"/>
        <item x="103"/>
        <item x="41"/>
        <item x="98"/>
        <item x="23"/>
        <item x="33"/>
        <item x="22"/>
        <item x="17"/>
        <item x="24"/>
        <item x="52"/>
        <item x="69"/>
        <item x="72"/>
        <item x="25"/>
        <item x="12"/>
        <item x="4"/>
        <item x="74"/>
        <item x="135"/>
        <item x="44"/>
        <item x="136"/>
        <item x="10"/>
        <item x="9"/>
        <item x="3"/>
        <item x="127"/>
        <item x="21"/>
        <item x="11"/>
        <item x="40"/>
        <item x="1"/>
        <item x="109"/>
        <item x="0"/>
        <item x="79"/>
        <item x="131"/>
        <item x="35"/>
        <item x="97"/>
        <item x="104"/>
        <item x="82"/>
        <item x="111"/>
        <item x="53"/>
        <item x="26"/>
        <item x="95"/>
        <item x="50"/>
        <item x="139"/>
        <item x="27"/>
        <item x="137"/>
        <item x="15"/>
        <item x="39"/>
        <item x="67"/>
        <item x="83"/>
        <item x="94"/>
        <item x="61"/>
        <item x="124"/>
        <item x="66"/>
        <item x="121"/>
        <item x="126"/>
        <item x="7"/>
        <item x="102"/>
        <item x="116"/>
        <item x="88"/>
        <item x="62"/>
        <item x="122"/>
        <item x="29"/>
        <item x="134"/>
        <item x="84"/>
        <item x="49"/>
        <item x="2"/>
        <item x="91"/>
        <item x="57"/>
        <item x="59"/>
        <item x="5"/>
        <item x="75"/>
        <item x="108"/>
        <item x="114"/>
        <item x="30"/>
        <item x="125"/>
        <item x="115"/>
        <item x="14"/>
        <item x="38"/>
        <item x="81"/>
        <item x="117"/>
        <item x="118"/>
        <item x="90"/>
        <item x="31"/>
        <item x="56"/>
        <item x="99"/>
        <item x="101"/>
        <item x="119"/>
        <item x="58"/>
        <item x="6"/>
        <item x="51"/>
        <item x="86"/>
        <item x="48"/>
        <item x="36"/>
        <item x="89"/>
        <item x="43"/>
        <item x="143"/>
        <item x="100"/>
        <item x="77"/>
        <item x="68"/>
        <item x="32"/>
        <item x="19"/>
        <item x="112"/>
        <item x="128"/>
        <item x="16"/>
        <item x="47"/>
        <item x="130"/>
        <item x="92"/>
        <item x="8"/>
        <item x="45"/>
        <item x="34"/>
        <item x="110"/>
        <item x="55"/>
        <item x="42"/>
        <item x="120"/>
        <item x="20"/>
        <item x="105"/>
        <item x="60"/>
        <item x="65"/>
        <item x="18"/>
        <item x="13"/>
        <item x="70"/>
        <item x="113"/>
        <item x="37"/>
        <item x="80"/>
        <item x="78"/>
        <item x="141"/>
        <item x="28"/>
        <item x="142"/>
        <item x="64"/>
        <item t="default"/>
      </items>
    </pivotField>
    <pivotField showAll="0"/>
    <pivotField axis="axisRow" showAll="0">
      <items count="2">
        <item x="0"/>
        <item t="default"/>
      </items>
    </pivotField>
    <pivotField showAll="0" defaultSubtota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9"/>
  </rowFields>
  <rowItems count="2">
    <i>
      <x/>
    </i>
    <i t="grand">
      <x/>
    </i>
  </rowItems>
  <colItems count="1">
    <i/>
  </colItems>
  <dataFields count="1">
    <dataField name="Count of ticket_id" fld="0" subtotal="count" baseField="9"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D6367C-1A68-40E1-B672-F2CD0D0AC3C5}"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
  <location ref="D2:E4" firstHeaderRow="1" firstDataRow="1" firstDataCol="1"/>
  <pivotFields count="13">
    <pivotField showAll="0"/>
    <pivotField numFmtId="47" showAll="0"/>
    <pivotField numFmtId="47" showAll="0"/>
    <pivotField showAll="0"/>
    <pivotField showAll="0"/>
    <pivotField showAll="0"/>
    <pivotField showAll="0"/>
    <pivotField dataField="1" numFmtId="164" showAll="0">
      <items count="146">
        <item x="138"/>
        <item x="123"/>
        <item x="107"/>
        <item x="140"/>
        <item x="85"/>
        <item x="87"/>
        <item x="144"/>
        <item x="46"/>
        <item x="106"/>
        <item x="63"/>
        <item x="73"/>
        <item x="93"/>
        <item x="129"/>
        <item x="133"/>
        <item x="76"/>
        <item x="132"/>
        <item x="71"/>
        <item x="54"/>
        <item x="96"/>
        <item x="103"/>
        <item x="41"/>
        <item x="98"/>
        <item x="23"/>
        <item x="33"/>
        <item x="22"/>
        <item x="17"/>
        <item x="24"/>
        <item x="52"/>
        <item x="69"/>
        <item x="72"/>
        <item x="25"/>
        <item x="12"/>
        <item x="4"/>
        <item x="74"/>
        <item x="135"/>
        <item x="44"/>
        <item x="136"/>
        <item x="10"/>
        <item x="9"/>
        <item x="3"/>
        <item x="127"/>
        <item x="21"/>
        <item x="11"/>
        <item x="40"/>
        <item x="1"/>
        <item x="109"/>
        <item x="0"/>
        <item x="79"/>
        <item x="131"/>
        <item x="35"/>
        <item x="97"/>
        <item x="104"/>
        <item x="82"/>
        <item x="111"/>
        <item x="53"/>
        <item x="26"/>
        <item x="95"/>
        <item x="50"/>
        <item x="139"/>
        <item x="27"/>
        <item x="137"/>
        <item x="15"/>
        <item x="39"/>
        <item x="67"/>
        <item x="83"/>
        <item x="94"/>
        <item x="61"/>
        <item x="124"/>
        <item x="66"/>
        <item x="121"/>
        <item x="126"/>
        <item x="7"/>
        <item x="102"/>
        <item x="116"/>
        <item x="88"/>
        <item x="62"/>
        <item x="122"/>
        <item x="29"/>
        <item x="134"/>
        <item x="84"/>
        <item x="49"/>
        <item x="2"/>
        <item x="91"/>
        <item x="57"/>
        <item x="59"/>
        <item x="5"/>
        <item x="75"/>
        <item x="108"/>
        <item x="114"/>
        <item x="30"/>
        <item x="125"/>
        <item x="115"/>
        <item x="14"/>
        <item x="38"/>
        <item x="81"/>
        <item x="117"/>
        <item x="118"/>
        <item x="90"/>
        <item x="31"/>
        <item x="56"/>
        <item x="99"/>
        <item x="101"/>
        <item x="119"/>
        <item x="58"/>
        <item x="6"/>
        <item x="51"/>
        <item x="86"/>
        <item x="48"/>
        <item x="36"/>
        <item x="89"/>
        <item x="43"/>
        <item x="143"/>
        <item x="100"/>
        <item x="77"/>
        <item x="68"/>
        <item x="32"/>
        <item x="19"/>
        <item x="112"/>
        <item x="128"/>
        <item x="16"/>
        <item x="47"/>
        <item x="130"/>
        <item x="92"/>
        <item x="8"/>
        <item x="45"/>
        <item x="34"/>
        <item x="110"/>
        <item x="55"/>
        <item x="42"/>
        <item x="120"/>
        <item x="20"/>
        <item x="105"/>
        <item x="60"/>
        <item x="65"/>
        <item x="18"/>
        <item x="13"/>
        <item x="70"/>
        <item x="113"/>
        <item x="37"/>
        <item x="80"/>
        <item x="78"/>
        <item x="141"/>
        <item x="28"/>
        <item x="142"/>
        <item x="64"/>
        <item t="default"/>
      </items>
    </pivotField>
    <pivotField showAll="0"/>
    <pivotField axis="axisRow" showAll="0">
      <items count="2">
        <item x="0"/>
        <item t="default"/>
      </items>
    </pivotField>
    <pivotField showAll="0" defaultSubtota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s>
  <rowFields count="1">
    <field x="9"/>
  </rowFields>
  <rowItems count="2">
    <i>
      <x/>
    </i>
    <i t="grand">
      <x/>
    </i>
  </rowItems>
  <colItems count="1">
    <i/>
  </colItems>
  <dataFields count="1">
    <dataField name="Average of Resolution Time" fld="7" subtotal="average" baseField="9"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9644FA-C4BE-420A-981D-5BCC8D8FEE73}"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ategory">
  <location ref="A18:B26" firstHeaderRow="1" firstDataRow="1" firstDataCol="1"/>
  <pivotFields count="13">
    <pivotField showAll="0"/>
    <pivotField numFmtId="47" showAll="0"/>
    <pivotField numFmtId="47" showAll="0"/>
    <pivotField axis="axisRow" showAll="0">
      <items count="8">
        <item x="3"/>
        <item x="6"/>
        <item x="2"/>
        <item x="4"/>
        <item x="0"/>
        <item x="5"/>
        <item x="1"/>
        <item t="default"/>
      </items>
    </pivotField>
    <pivotField showAll="0"/>
    <pivotField showAll="0"/>
    <pivotField showAll="0"/>
    <pivotField dataField="1" numFmtId="164" showAll="0">
      <items count="146">
        <item x="138"/>
        <item x="123"/>
        <item x="107"/>
        <item x="140"/>
        <item x="85"/>
        <item x="87"/>
        <item x="144"/>
        <item x="46"/>
        <item x="106"/>
        <item x="63"/>
        <item x="73"/>
        <item x="93"/>
        <item x="129"/>
        <item x="133"/>
        <item x="76"/>
        <item x="132"/>
        <item x="71"/>
        <item x="54"/>
        <item x="96"/>
        <item x="103"/>
        <item x="41"/>
        <item x="98"/>
        <item x="23"/>
        <item x="33"/>
        <item x="22"/>
        <item x="17"/>
        <item x="24"/>
        <item x="52"/>
        <item x="69"/>
        <item x="72"/>
        <item x="25"/>
        <item x="12"/>
        <item x="4"/>
        <item x="74"/>
        <item x="135"/>
        <item x="44"/>
        <item x="136"/>
        <item x="10"/>
        <item x="9"/>
        <item x="3"/>
        <item x="127"/>
        <item x="21"/>
        <item x="11"/>
        <item x="40"/>
        <item x="1"/>
        <item x="109"/>
        <item x="0"/>
        <item x="79"/>
        <item x="131"/>
        <item x="35"/>
        <item x="97"/>
        <item x="104"/>
        <item x="82"/>
        <item x="111"/>
        <item x="53"/>
        <item x="26"/>
        <item x="95"/>
        <item x="50"/>
        <item x="139"/>
        <item x="27"/>
        <item x="137"/>
        <item x="15"/>
        <item x="39"/>
        <item x="67"/>
        <item x="83"/>
        <item x="94"/>
        <item x="61"/>
        <item x="124"/>
        <item x="66"/>
        <item x="121"/>
        <item x="126"/>
        <item x="7"/>
        <item x="102"/>
        <item x="116"/>
        <item x="88"/>
        <item x="62"/>
        <item x="122"/>
        <item x="29"/>
        <item x="134"/>
        <item x="84"/>
        <item x="49"/>
        <item x="2"/>
        <item x="91"/>
        <item x="57"/>
        <item x="59"/>
        <item x="5"/>
        <item x="75"/>
        <item x="108"/>
        <item x="114"/>
        <item x="30"/>
        <item x="125"/>
        <item x="115"/>
        <item x="14"/>
        <item x="38"/>
        <item x="81"/>
        <item x="117"/>
        <item x="118"/>
        <item x="90"/>
        <item x="31"/>
        <item x="56"/>
        <item x="99"/>
        <item x="101"/>
        <item x="119"/>
        <item x="58"/>
        <item x="6"/>
        <item x="51"/>
        <item x="86"/>
        <item x="48"/>
        <item x="36"/>
        <item x="89"/>
        <item x="43"/>
        <item x="143"/>
        <item x="100"/>
        <item x="77"/>
        <item x="68"/>
        <item x="32"/>
        <item x="19"/>
        <item x="112"/>
        <item x="128"/>
        <item x="16"/>
        <item x="47"/>
        <item x="130"/>
        <item x="92"/>
        <item x="8"/>
        <item x="45"/>
        <item x="34"/>
        <item x="110"/>
        <item x="55"/>
        <item x="42"/>
        <item x="120"/>
        <item x="20"/>
        <item x="105"/>
        <item x="60"/>
        <item x="65"/>
        <item x="18"/>
        <item x="13"/>
        <item x="70"/>
        <item x="113"/>
        <item x="37"/>
        <item x="80"/>
        <item x="78"/>
        <item x="141"/>
        <item x="28"/>
        <item x="142"/>
        <item x="64"/>
        <item t="default"/>
      </items>
    </pivotField>
    <pivotField showAll="0"/>
    <pivotField showAll="0"/>
    <pivotField showAll="0" defaultSubtotal="0">
      <items count="62">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s>
    </pivotField>
    <pivotField showAll="0" defaultSubtotal="0">
      <items count="62">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s>
    </pivotField>
    <pivotField showAll="0" defaultSubtotal="0">
      <items count="26">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s>
    </pivotField>
  </pivotFields>
  <rowFields count="1">
    <field x="3"/>
  </rowFields>
  <rowItems count="8">
    <i>
      <x/>
    </i>
    <i>
      <x v="1"/>
    </i>
    <i>
      <x v="2"/>
    </i>
    <i>
      <x v="3"/>
    </i>
    <i>
      <x v="4"/>
    </i>
    <i>
      <x v="5"/>
    </i>
    <i>
      <x v="6"/>
    </i>
    <i t="grand">
      <x/>
    </i>
  </rowItems>
  <colItems count="1">
    <i/>
  </colItems>
  <dataFields count="1">
    <dataField name="Average of Resolution Time" fld="7" subtotal="average" baseField="3" baseItem="0" numFmtId="2"/>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F4830CB-6FF5-4645-A1BF-109B210859D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Category">
  <location ref="D2:E10" firstHeaderRow="1" firstDataRow="1" firstDataCol="1"/>
  <pivotFields count="13">
    <pivotField dataField="1"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numFmtId="47" showAll="0">
      <items count="149">
        <item x="54"/>
        <item x="127"/>
        <item x="111"/>
        <item x="114"/>
        <item x="119"/>
        <item x="44"/>
        <item x="133"/>
        <item x="28"/>
        <item x="18"/>
        <item x="144"/>
        <item x="123"/>
        <item x="143"/>
        <item x="89"/>
        <item x="60"/>
        <item x="34"/>
        <item x="93"/>
        <item x="55"/>
        <item x="132"/>
        <item x="120"/>
        <item x="13"/>
        <item x="83"/>
        <item x="32"/>
        <item x="65"/>
        <item x="86"/>
        <item x="122"/>
        <item x="147"/>
        <item x="48"/>
        <item x="99"/>
        <item x="136"/>
        <item x="98"/>
        <item x="118"/>
        <item x="96"/>
        <item x="30"/>
        <item x="81"/>
        <item x="73"/>
        <item x="105"/>
        <item x="67"/>
        <item x="85"/>
        <item x="103"/>
        <item x="61"/>
        <item x="112"/>
        <item x="10"/>
        <item x="38"/>
        <item x="141"/>
        <item x="88"/>
        <item x="52"/>
        <item x="66"/>
        <item x="140"/>
        <item x="146"/>
        <item x="50"/>
        <item x="125"/>
        <item x="137"/>
        <item x="97"/>
        <item x="126"/>
        <item x="84"/>
        <item x="47"/>
        <item x="108"/>
        <item x="91"/>
        <item x="41"/>
        <item x="26"/>
        <item x="19"/>
        <item x="92"/>
        <item x="23"/>
        <item x="124"/>
        <item x="1"/>
        <item x="27"/>
        <item x="115"/>
        <item x="57"/>
        <item x="22"/>
        <item x="130"/>
        <item x="110"/>
        <item x="39"/>
        <item x="128"/>
        <item x="69"/>
        <item x="75"/>
        <item x="2"/>
        <item x="5"/>
        <item x="14"/>
        <item x="33"/>
        <item x="15"/>
        <item x="72"/>
        <item x="21"/>
        <item x="102"/>
        <item x="0"/>
        <item x="90"/>
        <item x="43"/>
        <item x="24"/>
        <item x="59"/>
        <item x="6"/>
        <item x="131"/>
        <item x="138"/>
        <item x="113"/>
        <item x="62"/>
        <item x="116"/>
        <item x="8"/>
        <item x="53"/>
        <item x="45"/>
        <item x="17"/>
        <item x="117"/>
        <item x="42"/>
        <item x="76"/>
        <item x="25"/>
        <item x="58"/>
        <item x="46"/>
        <item x="7"/>
        <item x="79"/>
        <item x="104"/>
        <item x="4"/>
        <item x="36"/>
        <item x="68"/>
        <item x="94"/>
        <item x="3"/>
        <item x="35"/>
        <item x="74"/>
        <item x="82"/>
        <item x="101"/>
        <item x="142"/>
        <item x="9"/>
        <item x="20"/>
        <item x="40"/>
        <item x="95"/>
        <item x="135"/>
        <item x="121"/>
        <item x="80"/>
        <item x="49"/>
        <item x="51"/>
        <item x="12"/>
        <item x="16"/>
        <item x="56"/>
        <item x="106"/>
        <item x="129"/>
        <item x="100"/>
        <item x="71"/>
        <item x="11"/>
        <item x="109"/>
        <item x="37"/>
        <item x="145"/>
        <item x="63"/>
        <item x="29"/>
        <item x="134"/>
        <item x="107"/>
        <item x="139"/>
        <item x="64"/>
        <item x="70"/>
        <item x="78"/>
        <item x="87"/>
        <item x="31"/>
        <item x="77"/>
        <item t="default"/>
      </items>
    </pivotField>
    <pivotField numFmtId="47" showAll="0">
      <items count="147">
        <item x="42"/>
        <item x="81"/>
        <item x="143"/>
        <item x="64"/>
        <item x="67"/>
        <item x="54"/>
        <item x="61"/>
        <item x="99"/>
        <item x="8"/>
        <item x="124"/>
        <item x="45"/>
        <item x="131"/>
        <item x="118"/>
        <item x="66"/>
        <item x="130"/>
        <item x="122"/>
        <item x="20"/>
        <item x="37"/>
        <item x="113"/>
        <item x="85"/>
        <item x="79"/>
        <item x="93"/>
        <item x="91"/>
        <item x="127"/>
        <item x="43"/>
        <item x="50"/>
        <item x="44"/>
        <item x="106"/>
        <item x="76"/>
        <item x="123"/>
        <item x="70"/>
        <item x="14"/>
        <item x="6"/>
        <item x="87"/>
        <item x="145"/>
        <item x="139"/>
        <item x="26"/>
        <item x="27"/>
        <item x="58"/>
        <item x="135"/>
        <item x="68"/>
        <item x="100"/>
        <item x="59"/>
        <item x="1"/>
        <item x="126"/>
        <item x="116"/>
        <item x="36"/>
        <item x="16"/>
        <item x="74"/>
        <item x="15"/>
        <item x="129"/>
        <item x="84"/>
        <item x="82"/>
        <item x="89"/>
        <item x="62"/>
        <item x="90"/>
        <item x="41"/>
        <item x="125"/>
        <item x="23"/>
        <item x="108"/>
        <item x="137"/>
        <item x="121"/>
        <item x="51"/>
        <item x="21"/>
        <item x="119"/>
        <item x="83"/>
        <item x="7"/>
        <item x="98"/>
        <item x="52"/>
        <item x="10"/>
        <item x="56"/>
        <item x="33"/>
        <item x="97"/>
        <item x="105"/>
        <item x="78"/>
        <item x="101"/>
        <item x="112"/>
        <item x="120"/>
        <item x="88"/>
        <item x="72"/>
        <item x="80"/>
        <item x="49"/>
        <item x="22"/>
        <item x="96"/>
        <item x="140"/>
        <item x="31"/>
        <item x="109"/>
        <item x="25"/>
        <item x="103"/>
        <item x="35"/>
        <item x="69"/>
        <item x="128"/>
        <item x="86"/>
        <item x="17"/>
        <item x="30"/>
        <item x="3"/>
        <item x="132"/>
        <item x="29"/>
        <item x="48"/>
        <item x="110"/>
        <item x="77"/>
        <item x="32"/>
        <item x="73"/>
        <item x="111"/>
        <item x="75"/>
        <item x="136"/>
        <item x="104"/>
        <item x="46"/>
        <item x="24"/>
        <item x="38"/>
        <item x="94"/>
        <item x="34"/>
        <item x="39"/>
        <item x="133"/>
        <item x="11"/>
        <item x="0"/>
        <item x="134"/>
        <item x="55"/>
        <item x="18"/>
        <item x="57"/>
        <item x="95"/>
        <item x="92"/>
        <item x="60"/>
        <item x="144"/>
        <item x="141"/>
        <item x="115"/>
        <item x="2"/>
        <item x="138"/>
        <item x="114"/>
        <item x="5"/>
        <item x="4"/>
        <item x="53"/>
        <item x="142"/>
        <item x="13"/>
        <item x="65"/>
        <item x="63"/>
        <item x="107"/>
        <item x="28"/>
        <item x="47"/>
        <item x="71"/>
        <item x="9"/>
        <item x="19"/>
        <item x="12"/>
        <item x="40"/>
        <item x="102"/>
        <item x="117"/>
        <item t="default"/>
      </items>
    </pivotField>
    <pivotField axis="axisRow" showAll="0">
      <items count="8">
        <item x="3"/>
        <item x="6"/>
        <item x="2"/>
        <item x="4"/>
        <item x="0"/>
        <item x="5"/>
        <item x="1"/>
        <item t="default"/>
      </items>
    </pivotField>
    <pivotField showAll="0">
      <items count="11">
        <item x="7"/>
        <item x="6"/>
        <item x="5"/>
        <item x="3"/>
        <item x="4"/>
        <item x="9"/>
        <item x="8"/>
        <item x="2"/>
        <item x="1"/>
        <item x="0"/>
        <item t="default"/>
      </items>
    </pivotField>
    <pivotField showAll="0"/>
    <pivotField showAll="0">
      <items count="5">
        <item x="3"/>
        <item x="0"/>
        <item x="2"/>
        <item x="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3"/>
  </rowFields>
  <rowItems count="8">
    <i>
      <x/>
    </i>
    <i>
      <x v="1"/>
    </i>
    <i>
      <x v="2"/>
    </i>
    <i>
      <x v="3"/>
    </i>
    <i>
      <x v="4"/>
    </i>
    <i>
      <x v="5"/>
    </i>
    <i>
      <x v="6"/>
    </i>
    <i t="grand">
      <x/>
    </i>
  </rowItems>
  <colItems count="1">
    <i/>
  </colItems>
  <dataFields count="1">
    <dataField name="Count of ticket_id" fld="0" subtotal="count" baseField="0" baseItem="0"/>
  </dataFields>
  <chartFormats count="16">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3" count="1" selected="0">
            <x v="0"/>
          </reference>
        </references>
      </pivotArea>
    </chartFormat>
    <chartFormat chart="7" format="2">
      <pivotArea type="data" outline="0" fieldPosition="0">
        <references count="2">
          <reference field="4294967294" count="1" selected="0">
            <x v="0"/>
          </reference>
          <reference field="3" count="1" selected="0">
            <x v="1"/>
          </reference>
        </references>
      </pivotArea>
    </chartFormat>
    <chartFormat chart="7" format="3">
      <pivotArea type="data" outline="0" fieldPosition="0">
        <references count="2">
          <reference field="4294967294" count="1" selected="0">
            <x v="0"/>
          </reference>
          <reference field="3" count="1" selected="0">
            <x v="2"/>
          </reference>
        </references>
      </pivotArea>
    </chartFormat>
    <chartFormat chart="7" format="4">
      <pivotArea type="data" outline="0" fieldPosition="0">
        <references count="2">
          <reference field="4294967294" count="1" selected="0">
            <x v="0"/>
          </reference>
          <reference field="3" count="1" selected="0">
            <x v="3"/>
          </reference>
        </references>
      </pivotArea>
    </chartFormat>
    <chartFormat chart="7" format="5">
      <pivotArea type="data" outline="0" fieldPosition="0">
        <references count="2">
          <reference field="4294967294" count="1" selected="0">
            <x v="0"/>
          </reference>
          <reference field="3" count="1" selected="0">
            <x v="4"/>
          </reference>
        </references>
      </pivotArea>
    </chartFormat>
    <chartFormat chart="7" format="6">
      <pivotArea type="data" outline="0" fieldPosition="0">
        <references count="2">
          <reference field="4294967294" count="1" selected="0">
            <x v="0"/>
          </reference>
          <reference field="3" count="1" selected="0">
            <x v="5"/>
          </reference>
        </references>
      </pivotArea>
    </chartFormat>
    <chartFormat chart="7" format="7">
      <pivotArea type="data" outline="0" fieldPosition="0">
        <references count="2">
          <reference field="4294967294" count="1" selected="0">
            <x v="0"/>
          </reference>
          <reference field="3" count="1" selected="0">
            <x v="6"/>
          </reference>
        </references>
      </pivotArea>
    </chartFormat>
    <chartFormat chart="10" format="16" series="1">
      <pivotArea type="data" outline="0" fieldPosition="0">
        <references count="1">
          <reference field="4294967294" count="1" selected="0">
            <x v="0"/>
          </reference>
        </references>
      </pivotArea>
    </chartFormat>
    <chartFormat chart="10" format="17">
      <pivotArea type="data" outline="0" fieldPosition="0">
        <references count="2">
          <reference field="4294967294" count="1" selected="0">
            <x v="0"/>
          </reference>
          <reference field="3" count="1" selected="0">
            <x v="0"/>
          </reference>
        </references>
      </pivotArea>
    </chartFormat>
    <chartFormat chart="10" format="18">
      <pivotArea type="data" outline="0" fieldPosition="0">
        <references count="2">
          <reference field="4294967294" count="1" selected="0">
            <x v="0"/>
          </reference>
          <reference field="3" count="1" selected="0">
            <x v="1"/>
          </reference>
        </references>
      </pivotArea>
    </chartFormat>
    <chartFormat chart="10" format="19">
      <pivotArea type="data" outline="0" fieldPosition="0">
        <references count="2">
          <reference field="4294967294" count="1" selected="0">
            <x v="0"/>
          </reference>
          <reference field="3" count="1" selected="0">
            <x v="2"/>
          </reference>
        </references>
      </pivotArea>
    </chartFormat>
    <chartFormat chart="10" format="20">
      <pivotArea type="data" outline="0" fieldPosition="0">
        <references count="2">
          <reference field="4294967294" count="1" selected="0">
            <x v="0"/>
          </reference>
          <reference field="3" count="1" selected="0">
            <x v="3"/>
          </reference>
        </references>
      </pivotArea>
    </chartFormat>
    <chartFormat chart="10" format="21">
      <pivotArea type="data" outline="0" fieldPosition="0">
        <references count="2">
          <reference field="4294967294" count="1" selected="0">
            <x v="0"/>
          </reference>
          <reference field="3" count="1" selected="0">
            <x v="4"/>
          </reference>
        </references>
      </pivotArea>
    </chartFormat>
    <chartFormat chart="10" format="22">
      <pivotArea type="data" outline="0" fieldPosition="0">
        <references count="2">
          <reference field="4294967294" count="1" selected="0">
            <x v="0"/>
          </reference>
          <reference field="3" count="1" selected="0">
            <x v="5"/>
          </reference>
        </references>
      </pivotArea>
    </chartFormat>
    <chartFormat chart="10" format="23">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47E730B-68B2-41B5-A90E-6055C79481C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riority">
  <location ref="A2:B7" firstHeaderRow="1" firstDataRow="1" firstDataCol="1"/>
  <pivotFields count="13">
    <pivotField dataField="1"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numFmtId="47" showAll="0">
      <items count="149">
        <item x="54"/>
        <item x="127"/>
        <item x="111"/>
        <item x="114"/>
        <item x="119"/>
        <item x="44"/>
        <item x="133"/>
        <item x="28"/>
        <item x="18"/>
        <item x="144"/>
        <item x="123"/>
        <item x="143"/>
        <item x="89"/>
        <item x="60"/>
        <item x="34"/>
        <item x="93"/>
        <item x="55"/>
        <item x="132"/>
        <item x="120"/>
        <item x="13"/>
        <item x="83"/>
        <item x="32"/>
        <item x="65"/>
        <item x="86"/>
        <item x="122"/>
        <item x="147"/>
        <item x="48"/>
        <item x="99"/>
        <item x="136"/>
        <item x="98"/>
        <item x="118"/>
        <item x="96"/>
        <item x="30"/>
        <item x="81"/>
        <item x="73"/>
        <item x="105"/>
        <item x="67"/>
        <item x="85"/>
        <item x="103"/>
        <item x="61"/>
        <item x="112"/>
        <item x="10"/>
        <item x="38"/>
        <item x="141"/>
        <item x="88"/>
        <item x="52"/>
        <item x="66"/>
        <item x="140"/>
        <item x="146"/>
        <item x="50"/>
        <item x="125"/>
        <item x="137"/>
        <item x="97"/>
        <item x="126"/>
        <item x="84"/>
        <item x="47"/>
        <item x="108"/>
        <item x="91"/>
        <item x="41"/>
        <item x="26"/>
        <item x="19"/>
        <item x="92"/>
        <item x="23"/>
        <item x="124"/>
        <item x="1"/>
        <item x="27"/>
        <item x="115"/>
        <item x="57"/>
        <item x="22"/>
        <item x="130"/>
        <item x="110"/>
        <item x="39"/>
        <item x="128"/>
        <item x="69"/>
        <item x="75"/>
        <item x="2"/>
        <item x="5"/>
        <item x="14"/>
        <item x="33"/>
        <item x="15"/>
        <item x="72"/>
        <item x="21"/>
        <item x="102"/>
        <item x="0"/>
        <item x="90"/>
        <item x="43"/>
        <item x="24"/>
        <item x="59"/>
        <item x="6"/>
        <item x="131"/>
        <item x="138"/>
        <item x="113"/>
        <item x="62"/>
        <item x="116"/>
        <item x="8"/>
        <item x="53"/>
        <item x="45"/>
        <item x="17"/>
        <item x="117"/>
        <item x="42"/>
        <item x="76"/>
        <item x="25"/>
        <item x="58"/>
        <item x="46"/>
        <item x="7"/>
        <item x="79"/>
        <item x="104"/>
        <item x="4"/>
        <item x="36"/>
        <item x="68"/>
        <item x="94"/>
        <item x="3"/>
        <item x="35"/>
        <item x="74"/>
        <item x="82"/>
        <item x="101"/>
        <item x="142"/>
        <item x="9"/>
        <item x="20"/>
        <item x="40"/>
        <item x="95"/>
        <item x="135"/>
        <item x="121"/>
        <item x="80"/>
        <item x="49"/>
        <item x="51"/>
        <item x="12"/>
        <item x="16"/>
        <item x="56"/>
        <item x="106"/>
        <item x="129"/>
        <item x="100"/>
        <item x="71"/>
        <item x="11"/>
        <item x="109"/>
        <item x="37"/>
        <item x="145"/>
        <item x="63"/>
        <item x="29"/>
        <item x="134"/>
        <item x="107"/>
        <item x="139"/>
        <item x="64"/>
        <item x="70"/>
        <item x="78"/>
        <item x="87"/>
        <item x="31"/>
        <item x="77"/>
        <item t="default"/>
      </items>
    </pivotField>
    <pivotField numFmtId="47" showAll="0">
      <items count="147">
        <item x="42"/>
        <item x="81"/>
        <item x="143"/>
        <item x="64"/>
        <item x="67"/>
        <item x="54"/>
        <item x="61"/>
        <item x="99"/>
        <item x="8"/>
        <item x="124"/>
        <item x="45"/>
        <item x="131"/>
        <item x="118"/>
        <item x="66"/>
        <item x="130"/>
        <item x="122"/>
        <item x="20"/>
        <item x="37"/>
        <item x="113"/>
        <item x="85"/>
        <item x="79"/>
        <item x="93"/>
        <item x="91"/>
        <item x="127"/>
        <item x="43"/>
        <item x="50"/>
        <item x="44"/>
        <item x="106"/>
        <item x="76"/>
        <item x="123"/>
        <item x="70"/>
        <item x="14"/>
        <item x="6"/>
        <item x="87"/>
        <item x="145"/>
        <item x="139"/>
        <item x="26"/>
        <item x="27"/>
        <item x="58"/>
        <item x="135"/>
        <item x="68"/>
        <item x="100"/>
        <item x="59"/>
        <item x="1"/>
        <item x="126"/>
        <item x="116"/>
        <item x="36"/>
        <item x="16"/>
        <item x="74"/>
        <item x="15"/>
        <item x="129"/>
        <item x="84"/>
        <item x="82"/>
        <item x="89"/>
        <item x="62"/>
        <item x="90"/>
        <item x="41"/>
        <item x="125"/>
        <item x="23"/>
        <item x="108"/>
        <item x="137"/>
        <item x="121"/>
        <item x="51"/>
        <item x="21"/>
        <item x="119"/>
        <item x="83"/>
        <item x="7"/>
        <item x="98"/>
        <item x="52"/>
        <item x="10"/>
        <item x="56"/>
        <item x="33"/>
        <item x="97"/>
        <item x="105"/>
        <item x="78"/>
        <item x="101"/>
        <item x="112"/>
        <item x="120"/>
        <item x="88"/>
        <item x="72"/>
        <item x="80"/>
        <item x="49"/>
        <item x="22"/>
        <item x="96"/>
        <item x="140"/>
        <item x="31"/>
        <item x="109"/>
        <item x="25"/>
        <item x="103"/>
        <item x="35"/>
        <item x="69"/>
        <item x="128"/>
        <item x="86"/>
        <item x="17"/>
        <item x="30"/>
        <item x="3"/>
        <item x="132"/>
        <item x="29"/>
        <item x="48"/>
        <item x="110"/>
        <item x="77"/>
        <item x="32"/>
        <item x="73"/>
        <item x="111"/>
        <item x="75"/>
        <item x="136"/>
        <item x="104"/>
        <item x="46"/>
        <item x="24"/>
        <item x="38"/>
        <item x="94"/>
        <item x="34"/>
        <item x="39"/>
        <item x="133"/>
        <item x="11"/>
        <item x="0"/>
        <item x="134"/>
        <item x="55"/>
        <item x="18"/>
        <item x="57"/>
        <item x="95"/>
        <item x="92"/>
        <item x="60"/>
        <item x="144"/>
        <item x="141"/>
        <item x="115"/>
        <item x="2"/>
        <item x="138"/>
        <item x="114"/>
        <item x="5"/>
        <item x="4"/>
        <item x="53"/>
        <item x="142"/>
        <item x="13"/>
        <item x="65"/>
        <item x="63"/>
        <item x="107"/>
        <item x="28"/>
        <item x="47"/>
        <item x="71"/>
        <item x="9"/>
        <item x="19"/>
        <item x="12"/>
        <item x="40"/>
        <item x="102"/>
        <item x="117"/>
        <item t="default"/>
      </items>
    </pivotField>
    <pivotField showAll="0">
      <items count="8">
        <item x="3"/>
        <item x="6"/>
        <item x="2"/>
        <item x="4"/>
        <item x="0"/>
        <item x="5"/>
        <item x="1"/>
        <item t="default"/>
      </items>
    </pivotField>
    <pivotField showAll="0">
      <items count="11">
        <item x="7"/>
        <item x="6"/>
        <item x="5"/>
        <item x="3"/>
        <item x="4"/>
        <item x="9"/>
        <item x="8"/>
        <item x="2"/>
        <item x="1"/>
        <item x="0"/>
        <item t="default"/>
      </items>
    </pivotField>
    <pivotField showAll="0"/>
    <pivotField axis="axisRow" showAll="0">
      <items count="5">
        <item x="3"/>
        <item x="0"/>
        <item x="2"/>
        <item x="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6"/>
  </rowFields>
  <rowItems count="5">
    <i>
      <x/>
    </i>
    <i>
      <x v="1"/>
    </i>
    <i>
      <x v="2"/>
    </i>
    <i>
      <x v="3"/>
    </i>
    <i t="grand">
      <x/>
    </i>
  </rowItems>
  <colItems count="1">
    <i/>
  </colItems>
  <dataFields count="1">
    <dataField name="Count of ticket_id" fld="0" subtotal="count"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11D3288-7176-42D3-9CFF-C6D6613CB0A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M1:N2" firstHeaderRow="0" firstDataRow="1" firstDataCol="0"/>
  <pivotFields count="13">
    <pivotField showAll="0"/>
    <pivotField dataField="1" numFmtId="47" showAll="0">
      <items count="149">
        <item x="54"/>
        <item x="127"/>
        <item x="111"/>
        <item x="114"/>
        <item x="119"/>
        <item x="44"/>
        <item x="133"/>
        <item x="28"/>
        <item x="18"/>
        <item x="144"/>
        <item x="123"/>
        <item x="143"/>
        <item x="89"/>
        <item x="60"/>
        <item x="34"/>
        <item x="93"/>
        <item x="55"/>
        <item x="132"/>
        <item x="120"/>
        <item x="13"/>
        <item x="83"/>
        <item x="32"/>
        <item x="65"/>
        <item x="86"/>
        <item x="122"/>
        <item x="147"/>
        <item x="48"/>
        <item x="99"/>
        <item x="136"/>
        <item x="98"/>
        <item x="118"/>
        <item x="96"/>
        <item x="30"/>
        <item x="81"/>
        <item x="73"/>
        <item x="105"/>
        <item x="67"/>
        <item x="85"/>
        <item x="103"/>
        <item x="61"/>
        <item x="112"/>
        <item x="10"/>
        <item x="38"/>
        <item x="141"/>
        <item x="88"/>
        <item x="52"/>
        <item x="66"/>
        <item x="140"/>
        <item x="146"/>
        <item x="50"/>
        <item x="125"/>
        <item x="137"/>
        <item x="97"/>
        <item x="126"/>
        <item x="84"/>
        <item x="47"/>
        <item x="108"/>
        <item x="91"/>
        <item x="41"/>
        <item x="26"/>
        <item x="19"/>
        <item x="92"/>
        <item x="23"/>
        <item x="124"/>
        <item x="1"/>
        <item x="27"/>
        <item x="115"/>
        <item x="57"/>
        <item x="22"/>
        <item x="130"/>
        <item x="110"/>
        <item x="39"/>
        <item x="128"/>
        <item x="69"/>
        <item x="75"/>
        <item x="2"/>
        <item x="5"/>
        <item x="14"/>
        <item x="33"/>
        <item x="15"/>
        <item x="72"/>
        <item x="21"/>
        <item x="102"/>
        <item x="0"/>
        <item x="90"/>
        <item x="43"/>
        <item x="24"/>
        <item x="59"/>
        <item x="6"/>
        <item x="131"/>
        <item x="138"/>
        <item x="113"/>
        <item x="62"/>
        <item x="116"/>
        <item x="8"/>
        <item x="53"/>
        <item x="45"/>
        <item x="17"/>
        <item x="117"/>
        <item x="42"/>
        <item x="76"/>
        <item x="25"/>
        <item x="58"/>
        <item x="46"/>
        <item x="7"/>
        <item x="79"/>
        <item x="104"/>
        <item x="4"/>
        <item x="36"/>
        <item x="68"/>
        <item x="94"/>
        <item x="3"/>
        <item x="35"/>
        <item x="74"/>
        <item x="82"/>
        <item x="101"/>
        <item x="142"/>
        <item x="9"/>
        <item x="20"/>
        <item x="40"/>
        <item x="95"/>
        <item x="135"/>
        <item x="121"/>
        <item x="80"/>
        <item x="49"/>
        <item x="51"/>
        <item x="12"/>
        <item x="16"/>
        <item x="56"/>
        <item x="106"/>
        <item x="129"/>
        <item x="100"/>
        <item x="71"/>
        <item x="11"/>
        <item x="109"/>
        <item x="37"/>
        <item x="145"/>
        <item x="63"/>
        <item x="29"/>
        <item x="134"/>
        <item x="107"/>
        <item x="139"/>
        <item x="64"/>
        <item x="70"/>
        <item x="78"/>
        <item x="87"/>
        <item x="31"/>
        <item x="77"/>
        <item t="default"/>
      </items>
    </pivotField>
    <pivotField dataField="1" numFmtId="47" showAll="0">
      <items count="147">
        <item x="42"/>
        <item x="81"/>
        <item x="143"/>
        <item x="64"/>
        <item x="67"/>
        <item x="54"/>
        <item x="61"/>
        <item x="99"/>
        <item x="8"/>
        <item x="124"/>
        <item x="45"/>
        <item x="131"/>
        <item x="118"/>
        <item x="66"/>
        <item x="130"/>
        <item x="122"/>
        <item x="20"/>
        <item x="37"/>
        <item x="113"/>
        <item x="85"/>
        <item x="79"/>
        <item x="93"/>
        <item x="91"/>
        <item x="127"/>
        <item x="43"/>
        <item x="50"/>
        <item x="44"/>
        <item x="106"/>
        <item x="76"/>
        <item x="123"/>
        <item x="70"/>
        <item x="14"/>
        <item x="6"/>
        <item x="87"/>
        <item x="145"/>
        <item x="139"/>
        <item x="26"/>
        <item x="27"/>
        <item x="58"/>
        <item x="135"/>
        <item x="68"/>
        <item x="100"/>
        <item x="59"/>
        <item x="1"/>
        <item x="126"/>
        <item x="116"/>
        <item x="36"/>
        <item x="16"/>
        <item x="74"/>
        <item x="15"/>
        <item x="129"/>
        <item x="84"/>
        <item x="82"/>
        <item x="89"/>
        <item x="62"/>
        <item x="90"/>
        <item x="41"/>
        <item x="125"/>
        <item x="23"/>
        <item x="108"/>
        <item x="137"/>
        <item x="121"/>
        <item x="51"/>
        <item x="21"/>
        <item x="119"/>
        <item x="83"/>
        <item x="7"/>
        <item x="98"/>
        <item x="52"/>
        <item x="10"/>
        <item x="56"/>
        <item x="33"/>
        <item x="97"/>
        <item x="105"/>
        <item x="78"/>
        <item x="101"/>
        <item x="112"/>
        <item x="120"/>
        <item x="88"/>
        <item x="72"/>
        <item x="80"/>
        <item x="49"/>
        <item x="22"/>
        <item x="96"/>
        <item x="140"/>
        <item x="31"/>
        <item x="109"/>
        <item x="25"/>
        <item x="103"/>
        <item x="35"/>
        <item x="69"/>
        <item x="128"/>
        <item x="86"/>
        <item x="17"/>
        <item x="30"/>
        <item x="3"/>
        <item x="132"/>
        <item x="29"/>
        <item x="48"/>
        <item x="110"/>
        <item x="77"/>
        <item x="32"/>
        <item x="73"/>
        <item x="111"/>
        <item x="75"/>
        <item x="136"/>
        <item x="104"/>
        <item x="46"/>
        <item x="24"/>
        <item x="38"/>
        <item x="94"/>
        <item x="34"/>
        <item x="39"/>
        <item x="133"/>
        <item x="11"/>
        <item x="0"/>
        <item x="134"/>
        <item x="55"/>
        <item x="18"/>
        <item x="57"/>
        <item x="95"/>
        <item x="92"/>
        <item x="60"/>
        <item x="144"/>
        <item x="141"/>
        <item x="115"/>
        <item x="2"/>
        <item x="138"/>
        <item x="114"/>
        <item x="5"/>
        <item x="4"/>
        <item x="53"/>
        <item x="142"/>
        <item x="13"/>
        <item x="65"/>
        <item x="63"/>
        <item x="107"/>
        <item x="28"/>
        <item x="47"/>
        <item x="71"/>
        <item x="9"/>
        <item x="19"/>
        <item x="12"/>
        <item x="40"/>
        <item x="102"/>
        <item x="117"/>
        <item t="default"/>
      </items>
    </pivotField>
    <pivotField showAll="0">
      <items count="8">
        <item x="3"/>
        <item x="6"/>
        <item x="2"/>
        <item x="4"/>
        <item x="0"/>
        <item x="5"/>
        <item x="1"/>
        <item t="default"/>
      </items>
    </pivotField>
    <pivotField showAll="0">
      <items count="11">
        <item x="7"/>
        <item x="6"/>
        <item x="5"/>
        <item x="3"/>
        <item x="4"/>
        <item x="9"/>
        <item x="8"/>
        <item x="2"/>
        <item x="1"/>
        <item x="0"/>
        <item t="default"/>
      </items>
    </pivotField>
    <pivotField showAll="0"/>
    <pivotField showAll="0">
      <items count="5">
        <item x="3"/>
        <item x="0"/>
        <item x="2"/>
        <item x="1"/>
        <item t="default"/>
      </items>
    </pivotField>
    <pivotField showAll="0" defaultSubtotal="0">
      <items count="62">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s>
    </pivotField>
    <pivotField showAll="0" defaultSubtotal="0">
      <items count="62">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s>
    </pivotField>
    <pivotField showAll="0" defaultSubtotal="0">
      <items count="26">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s>
    </pivotField>
    <pivotField showAll="0" defaultSubtotal="0">
      <items count="62">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s>
    </pivotField>
    <pivotField showAll="0" defaultSubtotal="0">
      <items count="62">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s>
    </pivotField>
    <pivotField showAll="0" defaultSubtotal="0">
      <items count="26">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s>
    </pivotField>
  </pivotFields>
  <rowItems count="1">
    <i/>
  </rowItems>
  <colFields count="1">
    <field x="-2"/>
  </colFields>
  <colItems count="2">
    <i>
      <x/>
    </i>
    <i i="1">
      <x v="1"/>
    </i>
  </colItems>
  <dataFields count="2">
    <dataField name="Average of submission_date" fld="1" subtotal="average" baseField="0" baseItem="1" numFmtId="2"/>
    <dataField name="Average of resolution_date" fld="2" subtotal="average" baseField="0" baseItem="1" numFmtId="2"/>
  </dataFields>
  <chartFormats count="10">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27" format="0" series="1">
      <pivotArea type="data" outline="0" fieldPosition="0">
        <references count="1">
          <reference field="4294967294" count="1" selected="0">
            <x v="0"/>
          </reference>
        </references>
      </pivotArea>
    </chartFormat>
    <chartFormat chart="27" format="1" series="1">
      <pivotArea type="data" outline="0" fieldPosition="0">
        <references count="1">
          <reference field="4294967294" count="1" selected="0">
            <x v="1"/>
          </reference>
        </references>
      </pivotArea>
    </chartFormat>
    <chartFormat chart="32" format="0" series="1">
      <pivotArea type="data" outline="0" fieldPosition="0">
        <references count="1">
          <reference field="4294967294" count="1" selected="0">
            <x v="0"/>
          </reference>
        </references>
      </pivotArea>
    </chartFormat>
    <chartFormat chart="32"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920BB65-6889-418C-B59B-6A09A847A60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assigned_analyst">
  <location ref="G2:H13" firstHeaderRow="1" firstDataRow="1" firstDataCol="1"/>
  <pivotFields count="13">
    <pivotField dataField="1"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numFmtId="47" showAll="0">
      <items count="149">
        <item x="54"/>
        <item x="127"/>
        <item x="111"/>
        <item x="114"/>
        <item x="119"/>
        <item x="44"/>
        <item x="133"/>
        <item x="28"/>
        <item x="18"/>
        <item x="144"/>
        <item x="123"/>
        <item x="143"/>
        <item x="89"/>
        <item x="60"/>
        <item x="34"/>
        <item x="93"/>
        <item x="55"/>
        <item x="132"/>
        <item x="120"/>
        <item x="13"/>
        <item x="83"/>
        <item x="32"/>
        <item x="65"/>
        <item x="86"/>
        <item x="122"/>
        <item x="147"/>
        <item x="48"/>
        <item x="99"/>
        <item x="136"/>
        <item x="98"/>
        <item x="118"/>
        <item x="96"/>
        <item x="30"/>
        <item x="81"/>
        <item x="73"/>
        <item x="105"/>
        <item x="67"/>
        <item x="85"/>
        <item x="103"/>
        <item x="61"/>
        <item x="112"/>
        <item x="10"/>
        <item x="38"/>
        <item x="141"/>
        <item x="88"/>
        <item x="52"/>
        <item x="66"/>
        <item x="140"/>
        <item x="146"/>
        <item x="50"/>
        <item x="125"/>
        <item x="137"/>
        <item x="97"/>
        <item x="126"/>
        <item x="84"/>
        <item x="47"/>
        <item x="108"/>
        <item x="91"/>
        <item x="41"/>
        <item x="26"/>
        <item x="19"/>
        <item x="92"/>
        <item x="23"/>
        <item x="124"/>
        <item x="1"/>
        <item x="27"/>
        <item x="115"/>
        <item x="57"/>
        <item x="22"/>
        <item x="130"/>
        <item x="110"/>
        <item x="39"/>
        <item x="128"/>
        <item x="69"/>
        <item x="75"/>
        <item x="2"/>
        <item x="5"/>
        <item x="14"/>
        <item x="33"/>
        <item x="15"/>
        <item x="72"/>
        <item x="21"/>
        <item x="102"/>
        <item x="0"/>
        <item x="90"/>
        <item x="43"/>
        <item x="24"/>
        <item x="59"/>
        <item x="6"/>
        <item x="131"/>
        <item x="138"/>
        <item x="113"/>
        <item x="62"/>
        <item x="116"/>
        <item x="8"/>
        <item x="53"/>
        <item x="45"/>
        <item x="17"/>
        <item x="117"/>
        <item x="42"/>
        <item x="76"/>
        <item x="25"/>
        <item x="58"/>
        <item x="46"/>
        <item x="7"/>
        <item x="79"/>
        <item x="104"/>
        <item x="4"/>
        <item x="36"/>
        <item x="68"/>
        <item x="94"/>
        <item x="3"/>
        <item x="35"/>
        <item x="74"/>
        <item x="82"/>
        <item x="101"/>
        <item x="142"/>
        <item x="9"/>
        <item x="20"/>
        <item x="40"/>
        <item x="95"/>
        <item x="135"/>
        <item x="121"/>
        <item x="80"/>
        <item x="49"/>
        <item x="51"/>
        <item x="12"/>
        <item x="16"/>
        <item x="56"/>
        <item x="106"/>
        <item x="129"/>
        <item x="100"/>
        <item x="71"/>
        <item x="11"/>
        <item x="109"/>
        <item x="37"/>
        <item x="145"/>
        <item x="63"/>
        <item x="29"/>
        <item x="134"/>
        <item x="107"/>
        <item x="139"/>
        <item x="64"/>
        <item x="70"/>
        <item x="78"/>
        <item x="87"/>
        <item x="31"/>
        <item x="77"/>
        <item t="default"/>
      </items>
    </pivotField>
    <pivotField numFmtId="47" showAll="0">
      <items count="147">
        <item x="42"/>
        <item x="81"/>
        <item x="143"/>
        <item x="64"/>
        <item x="67"/>
        <item x="54"/>
        <item x="61"/>
        <item x="99"/>
        <item x="8"/>
        <item x="124"/>
        <item x="45"/>
        <item x="131"/>
        <item x="118"/>
        <item x="66"/>
        <item x="130"/>
        <item x="122"/>
        <item x="20"/>
        <item x="37"/>
        <item x="113"/>
        <item x="85"/>
        <item x="79"/>
        <item x="93"/>
        <item x="91"/>
        <item x="127"/>
        <item x="43"/>
        <item x="50"/>
        <item x="44"/>
        <item x="106"/>
        <item x="76"/>
        <item x="123"/>
        <item x="70"/>
        <item x="14"/>
        <item x="6"/>
        <item x="87"/>
        <item x="145"/>
        <item x="139"/>
        <item x="26"/>
        <item x="27"/>
        <item x="58"/>
        <item x="135"/>
        <item x="68"/>
        <item x="100"/>
        <item x="59"/>
        <item x="1"/>
        <item x="126"/>
        <item x="116"/>
        <item x="36"/>
        <item x="16"/>
        <item x="74"/>
        <item x="15"/>
        <item x="129"/>
        <item x="84"/>
        <item x="82"/>
        <item x="89"/>
        <item x="62"/>
        <item x="90"/>
        <item x="41"/>
        <item x="125"/>
        <item x="23"/>
        <item x="108"/>
        <item x="137"/>
        <item x="121"/>
        <item x="51"/>
        <item x="21"/>
        <item x="119"/>
        <item x="83"/>
        <item x="7"/>
        <item x="98"/>
        <item x="52"/>
        <item x="10"/>
        <item x="56"/>
        <item x="33"/>
        <item x="97"/>
        <item x="105"/>
        <item x="78"/>
        <item x="101"/>
        <item x="112"/>
        <item x="120"/>
        <item x="88"/>
        <item x="72"/>
        <item x="80"/>
        <item x="49"/>
        <item x="22"/>
        <item x="96"/>
        <item x="140"/>
        <item x="31"/>
        <item x="109"/>
        <item x="25"/>
        <item x="103"/>
        <item x="35"/>
        <item x="69"/>
        <item x="128"/>
        <item x="86"/>
        <item x="17"/>
        <item x="30"/>
        <item x="3"/>
        <item x="132"/>
        <item x="29"/>
        <item x="48"/>
        <item x="110"/>
        <item x="77"/>
        <item x="32"/>
        <item x="73"/>
        <item x="111"/>
        <item x="75"/>
        <item x="136"/>
        <item x="104"/>
        <item x="46"/>
        <item x="24"/>
        <item x="38"/>
        <item x="94"/>
        <item x="34"/>
        <item x="39"/>
        <item x="133"/>
        <item x="11"/>
        <item x="0"/>
        <item x="134"/>
        <item x="55"/>
        <item x="18"/>
        <item x="57"/>
        <item x="95"/>
        <item x="92"/>
        <item x="60"/>
        <item x="144"/>
        <item x="141"/>
        <item x="115"/>
        <item x="2"/>
        <item x="138"/>
        <item x="114"/>
        <item x="5"/>
        <item x="4"/>
        <item x="53"/>
        <item x="142"/>
        <item x="13"/>
        <item x="65"/>
        <item x="63"/>
        <item x="107"/>
        <item x="28"/>
        <item x="47"/>
        <item x="71"/>
        <item x="9"/>
        <item x="19"/>
        <item x="12"/>
        <item x="40"/>
        <item x="102"/>
        <item x="117"/>
        <item t="default"/>
      </items>
    </pivotField>
    <pivotField showAll="0">
      <items count="8">
        <item x="3"/>
        <item x="6"/>
        <item x="2"/>
        <item x="4"/>
        <item x="0"/>
        <item x="5"/>
        <item x="1"/>
        <item t="default"/>
      </items>
    </pivotField>
    <pivotField axis="axisRow" showAll="0">
      <items count="11">
        <item x="7"/>
        <item x="6"/>
        <item x="5"/>
        <item x="3"/>
        <item x="4"/>
        <item x="9"/>
        <item x="8"/>
        <item x="2"/>
        <item x="1"/>
        <item x="0"/>
        <item t="default"/>
      </items>
    </pivotField>
    <pivotField showAll="0"/>
    <pivotField showAll="0">
      <items count="5">
        <item x="3"/>
        <item x="0"/>
        <item x="2"/>
        <item x="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4"/>
  </rowFields>
  <rowItems count="11">
    <i>
      <x/>
    </i>
    <i>
      <x v="1"/>
    </i>
    <i>
      <x v="2"/>
    </i>
    <i>
      <x v="3"/>
    </i>
    <i>
      <x v="4"/>
    </i>
    <i>
      <x v="5"/>
    </i>
    <i>
      <x v="6"/>
    </i>
    <i>
      <x v="7"/>
    </i>
    <i>
      <x v="8"/>
    </i>
    <i>
      <x v="9"/>
    </i>
    <i t="grand">
      <x/>
    </i>
  </rowItems>
  <colItems count="1">
    <i/>
  </colItems>
  <dataFields count="1">
    <dataField name="Count of ticket_id" fld="0" subtotal="count" baseField="0" baseItem="0"/>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C76DC31-A3EA-43D6-9076-BDBFB93D8BDD}" sourceName="category">
  <pivotTables>
    <pivotTable tabId="2" name="PivotTable1"/>
    <pivotTable tabId="2" name="PivotTable2"/>
    <pivotTable tabId="2" name="PivotTable3"/>
    <pivotTable tabId="2" name="PivotTable5"/>
  </pivotTables>
  <data>
    <tabular pivotCacheId="1376085947">
      <items count="7">
        <i x="3" s="1"/>
        <i x="6" s="1"/>
        <i x="2" s="1"/>
        <i x="4" s="1"/>
        <i x="0" s="1"/>
        <i x="5"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ssigned_analyst" xr10:uid="{1CD07B5D-CA77-4732-84DB-826F193BDFD7}" sourceName="assigned_analyst">
  <pivotTables>
    <pivotTable tabId="2" name="PivotTable1"/>
    <pivotTable tabId="2" name="PivotTable2"/>
    <pivotTable tabId="2" name="PivotTable3"/>
    <pivotTable tabId="2" name="PivotTable5"/>
  </pivotTables>
  <data>
    <tabular pivotCacheId="1376085947">
      <items count="10">
        <i x="7" s="1"/>
        <i x="6" s="1"/>
        <i x="5" s="1"/>
        <i x="3" s="1"/>
        <i x="4" s="1"/>
        <i x="9" s="1"/>
        <i x="8" s="1"/>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ority" xr10:uid="{56F18226-720E-4557-A483-916967BE9A21}" sourceName="priority">
  <pivotTables>
    <pivotTable tabId="2" name="PivotTable1"/>
    <pivotTable tabId="2" name="PivotTable2"/>
    <pivotTable tabId="2" name="PivotTable3"/>
    <pivotTable tabId="2" name="PivotTable5"/>
  </pivotTables>
  <data>
    <tabular pivotCacheId="1376085947">
      <items count="4">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55D5A5D-108E-45B2-9FD6-944FCE67BFE0}" cache="Slicer_category" caption="category" rowHeight="247650"/>
  <slicer name="assigned_analyst" xr10:uid="{6552A1C5-EDE9-4EDB-9E29-A58E0E10901B}" cache="Slicer_assigned_analyst" caption="assigned_analyst" rowHeight="247650"/>
  <slicer name="priority" xr10:uid="{FBBADFE5-EA59-4407-AFCD-FCA92E2024E9}" cache="Slicer_priority" caption="priority"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8D2E0D05-ED2F-47E1-8283-8EA899FFD84D}" cache="Slicer_category" caption="category" rowHeight="247650"/>
  <slicer name="assigned_analyst 1" xr10:uid="{BA3C6352-9F10-4227-B56A-1FB887EB9DFF}" cache="Slicer_assigned_analyst" caption="assigned_analyst" rowHeight="247650"/>
  <slicer name="priority 1" xr10:uid="{13C31F4A-C402-42C1-84C9-409049BF3296}" cache="Slicer_priority" caption="priority"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microsoft.com/office/2007/relationships/slicer" Target="../slicers/slicer1.xml"/><Relationship Id="rId5" Type="http://schemas.openxmlformats.org/officeDocument/2006/relationships/drawing" Target="../drawings/drawing2.xml"/><Relationship Id="rId4"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3CF5F-B8F3-4551-8731-1CE837805380}">
  <dimension ref="A1:J151"/>
  <sheetViews>
    <sheetView tabSelected="1" workbookViewId="0">
      <selection activeCell="J1" sqref="J1"/>
    </sheetView>
  </sheetViews>
  <sheetFormatPr defaultRowHeight="14.4" x14ac:dyDescent="0.3"/>
  <cols>
    <col min="1" max="1" width="12.109375" customWidth="1"/>
    <col min="2" max="2" width="14.77734375" customWidth="1"/>
    <col min="3" max="3" width="14.6640625" customWidth="1"/>
    <col min="5" max="5" width="11.6640625" customWidth="1"/>
    <col min="6" max="6" width="38.5546875" customWidth="1"/>
    <col min="8" max="8" width="13.77734375" bestFit="1" customWidth="1"/>
    <col min="9" max="9" width="10.88671875" customWidth="1"/>
  </cols>
  <sheetData>
    <row r="1" spans="1:10" x14ac:dyDescent="0.3">
      <c r="A1" s="3" t="s">
        <v>0</v>
      </c>
      <c r="B1" s="3" t="s">
        <v>1</v>
      </c>
      <c r="C1" s="3" t="s">
        <v>2</v>
      </c>
      <c r="D1" s="3" t="s">
        <v>3</v>
      </c>
      <c r="E1" s="3" t="s">
        <v>4</v>
      </c>
      <c r="F1" s="3" t="s">
        <v>5</v>
      </c>
      <c r="G1" s="3" t="s">
        <v>6</v>
      </c>
      <c r="H1" s="7" t="s">
        <v>333</v>
      </c>
      <c r="I1" s="11" t="s">
        <v>334</v>
      </c>
      <c r="J1" s="11" t="s">
        <v>335</v>
      </c>
    </row>
    <row r="2" spans="1:10" x14ac:dyDescent="0.3">
      <c r="A2" t="s">
        <v>7</v>
      </c>
      <c r="B2" s="1">
        <v>2.5185185185185185E-2</v>
      </c>
      <c r="C2" s="1">
        <v>3.2414351851851854E-2</v>
      </c>
      <c r="D2" t="s">
        <v>8</v>
      </c>
      <c r="E2" t="s">
        <v>9</v>
      </c>
      <c r="F2" t="s">
        <v>10</v>
      </c>
      <c r="G2" t="s">
        <v>11</v>
      </c>
      <c r="H2" s="8">
        <f>(C2 - B2)</f>
        <v>7.2291666666666685E-3</v>
      </c>
      <c r="I2" t="str">
        <f>TEXT(B2, "dddd")</f>
        <v>Saturday</v>
      </c>
      <c r="J2" t="str">
        <f>TEXT(B2, "mmmm")</f>
        <v>January</v>
      </c>
    </row>
    <row r="3" spans="1:10" x14ac:dyDescent="0.3">
      <c r="A3" t="s">
        <v>12</v>
      </c>
      <c r="B3" s="1">
        <v>1.9432870370370371E-2</v>
      </c>
      <c r="C3" s="1">
        <v>1.2565972222222223E-2</v>
      </c>
      <c r="D3" t="s">
        <v>13</v>
      </c>
      <c r="E3" t="s">
        <v>14</v>
      </c>
      <c r="F3" t="s">
        <v>15</v>
      </c>
      <c r="G3" t="s">
        <v>16</v>
      </c>
      <c r="H3" s="8">
        <f>B3-C3</f>
        <v>6.866898148148148E-3</v>
      </c>
      <c r="I3" t="str">
        <f t="shared" ref="I3:I66" si="0">TEXT(B3, "dddd")</f>
        <v>Saturday</v>
      </c>
      <c r="J3" t="str">
        <f t="shared" ref="J3:J66" si="1">TEXT(B3, "mmmm")</f>
        <v>January</v>
      </c>
    </row>
    <row r="4" spans="1:10" x14ac:dyDescent="0.3">
      <c r="A4" t="s">
        <v>17</v>
      </c>
      <c r="B4" s="1">
        <v>2.2251157407407407E-2</v>
      </c>
      <c r="C4" s="1">
        <v>3.5144675925925926E-2</v>
      </c>
      <c r="D4" t="s">
        <v>8</v>
      </c>
      <c r="E4" t="s">
        <v>18</v>
      </c>
      <c r="F4" t="s">
        <v>19</v>
      </c>
      <c r="G4" t="s">
        <v>16</v>
      </c>
      <c r="H4" s="8">
        <f t="shared" ref="H4:H62" si="2">(C4 - B4)</f>
        <v>1.2893518518518519E-2</v>
      </c>
      <c r="I4" t="str">
        <f t="shared" si="0"/>
        <v>Saturday</v>
      </c>
      <c r="J4" t="str">
        <f t="shared" si="1"/>
        <v>January</v>
      </c>
    </row>
    <row r="5" spans="1:10" x14ac:dyDescent="0.3">
      <c r="A5" t="s">
        <v>20</v>
      </c>
      <c r="B5" s="1">
        <v>3.3032407407407406E-2</v>
      </c>
      <c r="C5" s="1">
        <v>2.6612268518518521E-2</v>
      </c>
      <c r="D5" t="s">
        <v>21</v>
      </c>
      <c r="E5" t="s">
        <v>22</v>
      </c>
      <c r="F5" t="s">
        <v>23</v>
      </c>
      <c r="G5" t="s">
        <v>11</v>
      </c>
      <c r="H5" s="8">
        <f>B5-C5</f>
        <v>6.420138888888885E-3</v>
      </c>
      <c r="I5" t="str">
        <f t="shared" si="0"/>
        <v>Saturday</v>
      </c>
      <c r="J5" t="str">
        <f t="shared" si="1"/>
        <v>January</v>
      </c>
    </row>
    <row r="6" spans="1:10" x14ac:dyDescent="0.3">
      <c r="A6" t="s">
        <v>24</v>
      </c>
      <c r="B6" s="1">
        <v>3.2043981481481479E-2</v>
      </c>
      <c r="C6" s="1">
        <v>3.6888888888888888E-2</v>
      </c>
      <c r="D6" t="s">
        <v>13</v>
      </c>
      <c r="E6" t="s">
        <v>25</v>
      </c>
      <c r="F6" t="s">
        <v>26</v>
      </c>
      <c r="G6" t="s">
        <v>11</v>
      </c>
      <c r="H6" s="8">
        <f t="shared" si="2"/>
        <v>4.8449074074074089E-3</v>
      </c>
      <c r="I6" t="str">
        <f t="shared" si="0"/>
        <v>Saturday</v>
      </c>
      <c r="J6" t="str">
        <f t="shared" si="1"/>
        <v>January</v>
      </c>
    </row>
    <row r="7" spans="1:10" x14ac:dyDescent="0.3">
      <c r="A7" t="s">
        <v>27</v>
      </c>
      <c r="B7" s="1">
        <v>2.2688657407407407E-2</v>
      </c>
      <c r="C7" s="1">
        <v>3.6592592592592593E-2</v>
      </c>
      <c r="D7" t="s">
        <v>13</v>
      </c>
      <c r="E7" t="s">
        <v>18</v>
      </c>
      <c r="F7" t="s">
        <v>28</v>
      </c>
      <c r="G7" t="s">
        <v>29</v>
      </c>
      <c r="H7" s="8">
        <f t="shared" si="2"/>
        <v>1.3903935185185186E-2</v>
      </c>
      <c r="I7" t="str">
        <f t="shared" si="0"/>
        <v>Saturday</v>
      </c>
      <c r="J7" t="str">
        <f t="shared" si="1"/>
        <v>January</v>
      </c>
    </row>
    <row r="8" spans="1:10" x14ac:dyDescent="0.3">
      <c r="A8" t="s">
        <v>30</v>
      </c>
      <c r="B8" s="1">
        <v>2.6570601851851849E-2</v>
      </c>
      <c r="C8" s="1">
        <v>8.2118055555555555E-3</v>
      </c>
      <c r="D8" t="s">
        <v>31</v>
      </c>
      <c r="E8" t="s">
        <v>32</v>
      </c>
      <c r="F8" t="s">
        <v>33</v>
      </c>
      <c r="G8" t="s">
        <v>29</v>
      </c>
      <c r="H8" s="8">
        <f t="shared" ref="H8:H10" si="3">B8-C8</f>
        <v>1.8358796296296293E-2</v>
      </c>
      <c r="I8" t="str">
        <f t="shared" si="0"/>
        <v>Saturday</v>
      </c>
      <c r="J8" t="str">
        <f t="shared" si="1"/>
        <v>January</v>
      </c>
    </row>
    <row r="9" spans="1:10" x14ac:dyDescent="0.3">
      <c r="A9" t="s">
        <v>34</v>
      </c>
      <c r="B9" s="1">
        <v>3.0185185185185186E-2</v>
      </c>
      <c r="C9" s="1">
        <v>1.8281249999999999E-2</v>
      </c>
      <c r="D9" t="s">
        <v>13</v>
      </c>
      <c r="E9" t="s">
        <v>35</v>
      </c>
      <c r="F9" t="s">
        <v>36</v>
      </c>
      <c r="G9" t="s">
        <v>29</v>
      </c>
      <c r="H9" s="8">
        <f t="shared" si="3"/>
        <v>1.1903935185185188E-2</v>
      </c>
      <c r="I9" t="str">
        <f t="shared" si="0"/>
        <v>Saturday</v>
      </c>
      <c r="J9" t="str">
        <f t="shared" si="1"/>
        <v>January</v>
      </c>
    </row>
    <row r="10" spans="1:10" x14ac:dyDescent="0.3">
      <c r="A10" t="s">
        <v>37</v>
      </c>
      <c r="B10" s="1">
        <v>2.862962962962963E-2</v>
      </c>
      <c r="C10" s="1">
        <v>3.1030092592592593E-3</v>
      </c>
      <c r="D10" t="s">
        <v>21</v>
      </c>
      <c r="E10" t="s">
        <v>35</v>
      </c>
      <c r="F10" t="s">
        <v>38</v>
      </c>
      <c r="G10" t="s">
        <v>16</v>
      </c>
      <c r="H10" s="8">
        <f t="shared" si="3"/>
        <v>2.552662037037037E-2</v>
      </c>
      <c r="I10" t="str">
        <f t="shared" si="0"/>
        <v>Saturday</v>
      </c>
      <c r="J10" t="str">
        <f t="shared" si="1"/>
        <v>January</v>
      </c>
    </row>
    <row r="11" spans="1:10" x14ac:dyDescent="0.3">
      <c r="A11" t="s">
        <v>39</v>
      </c>
      <c r="B11" s="1">
        <v>3.4407407407407407E-2</v>
      </c>
      <c r="C11" s="1">
        <v>4.0707175925925924E-2</v>
      </c>
      <c r="D11" t="s">
        <v>13</v>
      </c>
      <c r="E11" t="s">
        <v>18</v>
      </c>
      <c r="F11" t="s">
        <v>40</v>
      </c>
      <c r="G11" t="s">
        <v>16</v>
      </c>
      <c r="H11" s="8">
        <f t="shared" si="2"/>
        <v>6.299768518518517E-3</v>
      </c>
      <c r="I11" t="str">
        <f t="shared" si="0"/>
        <v>Saturday</v>
      </c>
      <c r="J11" t="str">
        <f t="shared" si="1"/>
        <v>January</v>
      </c>
    </row>
    <row r="12" spans="1:10" x14ac:dyDescent="0.3">
      <c r="A12" t="s">
        <v>41</v>
      </c>
      <c r="B12" s="1">
        <v>1.3909722222222221E-2</v>
      </c>
      <c r="C12" s="1">
        <v>1.9807870370370372E-2</v>
      </c>
      <c r="D12" t="s">
        <v>13</v>
      </c>
      <c r="E12" t="s">
        <v>42</v>
      </c>
      <c r="F12" t="s">
        <v>43</v>
      </c>
      <c r="G12" t="s">
        <v>29</v>
      </c>
      <c r="H12" s="8">
        <f t="shared" si="2"/>
        <v>5.8981481481481506E-3</v>
      </c>
      <c r="I12" t="str">
        <f t="shared" si="0"/>
        <v>Saturday</v>
      </c>
      <c r="J12" t="str">
        <f t="shared" si="1"/>
        <v>January</v>
      </c>
    </row>
    <row r="13" spans="1:10" x14ac:dyDescent="0.3">
      <c r="A13" t="s">
        <v>44</v>
      </c>
      <c r="B13" s="1">
        <v>3.910532407407407E-2</v>
      </c>
      <c r="C13" s="1">
        <v>3.2322916666666666E-2</v>
      </c>
      <c r="D13" t="s">
        <v>45</v>
      </c>
      <c r="E13" t="s">
        <v>46</v>
      </c>
      <c r="F13" t="s">
        <v>47</v>
      </c>
      <c r="G13" t="s">
        <v>11</v>
      </c>
      <c r="H13" s="8">
        <f>B13-C13</f>
        <v>6.7824074074074037E-3</v>
      </c>
      <c r="I13" t="str">
        <f t="shared" si="0"/>
        <v>Saturday</v>
      </c>
      <c r="J13" t="str">
        <f t="shared" si="1"/>
        <v>January</v>
      </c>
    </row>
    <row r="14" spans="1:10" x14ac:dyDescent="0.3">
      <c r="A14" t="s">
        <v>48</v>
      </c>
      <c r="B14" s="1">
        <v>3.5961805555555552E-2</v>
      </c>
      <c r="C14" s="1">
        <v>4.0754629629629627E-2</v>
      </c>
      <c r="D14" t="s">
        <v>45</v>
      </c>
      <c r="E14" t="s">
        <v>9</v>
      </c>
      <c r="F14" t="s">
        <v>49</v>
      </c>
      <c r="G14" t="s">
        <v>16</v>
      </c>
      <c r="H14" s="8">
        <f t="shared" si="2"/>
        <v>4.7928240740740743E-3</v>
      </c>
      <c r="I14" t="str">
        <f t="shared" si="0"/>
        <v>Saturday</v>
      </c>
      <c r="J14" t="str">
        <f t="shared" si="1"/>
        <v>January</v>
      </c>
    </row>
    <row r="15" spans="1:10" x14ac:dyDescent="0.3">
      <c r="A15" t="s">
        <v>50</v>
      </c>
      <c r="B15" s="1">
        <v>6.1759259259259259E-3</v>
      </c>
      <c r="C15" s="1">
        <v>3.8006944444444447E-2</v>
      </c>
      <c r="D15" t="s">
        <v>13</v>
      </c>
      <c r="E15" t="s">
        <v>35</v>
      </c>
      <c r="F15" t="s">
        <v>51</v>
      </c>
      <c r="G15" t="s">
        <v>29</v>
      </c>
      <c r="H15" s="8">
        <f t="shared" si="2"/>
        <v>3.1831018518518522E-2</v>
      </c>
      <c r="I15" t="str">
        <f t="shared" si="0"/>
        <v>Saturday</v>
      </c>
      <c r="J15" t="str">
        <f t="shared" si="1"/>
        <v>January</v>
      </c>
    </row>
    <row r="16" spans="1:10" x14ac:dyDescent="0.3">
      <c r="A16" t="s">
        <v>52</v>
      </c>
      <c r="B16" s="1">
        <v>2.2894675925925926E-2</v>
      </c>
      <c r="C16" s="1">
        <v>8.0069444444444433E-3</v>
      </c>
      <c r="D16" t="s">
        <v>13</v>
      </c>
      <c r="E16" t="s">
        <v>14</v>
      </c>
      <c r="F16" t="s">
        <v>53</v>
      </c>
      <c r="G16" t="s">
        <v>11</v>
      </c>
      <c r="H16" s="8">
        <f t="shared" ref="H16:H19" si="4">B16-C16</f>
        <v>1.4887731481481483E-2</v>
      </c>
      <c r="I16" t="str">
        <f t="shared" si="0"/>
        <v>Saturday</v>
      </c>
      <c r="J16" t="str">
        <f t="shared" si="1"/>
        <v>January</v>
      </c>
    </row>
    <row r="17" spans="1:10" x14ac:dyDescent="0.3">
      <c r="A17" t="s">
        <v>54</v>
      </c>
      <c r="B17" s="1">
        <v>2.3736111111111114E-2</v>
      </c>
      <c r="C17" s="1">
        <v>1.390625E-2</v>
      </c>
      <c r="D17" t="s">
        <v>13</v>
      </c>
      <c r="E17" t="s">
        <v>55</v>
      </c>
      <c r="F17" t="s">
        <v>56</v>
      </c>
      <c r="G17" t="s">
        <v>11</v>
      </c>
      <c r="H17" s="8">
        <f t="shared" si="4"/>
        <v>9.8298611111111139E-3</v>
      </c>
      <c r="I17" t="str">
        <f t="shared" si="0"/>
        <v>Saturday</v>
      </c>
      <c r="J17" t="str">
        <f t="shared" si="1"/>
        <v>January</v>
      </c>
    </row>
    <row r="18" spans="1:10" x14ac:dyDescent="0.3">
      <c r="A18" t="s">
        <v>57</v>
      </c>
      <c r="B18" s="1">
        <v>3.6171296296296292E-2</v>
      </c>
      <c r="C18" s="1">
        <v>1.311226851851852E-2</v>
      </c>
      <c r="D18" t="s">
        <v>13</v>
      </c>
      <c r="E18" t="s">
        <v>35</v>
      </c>
      <c r="F18" t="s">
        <v>58</v>
      </c>
      <c r="G18" t="s">
        <v>29</v>
      </c>
      <c r="H18" s="8">
        <f t="shared" si="4"/>
        <v>2.3059027777777772E-2</v>
      </c>
      <c r="I18" t="str">
        <f t="shared" si="0"/>
        <v>Saturday</v>
      </c>
      <c r="J18" t="str">
        <f t="shared" si="1"/>
        <v>January</v>
      </c>
    </row>
    <row r="19" spans="1:10" x14ac:dyDescent="0.3">
      <c r="A19" t="s">
        <v>59</v>
      </c>
      <c r="B19" s="1">
        <v>2.932523148148148E-2</v>
      </c>
      <c r="C19" s="1">
        <v>2.5908564814814815E-2</v>
      </c>
      <c r="D19" t="s">
        <v>60</v>
      </c>
      <c r="E19" t="s">
        <v>9</v>
      </c>
      <c r="F19" t="s">
        <v>61</v>
      </c>
      <c r="G19" t="s">
        <v>29</v>
      </c>
      <c r="H19" s="8">
        <f t="shared" si="4"/>
        <v>3.4166666666666651E-3</v>
      </c>
      <c r="I19" t="str">
        <f t="shared" si="0"/>
        <v>Saturday</v>
      </c>
      <c r="J19" t="str">
        <f t="shared" si="1"/>
        <v>January</v>
      </c>
    </row>
    <row r="20" spans="1:10" x14ac:dyDescent="0.3">
      <c r="A20" t="s">
        <v>62</v>
      </c>
      <c r="B20" s="1">
        <v>2.1342592592592594E-3</v>
      </c>
      <c r="C20" s="1">
        <v>3.3623842592592594E-2</v>
      </c>
      <c r="D20" t="s">
        <v>45</v>
      </c>
      <c r="E20" t="s">
        <v>22</v>
      </c>
      <c r="F20" t="s">
        <v>63</v>
      </c>
      <c r="G20" t="s">
        <v>29</v>
      </c>
      <c r="H20" s="8">
        <f t="shared" si="2"/>
        <v>3.1489583333333335E-2</v>
      </c>
      <c r="I20" t="str">
        <f t="shared" si="0"/>
        <v>Saturday</v>
      </c>
      <c r="J20" t="str">
        <f t="shared" si="1"/>
        <v>January</v>
      </c>
    </row>
    <row r="21" spans="1:10" x14ac:dyDescent="0.3">
      <c r="A21" t="s">
        <v>64</v>
      </c>
      <c r="B21" s="1">
        <v>1.8924768518518518E-2</v>
      </c>
      <c r="C21" s="1">
        <v>4.0724537037037038E-2</v>
      </c>
      <c r="D21" t="s">
        <v>21</v>
      </c>
      <c r="E21" t="s">
        <v>22</v>
      </c>
      <c r="F21" t="s">
        <v>65</v>
      </c>
      <c r="G21" t="s">
        <v>16</v>
      </c>
      <c r="H21" s="8">
        <f t="shared" si="2"/>
        <v>2.179976851851852E-2</v>
      </c>
      <c r="I21" t="str">
        <f t="shared" si="0"/>
        <v>Saturday</v>
      </c>
      <c r="J21" t="str">
        <f t="shared" si="1"/>
        <v>January</v>
      </c>
    </row>
    <row r="22" spans="1:10" x14ac:dyDescent="0.3">
      <c r="A22" t="s">
        <v>66</v>
      </c>
      <c r="B22" s="1">
        <v>3.4462962962962959E-2</v>
      </c>
      <c r="C22" s="1">
        <v>4.6319444444444446E-3</v>
      </c>
      <c r="D22" t="s">
        <v>13</v>
      </c>
      <c r="E22" t="s">
        <v>14</v>
      </c>
      <c r="F22" t="s">
        <v>67</v>
      </c>
      <c r="G22" t="s">
        <v>16</v>
      </c>
      <c r="H22" s="8">
        <f t="shared" ref="H22:H23" si="5">B22-C22</f>
        <v>2.9831018518518514E-2</v>
      </c>
      <c r="I22" t="str">
        <f t="shared" si="0"/>
        <v>Saturday</v>
      </c>
      <c r="J22" t="str">
        <f t="shared" si="1"/>
        <v>January</v>
      </c>
    </row>
    <row r="23" spans="1:10" x14ac:dyDescent="0.3">
      <c r="A23" t="s">
        <v>68</v>
      </c>
      <c r="B23" s="1">
        <v>2.4268518518518519E-2</v>
      </c>
      <c r="C23" s="1">
        <v>1.750462962962963E-2</v>
      </c>
      <c r="D23" t="s">
        <v>13</v>
      </c>
      <c r="E23" t="s">
        <v>9</v>
      </c>
      <c r="F23" t="s">
        <v>69</v>
      </c>
      <c r="G23" t="s">
        <v>16</v>
      </c>
      <c r="H23" s="8">
        <f t="shared" si="5"/>
        <v>6.7638888888888887E-3</v>
      </c>
      <c r="I23" t="str">
        <f t="shared" si="0"/>
        <v>Saturday</v>
      </c>
      <c r="J23" t="str">
        <f t="shared" si="1"/>
        <v>January</v>
      </c>
    </row>
    <row r="24" spans="1:10" x14ac:dyDescent="0.3">
      <c r="A24" t="s">
        <v>70</v>
      </c>
      <c r="B24" s="1">
        <v>2.0666666666666667E-2</v>
      </c>
      <c r="C24" s="1">
        <v>2.3776620370370372E-2</v>
      </c>
      <c r="D24" t="s">
        <v>13</v>
      </c>
      <c r="E24" t="s">
        <v>42</v>
      </c>
      <c r="F24" t="s">
        <v>71</v>
      </c>
      <c r="G24" t="s">
        <v>16</v>
      </c>
      <c r="H24" s="8">
        <f t="shared" si="2"/>
        <v>3.1099537037037051E-3</v>
      </c>
      <c r="I24" t="str">
        <f t="shared" si="0"/>
        <v>Saturday</v>
      </c>
      <c r="J24" t="str">
        <f t="shared" si="1"/>
        <v>January</v>
      </c>
    </row>
    <row r="25" spans="1:10" x14ac:dyDescent="0.3">
      <c r="A25" t="s">
        <v>72</v>
      </c>
      <c r="B25" s="1">
        <v>1.9359953703703706E-2</v>
      </c>
      <c r="C25" s="1">
        <v>1.6489583333333335E-2</v>
      </c>
      <c r="D25" t="s">
        <v>13</v>
      </c>
      <c r="E25" t="s">
        <v>25</v>
      </c>
      <c r="F25" t="s">
        <v>73</v>
      </c>
      <c r="G25" t="s">
        <v>16</v>
      </c>
      <c r="H25" s="8">
        <f>B25-C25</f>
        <v>2.8703703703703703E-3</v>
      </c>
      <c r="I25" t="str">
        <f t="shared" si="0"/>
        <v>Saturday</v>
      </c>
      <c r="J25" t="str">
        <f t="shared" si="1"/>
        <v>January</v>
      </c>
    </row>
    <row r="26" spans="1:10" x14ac:dyDescent="0.3">
      <c r="A26" t="s">
        <v>74</v>
      </c>
      <c r="B26" s="1">
        <v>2.6124999999999999E-2</v>
      </c>
      <c r="C26" s="1">
        <v>2.9572916666666664E-2</v>
      </c>
      <c r="D26" t="s">
        <v>45</v>
      </c>
      <c r="E26" t="s">
        <v>22</v>
      </c>
      <c r="F26" t="s">
        <v>75</v>
      </c>
      <c r="G26" t="s">
        <v>29</v>
      </c>
      <c r="H26" s="8">
        <f t="shared" si="2"/>
        <v>3.4479166666666651E-3</v>
      </c>
      <c r="I26" t="str">
        <f t="shared" si="0"/>
        <v>Saturday</v>
      </c>
      <c r="J26" t="str">
        <f t="shared" si="1"/>
        <v>January</v>
      </c>
    </row>
    <row r="27" spans="1:10" x14ac:dyDescent="0.3">
      <c r="A27" t="s">
        <v>76</v>
      </c>
      <c r="B27" s="1">
        <v>2.9743055555555557E-2</v>
      </c>
      <c r="C27" s="1">
        <v>2.498726851851852E-2</v>
      </c>
      <c r="D27" t="s">
        <v>13</v>
      </c>
      <c r="E27" t="s">
        <v>14</v>
      </c>
      <c r="F27" t="s">
        <v>77</v>
      </c>
      <c r="G27" t="s">
        <v>16</v>
      </c>
      <c r="H27" s="8">
        <f t="shared" ref="H27:H29" si="6">B27-C27</f>
        <v>4.7557870370370375E-3</v>
      </c>
      <c r="I27" t="str">
        <f t="shared" si="0"/>
        <v>Saturday</v>
      </c>
      <c r="J27" t="str">
        <f t="shared" si="1"/>
        <v>January</v>
      </c>
    </row>
    <row r="28" spans="1:10" x14ac:dyDescent="0.3">
      <c r="A28" t="s">
        <v>78</v>
      </c>
      <c r="B28" s="1">
        <v>1.8649305555555554E-2</v>
      </c>
      <c r="C28" s="1">
        <v>1.0324074074074074E-2</v>
      </c>
      <c r="D28" t="s">
        <v>45</v>
      </c>
      <c r="E28" t="s">
        <v>25</v>
      </c>
      <c r="F28" t="s">
        <v>79</v>
      </c>
      <c r="G28" t="s">
        <v>11</v>
      </c>
      <c r="H28" s="8">
        <f t="shared" si="6"/>
        <v>8.3252314814814803E-3</v>
      </c>
      <c r="I28" t="str">
        <f t="shared" si="0"/>
        <v>Saturday</v>
      </c>
      <c r="J28" t="str">
        <f t="shared" si="1"/>
        <v>January</v>
      </c>
    </row>
    <row r="29" spans="1:10" x14ac:dyDescent="0.3">
      <c r="A29" t="s">
        <v>80</v>
      </c>
      <c r="B29" s="1">
        <v>2.020138888888889E-2</v>
      </c>
      <c r="C29" s="1">
        <v>1.0577546296296297E-2</v>
      </c>
      <c r="D29" t="s">
        <v>81</v>
      </c>
      <c r="E29" t="s">
        <v>14</v>
      </c>
      <c r="F29" t="s">
        <v>82</v>
      </c>
      <c r="G29" t="s">
        <v>16</v>
      </c>
      <c r="H29" s="8">
        <f t="shared" si="6"/>
        <v>9.6238425925925936E-3</v>
      </c>
      <c r="I29" t="str">
        <f t="shared" si="0"/>
        <v>Saturday</v>
      </c>
      <c r="J29" t="str">
        <f t="shared" si="1"/>
        <v>January</v>
      </c>
    </row>
    <row r="30" spans="1:10" x14ac:dyDescent="0.3">
      <c r="A30" t="s">
        <v>83</v>
      </c>
      <c r="B30" s="1">
        <v>2.0509259259259257E-3</v>
      </c>
      <c r="C30" s="1">
        <v>3.9789351851851854E-2</v>
      </c>
      <c r="D30" t="s">
        <v>8</v>
      </c>
      <c r="E30" t="s">
        <v>9</v>
      </c>
      <c r="F30" t="s">
        <v>84</v>
      </c>
      <c r="G30" t="s">
        <v>29</v>
      </c>
      <c r="H30" s="8">
        <f t="shared" si="2"/>
        <v>3.7738425925925925E-2</v>
      </c>
      <c r="I30" t="str">
        <f t="shared" si="0"/>
        <v>Saturday</v>
      </c>
      <c r="J30" t="str">
        <f t="shared" si="1"/>
        <v>January</v>
      </c>
    </row>
    <row r="31" spans="1:10" x14ac:dyDescent="0.3">
      <c r="A31" t="s">
        <v>85</v>
      </c>
      <c r="B31" s="1">
        <v>3.9734953703703703E-2</v>
      </c>
      <c r="C31" s="1">
        <v>2.7047453703703705E-2</v>
      </c>
      <c r="D31" t="s">
        <v>13</v>
      </c>
      <c r="E31" t="s">
        <v>18</v>
      </c>
      <c r="F31" t="s">
        <v>86</v>
      </c>
      <c r="G31" t="s">
        <v>16</v>
      </c>
      <c r="H31" s="8">
        <f>B31-C31</f>
        <v>1.2687499999999997E-2</v>
      </c>
      <c r="I31" t="str">
        <f t="shared" si="0"/>
        <v>Saturday</v>
      </c>
      <c r="J31" t="str">
        <f t="shared" si="1"/>
        <v>January</v>
      </c>
    </row>
    <row r="32" spans="1:10" x14ac:dyDescent="0.3">
      <c r="A32" t="s">
        <v>87</v>
      </c>
      <c r="B32" s="1">
        <v>1.1857638888888888E-2</v>
      </c>
      <c r="C32" s="1">
        <v>2.651736111111111E-2</v>
      </c>
      <c r="D32" t="s">
        <v>45</v>
      </c>
      <c r="E32" t="s">
        <v>18</v>
      </c>
      <c r="F32" t="s">
        <v>88</v>
      </c>
      <c r="G32" t="s">
        <v>29</v>
      </c>
      <c r="H32" s="8">
        <f t="shared" si="2"/>
        <v>1.4659722222222222E-2</v>
      </c>
      <c r="I32" t="str">
        <f t="shared" si="0"/>
        <v>Saturday</v>
      </c>
      <c r="J32" t="str">
        <f t="shared" si="1"/>
        <v>January</v>
      </c>
    </row>
    <row r="33" spans="1:10" x14ac:dyDescent="0.3">
      <c r="A33" t="s">
        <v>89</v>
      </c>
      <c r="B33" s="1">
        <v>4.0944444444444443E-2</v>
      </c>
      <c r="C33" s="1">
        <v>2.4526620370370369E-2</v>
      </c>
      <c r="D33" t="s">
        <v>13</v>
      </c>
      <c r="E33" t="s">
        <v>14</v>
      </c>
      <c r="F33" t="s">
        <v>90</v>
      </c>
      <c r="G33" t="s">
        <v>11</v>
      </c>
      <c r="H33" s="8">
        <f>B33-C33</f>
        <v>1.6417824074074074E-2</v>
      </c>
      <c r="I33" t="str">
        <f t="shared" si="0"/>
        <v>Saturday</v>
      </c>
      <c r="J33" t="str">
        <f t="shared" si="1"/>
        <v>January</v>
      </c>
    </row>
    <row r="34" spans="1:10" x14ac:dyDescent="0.3">
      <c r="A34" t="s">
        <v>91</v>
      </c>
      <c r="B34" s="1">
        <v>7.3923611111111117E-3</v>
      </c>
      <c r="C34" s="1">
        <v>2.821527777777778E-2</v>
      </c>
      <c r="D34" t="s">
        <v>45</v>
      </c>
      <c r="E34" t="s">
        <v>35</v>
      </c>
      <c r="F34" t="s">
        <v>92</v>
      </c>
      <c r="G34" t="s">
        <v>29</v>
      </c>
      <c r="H34" s="8">
        <f t="shared" si="2"/>
        <v>2.082291666666667E-2</v>
      </c>
      <c r="I34" t="str">
        <f t="shared" si="0"/>
        <v>Saturday</v>
      </c>
      <c r="J34" t="str">
        <f t="shared" si="1"/>
        <v>January</v>
      </c>
    </row>
    <row r="35" spans="1:10" x14ac:dyDescent="0.3">
      <c r="A35" t="s">
        <v>93</v>
      </c>
      <c r="B35" s="1">
        <v>2.2946759259259257E-2</v>
      </c>
      <c r="C35" s="1">
        <v>1.9989583333333331E-2</v>
      </c>
      <c r="D35" t="s">
        <v>81</v>
      </c>
      <c r="E35" t="s">
        <v>32</v>
      </c>
      <c r="F35" t="s">
        <v>94</v>
      </c>
      <c r="G35" t="s">
        <v>29</v>
      </c>
      <c r="H35" s="8">
        <f>B35-C35</f>
        <v>2.9571759259259256E-3</v>
      </c>
      <c r="I35" t="str">
        <f t="shared" si="0"/>
        <v>Saturday</v>
      </c>
      <c r="J35" t="str">
        <f t="shared" si="1"/>
        <v>January</v>
      </c>
    </row>
    <row r="36" spans="1:10" x14ac:dyDescent="0.3">
      <c r="A36" t="s">
        <v>95</v>
      </c>
      <c r="B36" s="1">
        <v>4.2627314814814819E-3</v>
      </c>
      <c r="C36" s="1">
        <v>3.010300925925926E-2</v>
      </c>
      <c r="D36" t="s">
        <v>13</v>
      </c>
      <c r="E36" t="s">
        <v>25</v>
      </c>
      <c r="F36" t="s">
        <v>96</v>
      </c>
      <c r="G36" t="s">
        <v>29</v>
      </c>
      <c r="H36" s="8">
        <f t="shared" si="2"/>
        <v>2.5840277777777778E-2</v>
      </c>
      <c r="I36" t="str">
        <f t="shared" si="0"/>
        <v>Saturday</v>
      </c>
      <c r="J36" t="str">
        <f t="shared" si="1"/>
        <v>January</v>
      </c>
    </row>
    <row r="37" spans="1:10" x14ac:dyDescent="0.3">
      <c r="A37" t="s">
        <v>97</v>
      </c>
      <c r="B37" s="1">
        <v>3.3365740740740744E-2</v>
      </c>
      <c r="C37" s="1">
        <v>2.554398148148148E-2</v>
      </c>
      <c r="D37" t="s">
        <v>21</v>
      </c>
      <c r="E37" t="s">
        <v>14</v>
      </c>
      <c r="F37" t="s">
        <v>98</v>
      </c>
      <c r="G37" t="s">
        <v>29</v>
      </c>
      <c r="H37" s="8">
        <f t="shared" ref="H37:H39" si="7">B37-C37</f>
        <v>7.8217592592592644E-3</v>
      </c>
      <c r="I37" t="str">
        <f t="shared" si="0"/>
        <v>Saturday</v>
      </c>
      <c r="J37" t="str">
        <f t="shared" si="1"/>
        <v>January</v>
      </c>
    </row>
    <row r="38" spans="1:10" x14ac:dyDescent="0.3">
      <c r="A38" t="s">
        <v>99</v>
      </c>
      <c r="B38" s="1">
        <v>3.2245370370370369E-2</v>
      </c>
      <c r="C38" s="1">
        <v>1.3069444444444444E-2</v>
      </c>
      <c r="D38" t="s">
        <v>13</v>
      </c>
      <c r="E38" t="s">
        <v>46</v>
      </c>
      <c r="F38" t="s">
        <v>100</v>
      </c>
      <c r="G38" t="s">
        <v>29</v>
      </c>
      <c r="H38" s="8">
        <f t="shared" si="7"/>
        <v>1.9175925925925923E-2</v>
      </c>
      <c r="I38" t="str">
        <f t="shared" si="0"/>
        <v>Saturday</v>
      </c>
      <c r="J38" t="str">
        <f t="shared" si="1"/>
        <v>January</v>
      </c>
    </row>
    <row r="39" spans="1:10" x14ac:dyDescent="0.3">
      <c r="A39" t="s">
        <v>101</v>
      </c>
      <c r="B39" s="1">
        <v>3.9304398148148151E-2</v>
      </c>
      <c r="C39" s="1">
        <v>5.0821759259259266E-3</v>
      </c>
      <c r="D39" t="s">
        <v>8</v>
      </c>
      <c r="E39" t="s">
        <v>42</v>
      </c>
      <c r="F39" t="s">
        <v>102</v>
      </c>
      <c r="G39" t="s">
        <v>29</v>
      </c>
      <c r="H39" s="8">
        <f t="shared" si="7"/>
        <v>3.4222222222222223E-2</v>
      </c>
      <c r="I39" t="str">
        <f t="shared" si="0"/>
        <v>Saturday</v>
      </c>
      <c r="J39" t="str">
        <f t="shared" si="1"/>
        <v>January</v>
      </c>
    </row>
    <row r="40" spans="1:10" x14ac:dyDescent="0.3">
      <c r="A40" t="s">
        <v>103</v>
      </c>
      <c r="B40" s="1">
        <v>1.4028935185185184E-2</v>
      </c>
      <c r="C40" s="1">
        <v>2.9909722222222219E-2</v>
      </c>
      <c r="D40" t="s">
        <v>13</v>
      </c>
      <c r="E40" t="s">
        <v>32</v>
      </c>
      <c r="F40" t="s">
        <v>104</v>
      </c>
      <c r="G40" t="s">
        <v>16</v>
      </c>
      <c r="H40" s="8">
        <f t="shared" si="2"/>
        <v>1.5880787037037034E-2</v>
      </c>
      <c r="I40" t="str">
        <f t="shared" si="0"/>
        <v>Saturday</v>
      </c>
      <c r="J40" t="str">
        <f t="shared" si="1"/>
        <v>January</v>
      </c>
    </row>
    <row r="41" spans="1:10" x14ac:dyDescent="0.3">
      <c r="A41" t="s">
        <v>105</v>
      </c>
      <c r="B41" s="1">
        <v>2.0915509259259259E-2</v>
      </c>
      <c r="C41" s="1">
        <v>3.0769675925925926E-2</v>
      </c>
      <c r="D41" t="s">
        <v>31</v>
      </c>
      <c r="E41" t="s">
        <v>35</v>
      </c>
      <c r="F41" t="s">
        <v>106</v>
      </c>
      <c r="G41" t="s">
        <v>16</v>
      </c>
      <c r="H41" s="8">
        <f t="shared" si="2"/>
        <v>9.8541666666666673E-3</v>
      </c>
      <c r="I41" t="str">
        <f t="shared" si="0"/>
        <v>Saturday</v>
      </c>
      <c r="J41" t="str">
        <f t="shared" si="1"/>
        <v>January</v>
      </c>
    </row>
    <row r="42" spans="1:10" x14ac:dyDescent="0.3">
      <c r="A42" t="s">
        <v>107</v>
      </c>
      <c r="B42" s="1">
        <v>3.4475694444444441E-2</v>
      </c>
      <c r="C42" s="1">
        <v>4.1287037037037032E-2</v>
      </c>
      <c r="D42" t="s">
        <v>45</v>
      </c>
      <c r="E42" t="s">
        <v>9</v>
      </c>
      <c r="F42" t="s">
        <v>108</v>
      </c>
      <c r="G42" t="s">
        <v>16</v>
      </c>
      <c r="H42" s="8">
        <f t="shared" si="2"/>
        <v>6.8113425925925911E-3</v>
      </c>
      <c r="I42" t="str">
        <f t="shared" si="0"/>
        <v>Saturday</v>
      </c>
      <c r="J42" t="str">
        <f t="shared" si="1"/>
        <v>January</v>
      </c>
    </row>
    <row r="43" spans="1:10" x14ac:dyDescent="0.3">
      <c r="A43" t="s">
        <v>109</v>
      </c>
      <c r="B43" s="1">
        <v>1.8400462962962962E-2</v>
      </c>
      <c r="C43" s="1">
        <v>1.5729166666666666E-2</v>
      </c>
      <c r="D43" t="s">
        <v>21</v>
      </c>
      <c r="E43" t="s">
        <v>14</v>
      </c>
      <c r="F43" t="s">
        <v>110</v>
      </c>
      <c r="G43" t="s">
        <v>29</v>
      </c>
      <c r="H43" s="8">
        <f t="shared" ref="H43:H45" si="8">B43-C43</f>
        <v>2.6712962962962966E-3</v>
      </c>
      <c r="I43" t="str">
        <f t="shared" si="0"/>
        <v>Saturday</v>
      </c>
      <c r="J43" t="str">
        <f t="shared" si="1"/>
        <v>January</v>
      </c>
    </row>
    <row r="44" spans="1:10" ht="43.2" x14ac:dyDescent="0.3">
      <c r="A44" t="s">
        <v>111</v>
      </c>
      <c r="B44" s="1">
        <v>2.9443287037037039E-2</v>
      </c>
      <c r="C44" s="1">
        <v>3.1018518518518521E-4</v>
      </c>
      <c r="D44" t="s">
        <v>81</v>
      </c>
      <c r="E44" t="s">
        <v>55</v>
      </c>
      <c r="F44" s="2" t="s">
        <v>112</v>
      </c>
      <c r="G44" t="s">
        <v>29</v>
      </c>
      <c r="H44" s="8">
        <f t="shared" si="8"/>
        <v>2.9133101851851854E-2</v>
      </c>
      <c r="I44" t="str">
        <f t="shared" si="0"/>
        <v>Saturday</v>
      </c>
      <c r="J44" t="str">
        <f t="shared" si="1"/>
        <v>January</v>
      </c>
    </row>
    <row r="45" spans="1:10" x14ac:dyDescent="0.3">
      <c r="A45" t="s">
        <v>113</v>
      </c>
      <c r="B45" s="1">
        <v>2.607175925925926E-2</v>
      </c>
      <c r="C45" s="1">
        <v>6.7627314814814807E-3</v>
      </c>
      <c r="D45" t="s">
        <v>13</v>
      </c>
      <c r="E45" t="s">
        <v>35</v>
      </c>
      <c r="F45" t="s">
        <v>114</v>
      </c>
      <c r="G45" t="s">
        <v>115</v>
      </c>
      <c r="H45" s="8">
        <f t="shared" si="8"/>
        <v>1.9309027777777779E-2</v>
      </c>
      <c r="I45" t="str">
        <f t="shared" si="0"/>
        <v>Saturday</v>
      </c>
      <c r="J45" t="str">
        <f t="shared" si="1"/>
        <v>January</v>
      </c>
    </row>
    <row r="46" spans="1:10" x14ac:dyDescent="0.3">
      <c r="A46" t="s">
        <v>116</v>
      </c>
      <c r="B46" s="1">
        <v>1.7708333333333332E-3</v>
      </c>
      <c r="C46" s="1">
        <v>7.224537037037038E-3</v>
      </c>
      <c r="D46" t="s">
        <v>21</v>
      </c>
      <c r="E46" t="s">
        <v>32</v>
      </c>
      <c r="F46" t="s">
        <v>117</v>
      </c>
      <c r="G46" t="s">
        <v>11</v>
      </c>
      <c r="H46" s="8">
        <f t="shared" si="2"/>
        <v>5.4537037037037045E-3</v>
      </c>
      <c r="I46" t="str">
        <f t="shared" si="0"/>
        <v>Saturday</v>
      </c>
      <c r="J46" t="str">
        <f t="shared" si="1"/>
        <v>January</v>
      </c>
    </row>
    <row r="47" spans="1:10" x14ac:dyDescent="0.3">
      <c r="A47" t="s">
        <v>118</v>
      </c>
      <c r="B47" s="1">
        <v>2.909490740740741E-2</v>
      </c>
      <c r="C47" s="1">
        <v>3.4375E-3</v>
      </c>
      <c r="D47" t="s">
        <v>13</v>
      </c>
      <c r="E47" t="s">
        <v>14</v>
      </c>
      <c r="F47" t="s">
        <v>119</v>
      </c>
      <c r="G47" t="s">
        <v>11</v>
      </c>
      <c r="H47" s="8">
        <f t="shared" ref="H47:H48" si="9">B47-C47</f>
        <v>2.565740740740741E-2</v>
      </c>
      <c r="I47" t="str">
        <f t="shared" si="0"/>
        <v>Saturday</v>
      </c>
      <c r="J47" t="str">
        <f t="shared" si="1"/>
        <v>January</v>
      </c>
    </row>
    <row r="48" spans="1:10" x14ac:dyDescent="0.3">
      <c r="A48" t="s">
        <v>120</v>
      </c>
      <c r="B48" s="1">
        <v>2.992708333333333E-2</v>
      </c>
      <c r="C48" s="1">
        <v>2.9152777777777781E-2</v>
      </c>
      <c r="D48" t="s">
        <v>45</v>
      </c>
      <c r="E48" t="s">
        <v>25</v>
      </c>
      <c r="F48" t="s">
        <v>121</v>
      </c>
      <c r="G48" t="s">
        <v>16</v>
      </c>
      <c r="H48" s="8">
        <f t="shared" si="9"/>
        <v>7.7430555555554892E-4</v>
      </c>
      <c r="I48" t="str">
        <f t="shared" si="0"/>
        <v>Saturday</v>
      </c>
      <c r="J48" t="str">
        <f t="shared" si="1"/>
        <v>January</v>
      </c>
    </row>
    <row r="49" spans="1:10" x14ac:dyDescent="0.3">
      <c r="A49" t="s">
        <v>122</v>
      </c>
      <c r="B49" s="1">
        <v>1.6442129629629629E-2</v>
      </c>
      <c r="C49" s="1">
        <v>3.9807870370370368E-2</v>
      </c>
      <c r="D49" t="s">
        <v>31</v>
      </c>
      <c r="E49" t="s">
        <v>14</v>
      </c>
      <c r="F49" t="s">
        <v>123</v>
      </c>
      <c r="G49" t="s">
        <v>29</v>
      </c>
      <c r="H49" s="8">
        <f t="shared" si="2"/>
        <v>2.3365740740740739E-2</v>
      </c>
      <c r="I49" t="str">
        <f t="shared" si="0"/>
        <v>Saturday</v>
      </c>
      <c r="J49" t="str">
        <f t="shared" si="1"/>
        <v>January</v>
      </c>
    </row>
    <row r="50" spans="1:10" x14ac:dyDescent="0.3">
      <c r="A50" t="s">
        <v>124</v>
      </c>
      <c r="B50" s="1">
        <v>8.8333333333333337E-3</v>
      </c>
      <c r="C50" s="1">
        <v>2.7714120370370372E-2</v>
      </c>
      <c r="D50" t="s">
        <v>45</v>
      </c>
      <c r="E50" t="s">
        <v>14</v>
      </c>
      <c r="F50" t="s">
        <v>125</v>
      </c>
      <c r="G50" t="s">
        <v>16</v>
      </c>
      <c r="H50" s="8">
        <f t="shared" si="2"/>
        <v>1.8880787037037036E-2</v>
      </c>
      <c r="I50" t="str">
        <f t="shared" si="0"/>
        <v>Saturday</v>
      </c>
      <c r="J50" t="str">
        <f t="shared" si="1"/>
        <v>January</v>
      </c>
    </row>
    <row r="51" spans="1:10" x14ac:dyDescent="0.3">
      <c r="A51" t="s">
        <v>126</v>
      </c>
      <c r="B51" s="1">
        <v>3.5638888888888887E-2</v>
      </c>
      <c r="C51" s="1">
        <v>2.2752314814814815E-2</v>
      </c>
      <c r="D51" t="s">
        <v>45</v>
      </c>
      <c r="E51" t="s">
        <v>14</v>
      </c>
      <c r="F51" t="s">
        <v>127</v>
      </c>
      <c r="G51" t="s">
        <v>16</v>
      </c>
      <c r="H51" s="8">
        <f t="shared" ref="H51:H53" si="10">B51-C51</f>
        <v>1.2886574074074071E-2</v>
      </c>
      <c r="I51" t="str">
        <f t="shared" si="0"/>
        <v>Saturday</v>
      </c>
      <c r="J51" t="str">
        <f t="shared" si="1"/>
        <v>January</v>
      </c>
    </row>
    <row r="52" spans="1:10" x14ac:dyDescent="0.3">
      <c r="A52" t="s">
        <v>128</v>
      </c>
      <c r="B52" s="1">
        <v>1.5765046296296294E-2</v>
      </c>
      <c r="C52" s="1">
        <v>6.875E-3</v>
      </c>
      <c r="D52" t="s">
        <v>8</v>
      </c>
      <c r="E52" t="s">
        <v>22</v>
      </c>
      <c r="F52" t="s">
        <v>129</v>
      </c>
      <c r="G52" t="s">
        <v>29</v>
      </c>
      <c r="H52" s="8">
        <f t="shared" si="10"/>
        <v>8.8900462962962952E-3</v>
      </c>
      <c r="I52" t="str">
        <f t="shared" si="0"/>
        <v>Saturday</v>
      </c>
      <c r="J52" t="str">
        <f t="shared" si="1"/>
        <v>January</v>
      </c>
    </row>
    <row r="53" spans="1:10" x14ac:dyDescent="0.3">
      <c r="A53" t="s">
        <v>130</v>
      </c>
      <c r="B53" s="1">
        <v>3.592013888888889E-2</v>
      </c>
      <c r="C53" s="1">
        <v>1.7428240740740741E-2</v>
      </c>
      <c r="D53" t="s">
        <v>13</v>
      </c>
      <c r="E53" t="s">
        <v>14</v>
      </c>
      <c r="F53" t="s">
        <v>131</v>
      </c>
      <c r="G53" t="s">
        <v>29</v>
      </c>
      <c r="H53" s="8">
        <f t="shared" si="10"/>
        <v>1.849189814814815E-2</v>
      </c>
      <c r="I53" t="str">
        <f t="shared" si="0"/>
        <v>Saturday</v>
      </c>
      <c r="J53" t="str">
        <f t="shared" si="1"/>
        <v>January</v>
      </c>
    </row>
    <row r="54" spans="1:10" x14ac:dyDescent="0.3">
      <c r="A54" t="s">
        <v>132</v>
      </c>
      <c r="B54" s="1">
        <v>1.5158564814814816E-2</v>
      </c>
      <c r="C54" s="1">
        <v>1.928125E-2</v>
      </c>
      <c r="D54" t="s">
        <v>13</v>
      </c>
      <c r="E54" t="s">
        <v>22</v>
      </c>
      <c r="F54" t="s">
        <v>133</v>
      </c>
      <c r="G54" t="s">
        <v>16</v>
      </c>
      <c r="H54" s="8">
        <f t="shared" si="2"/>
        <v>4.1226851851851841E-3</v>
      </c>
      <c r="I54" t="str">
        <f t="shared" si="0"/>
        <v>Saturday</v>
      </c>
      <c r="J54" t="str">
        <f t="shared" si="1"/>
        <v>January</v>
      </c>
    </row>
    <row r="55" spans="1:10" x14ac:dyDescent="0.3">
      <c r="A55" t="s">
        <v>134</v>
      </c>
      <c r="B55" s="1">
        <v>2.9033564814814814E-2</v>
      </c>
      <c r="C55" s="1">
        <v>3.7254629629629631E-2</v>
      </c>
      <c r="D55" t="s">
        <v>13</v>
      </c>
      <c r="E55" t="s">
        <v>14</v>
      </c>
      <c r="F55" t="s">
        <v>135</v>
      </c>
      <c r="G55" t="s">
        <v>16</v>
      </c>
      <c r="H55" s="8">
        <f t="shared" si="2"/>
        <v>8.2210648148148165E-3</v>
      </c>
      <c r="I55" t="str">
        <f t="shared" si="0"/>
        <v>Saturday</v>
      </c>
      <c r="J55" t="str">
        <f t="shared" si="1"/>
        <v>January</v>
      </c>
    </row>
    <row r="56" spans="1:10" x14ac:dyDescent="0.3">
      <c r="A56" t="s">
        <v>136</v>
      </c>
      <c r="B56" s="1">
        <v>7.1759259259259259E-5</v>
      </c>
      <c r="C56" s="1">
        <v>2.1944444444444442E-3</v>
      </c>
      <c r="D56" t="s">
        <v>45</v>
      </c>
      <c r="E56" t="s">
        <v>18</v>
      </c>
      <c r="F56" t="s">
        <v>137</v>
      </c>
      <c r="G56" t="s">
        <v>11</v>
      </c>
      <c r="H56" s="8">
        <f t="shared" si="2"/>
        <v>2.1226851851851849E-3</v>
      </c>
      <c r="I56" t="str">
        <f t="shared" si="0"/>
        <v>Saturday</v>
      </c>
      <c r="J56" t="str">
        <f t="shared" si="1"/>
        <v>January</v>
      </c>
    </row>
    <row r="57" spans="1:10" x14ac:dyDescent="0.3">
      <c r="A57" t="s">
        <v>138</v>
      </c>
      <c r="B57" s="1">
        <v>4.7256944444444447E-3</v>
      </c>
      <c r="C57" s="1">
        <v>3.3196759259259259E-2</v>
      </c>
      <c r="D57" t="s">
        <v>31</v>
      </c>
      <c r="E57" t="s">
        <v>14</v>
      </c>
      <c r="F57" t="s">
        <v>139</v>
      </c>
      <c r="G57" t="s">
        <v>16</v>
      </c>
      <c r="H57" s="8">
        <f t="shared" si="2"/>
        <v>2.8471064814814814E-2</v>
      </c>
      <c r="I57" t="str">
        <f t="shared" si="0"/>
        <v>Saturday</v>
      </c>
      <c r="J57" t="str">
        <f t="shared" si="1"/>
        <v>January</v>
      </c>
    </row>
    <row r="58" spans="1:10" x14ac:dyDescent="0.3">
      <c r="A58" t="s">
        <v>140</v>
      </c>
      <c r="B58" s="1">
        <v>3.6258101851851847E-2</v>
      </c>
      <c r="C58" s="1">
        <v>1.9832175925925927E-2</v>
      </c>
      <c r="D58" t="s">
        <v>8</v>
      </c>
      <c r="E58" t="s">
        <v>22</v>
      </c>
      <c r="F58" t="s">
        <v>141</v>
      </c>
      <c r="G58" t="s">
        <v>16</v>
      </c>
      <c r="H58" s="8">
        <f>B58-C58</f>
        <v>1.642592592592592E-2</v>
      </c>
      <c r="I58" t="str">
        <f t="shared" si="0"/>
        <v>Saturday</v>
      </c>
      <c r="J58" t="str">
        <f t="shared" si="1"/>
        <v>January</v>
      </c>
    </row>
    <row r="59" spans="1:10" x14ac:dyDescent="0.3">
      <c r="A59" t="s">
        <v>142</v>
      </c>
      <c r="B59" s="1">
        <v>2.053935185185185E-2</v>
      </c>
      <c r="C59" s="1">
        <v>3.3999999999999996E-2</v>
      </c>
      <c r="D59" t="s">
        <v>60</v>
      </c>
      <c r="E59" t="s">
        <v>35</v>
      </c>
      <c r="F59" t="s">
        <v>143</v>
      </c>
      <c r="G59" t="s">
        <v>29</v>
      </c>
      <c r="H59" s="8">
        <f t="shared" si="2"/>
        <v>1.3460648148148145E-2</v>
      </c>
      <c r="I59" t="str">
        <f t="shared" si="0"/>
        <v>Saturday</v>
      </c>
      <c r="J59" t="str">
        <f t="shared" si="1"/>
        <v>January</v>
      </c>
    </row>
    <row r="60" spans="1:10" x14ac:dyDescent="0.3">
      <c r="A60" t="s">
        <v>144</v>
      </c>
      <c r="B60" s="1">
        <v>2.9753472222222219E-2</v>
      </c>
      <c r="C60" s="1">
        <v>1.1539351851851851E-2</v>
      </c>
      <c r="D60" t="s">
        <v>8</v>
      </c>
      <c r="E60" t="s">
        <v>35</v>
      </c>
      <c r="F60" t="s">
        <v>145</v>
      </c>
      <c r="G60" t="s">
        <v>16</v>
      </c>
      <c r="H60" s="8">
        <f t="shared" ref="H60:H61" si="11">B60-C60</f>
        <v>1.8214120370370367E-2</v>
      </c>
      <c r="I60" t="str">
        <f t="shared" si="0"/>
        <v>Saturday</v>
      </c>
      <c r="J60" t="str">
        <f t="shared" si="1"/>
        <v>January</v>
      </c>
    </row>
    <row r="61" spans="1:10" x14ac:dyDescent="0.3">
      <c r="A61" t="s">
        <v>146</v>
      </c>
      <c r="B61" s="1">
        <v>2.619675925925926E-2</v>
      </c>
      <c r="C61" s="1">
        <v>1.2488425925925925E-2</v>
      </c>
      <c r="D61" t="s">
        <v>13</v>
      </c>
      <c r="E61" t="s">
        <v>32</v>
      </c>
      <c r="F61" t="s">
        <v>147</v>
      </c>
      <c r="G61" t="s">
        <v>16</v>
      </c>
      <c r="H61" s="8">
        <f t="shared" si="11"/>
        <v>1.3708333333333335E-2</v>
      </c>
      <c r="I61" t="str">
        <f t="shared" si="0"/>
        <v>Saturday</v>
      </c>
      <c r="J61" t="str">
        <f t="shared" si="1"/>
        <v>January</v>
      </c>
    </row>
    <row r="62" spans="1:10" x14ac:dyDescent="0.3">
      <c r="A62" t="s">
        <v>148</v>
      </c>
      <c r="B62" s="1">
        <v>3.9120370370370368E-3</v>
      </c>
      <c r="C62" s="1">
        <v>3.4608796296296297E-2</v>
      </c>
      <c r="D62" t="s">
        <v>21</v>
      </c>
      <c r="E62" t="s">
        <v>22</v>
      </c>
      <c r="F62" t="s">
        <v>149</v>
      </c>
      <c r="G62" t="s">
        <v>16</v>
      </c>
      <c r="H62" s="8">
        <f t="shared" si="2"/>
        <v>3.069675925925926E-2</v>
      </c>
      <c r="I62" t="str">
        <f t="shared" si="0"/>
        <v>Saturday</v>
      </c>
      <c r="J62" t="str">
        <f t="shared" si="1"/>
        <v>January</v>
      </c>
    </row>
    <row r="63" spans="1:10" x14ac:dyDescent="0.3">
      <c r="A63" t="s">
        <v>150</v>
      </c>
      <c r="B63" s="1">
        <v>1.3637731481481482E-2</v>
      </c>
      <c r="C63" s="1">
        <v>2.421296296296296E-3</v>
      </c>
      <c r="D63" t="s">
        <v>13</v>
      </c>
      <c r="E63" t="s">
        <v>9</v>
      </c>
      <c r="F63" t="s">
        <v>151</v>
      </c>
      <c r="G63" t="s">
        <v>16</v>
      </c>
      <c r="H63" s="8">
        <f t="shared" ref="H63:H66" si="12">B63-C63</f>
        <v>1.1216435185185185E-2</v>
      </c>
      <c r="I63" t="str">
        <f t="shared" si="0"/>
        <v>Saturday</v>
      </c>
      <c r="J63" t="str">
        <f t="shared" si="1"/>
        <v>January</v>
      </c>
    </row>
    <row r="64" spans="1:10" x14ac:dyDescent="0.3">
      <c r="A64" t="s">
        <v>152</v>
      </c>
      <c r="B64" s="1">
        <v>2.7548611111111111E-2</v>
      </c>
      <c r="C64" s="1">
        <v>1.5076388888888887E-2</v>
      </c>
      <c r="D64" t="s">
        <v>13</v>
      </c>
      <c r="E64" t="s">
        <v>42</v>
      </c>
      <c r="F64" t="s">
        <v>153</v>
      </c>
      <c r="G64" t="s">
        <v>16</v>
      </c>
      <c r="H64" s="8">
        <f t="shared" si="12"/>
        <v>1.2472222222222223E-2</v>
      </c>
      <c r="I64" t="str">
        <f t="shared" si="0"/>
        <v>Saturday</v>
      </c>
      <c r="J64" t="str">
        <f t="shared" si="1"/>
        <v>January</v>
      </c>
    </row>
    <row r="65" spans="1:10" x14ac:dyDescent="0.3">
      <c r="A65" t="s">
        <v>154</v>
      </c>
      <c r="B65" s="1">
        <v>3.9686342592592593E-2</v>
      </c>
      <c r="C65" s="1">
        <v>3.8618055555555551E-2</v>
      </c>
      <c r="D65" t="s">
        <v>31</v>
      </c>
      <c r="E65" t="s">
        <v>42</v>
      </c>
      <c r="F65" t="s">
        <v>155</v>
      </c>
      <c r="G65" t="s">
        <v>11</v>
      </c>
      <c r="H65" s="8">
        <f t="shared" si="12"/>
        <v>1.0682870370370412E-3</v>
      </c>
      <c r="I65" t="str">
        <f t="shared" si="0"/>
        <v>Saturday</v>
      </c>
      <c r="J65" t="str">
        <f t="shared" si="1"/>
        <v>January</v>
      </c>
    </row>
    <row r="66" spans="1:10" x14ac:dyDescent="0.3">
      <c r="A66" t="s">
        <v>156</v>
      </c>
      <c r="B66" s="1">
        <v>4.0420138888888894E-2</v>
      </c>
      <c r="C66" s="1">
        <v>1.3368055555555555E-3</v>
      </c>
      <c r="D66" t="s">
        <v>31</v>
      </c>
      <c r="E66" t="s">
        <v>25</v>
      </c>
      <c r="F66" t="s">
        <v>157</v>
      </c>
      <c r="G66" t="s">
        <v>16</v>
      </c>
      <c r="H66" s="8">
        <f t="shared" si="12"/>
        <v>3.9083333333333338E-2</v>
      </c>
      <c r="I66" t="str">
        <f t="shared" si="0"/>
        <v>Saturday</v>
      </c>
      <c r="J66" t="str">
        <f t="shared" si="1"/>
        <v>January</v>
      </c>
    </row>
    <row r="67" spans="1:10" x14ac:dyDescent="0.3">
      <c r="A67" t="s">
        <v>158</v>
      </c>
      <c r="B67" s="1">
        <v>7.8182870370370368E-3</v>
      </c>
      <c r="C67" s="1">
        <v>3.8613425925925926E-2</v>
      </c>
      <c r="D67" t="s">
        <v>45</v>
      </c>
      <c r="E67" t="s">
        <v>9</v>
      </c>
      <c r="F67" t="s">
        <v>159</v>
      </c>
      <c r="G67" t="s">
        <v>16</v>
      </c>
      <c r="H67" s="8">
        <f t="shared" ref="H67:H130" si="13">(C67 - B67)</f>
        <v>3.0795138888888889E-2</v>
      </c>
      <c r="I67" t="str">
        <f t="shared" ref="I67:I130" si="14">TEXT(B67, "dddd")</f>
        <v>Saturday</v>
      </c>
      <c r="J67" t="str">
        <f t="shared" ref="J67:J130" si="15">TEXT(B67, "mmmm")</f>
        <v>January</v>
      </c>
    </row>
    <row r="68" spans="1:10" x14ac:dyDescent="0.3">
      <c r="A68" t="s">
        <v>160</v>
      </c>
      <c r="B68" s="1">
        <v>1.525E-2</v>
      </c>
      <c r="C68" s="1">
        <v>3.7997685185185187E-3</v>
      </c>
      <c r="D68" t="s">
        <v>21</v>
      </c>
      <c r="E68" t="s">
        <v>18</v>
      </c>
      <c r="F68" t="s">
        <v>161</v>
      </c>
      <c r="G68" t="s">
        <v>29</v>
      </c>
      <c r="H68" s="8">
        <f t="shared" ref="H68:H70" si="16">B68-C68</f>
        <v>1.1450231481481481E-2</v>
      </c>
      <c r="I68" t="str">
        <f t="shared" si="14"/>
        <v>Saturday</v>
      </c>
      <c r="J68" t="str">
        <f t="shared" si="15"/>
        <v>January</v>
      </c>
    </row>
    <row r="69" spans="1:10" x14ac:dyDescent="0.3">
      <c r="A69" t="s">
        <v>162</v>
      </c>
      <c r="B69" s="1">
        <v>1.2718750000000001E-2</v>
      </c>
      <c r="C69" s="1">
        <v>2.0868055555555557E-3</v>
      </c>
      <c r="D69" t="s">
        <v>45</v>
      </c>
      <c r="E69" t="s">
        <v>42</v>
      </c>
      <c r="F69" t="s">
        <v>163</v>
      </c>
      <c r="G69" t="s">
        <v>16</v>
      </c>
      <c r="H69" s="8">
        <f t="shared" si="16"/>
        <v>1.0631944444444446E-2</v>
      </c>
      <c r="I69" t="str">
        <f t="shared" si="14"/>
        <v>Saturday</v>
      </c>
      <c r="J69" t="str">
        <f t="shared" si="15"/>
        <v>January</v>
      </c>
    </row>
    <row r="70" spans="1:10" x14ac:dyDescent="0.3">
      <c r="A70" t="s">
        <v>164</v>
      </c>
      <c r="B70" s="1">
        <v>3.2517361111111108E-2</v>
      </c>
      <c r="C70" s="1">
        <v>1.179861111111111E-2</v>
      </c>
      <c r="D70" t="s">
        <v>13</v>
      </c>
      <c r="E70" t="s">
        <v>32</v>
      </c>
      <c r="F70" t="s">
        <v>165</v>
      </c>
      <c r="G70" t="s">
        <v>29</v>
      </c>
      <c r="H70" s="8">
        <f t="shared" si="16"/>
        <v>2.0718749999999998E-2</v>
      </c>
      <c r="I70" t="str">
        <f t="shared" si="14"/>
        <v>Saturday</v>
      </c>
      <c r="J70" t="str">
        <f t="shared" si="15"/>
        <v>January</v>
      </c>
    </row>
    <row r="71" spans="1:10" x14ac:dyDescent="0.3">
      <c r="A71" t="s">
        <v>166</v>
      </c>
      <c r="B71" s="1">
        <v>2.1170138888888888E-2</v>
      </c>
      <c r="C71" s="1">
        <v>2.5709490740740745E-2</v>
      </c>
      <c r="D71" t="s">
        <v>13</v>
      </c>
      <c r="E71" t="s">
        <v>25</v>
      </c>
      <c r="F71" t="s">
        <v>167</v>
      </c>
      <c r="G71" t="s">
        <v>16</v>
      </c>
      <c r="H71" s="8">
        <f t="shared" si="13"/>
        <v>4.5393518518518569E-3</v>
      </c>
      <c r="I71" t="str">
        <f t="shared" si="14"/>
        <v>Saturday</v>
      </c>
      <c r="J71" t="str">
        <f t="shared" si="15"/>
        <v>January</v>
      </c>
    </row>
    <row r="72" spans="1:10" x14ac:dyDescent="0.3">
      <c r="A72" t="s">
        <v>168</v>
      </c>
      <c r="B72" s="1">
        <v>4.0517361111111108E-2</v>
      </c>
      <c r="C72" s="1">
        <v>7.9120370370370369E-3</v>
      </c>
      <c r="D72" t="s">
        <v>21</v>
      </c>
      <c r="E72" t="s">
        <v>42</v>
      </c>
      <c r="F72" t="s">
        <v>169</v>
      </c>
      <c r="G72" t="s">
        <v>115</v>
      </c>
      <c r="H72" s="8">
        <f>B72-C72</f>
        <v>3.2605324074074071E-2</v>
      </c>
      <c r="I72" t="str">
        <f t="shared" si="14"/>
        <v>Saturday</v>
      </c>
      <c r="J72" t="str">
        <f t="shared" si="15"/>
        <v>January</v>
      </c>
    </row>
    <row r="73" spans="1:10" x14ac:dyDescent="0.3">
      <c r="A73" t="s">
        <v>170</v>
      </c>
      <c r="B73" s="1">
        <v>3.8502314814814816E-2</v>
      </c>
      <c r="C73" s="1">
        <v>4.0575231481481476E-2</v>
      </c>
      <c r="D73" t="s">
        <v>13</v>
      </c>
      <c r="E73" t="s">
        <v>18</v>
      </c>
      <c r="F73" t="s">
        <v>171</v>
      </c>
      <c r="G73" t="s">
        <v>16</v>
      </c>
      <c r="H73" s="8">
        <f t="shared" si="13"/>
        <v>2.0729166666666604E-3</v>
      </c>
      <c r="I73" t="str">
        <f t="shared" si="14"/>
        <v>Saturday</v>
      </c>
      <c r="J73" t="str">
        <f t="shared" si="15"/>
        <v>January</v>
      </c>
    </row>
    <row r="74" spans="1:10" x14ac:dyDescent="0.3">
      <c r="A74" t="s">
        <v>172</v>
      </c>
      <c r="B74" s="1">
        <v>2.9446759259259256E-2</v>
      </c>
      <c r="C74" s="1">
        <v>2.2584490740740742E-2</v>
      </c>
      <c r="D74" t="s">
        <v>45</v>
      </c>
      <c r="E74" t="s">
        <v>42</v>
      </c>
      <c r="F74" t="s">
        <v>173</v>
      </c>
      <c r="G74" t="s">
        <v>16</v>
      </c>
      <c r="H74" s="8">
        <f>B74-C74</f>
        <v>6.8622685185185141E-3</v>
      </c>
      <c r="I74" t="str">
        <f t="shared" si="14"/>
        <v>Saturday</v>
      </c>
      <c r="J74" t="str">
        <f t="shared" si="15"/>
        <v>January</v>
      </c>
    </row>
    <row r="75" spans="1:10" x14ac:dyDescent="0.3">
      <c r="A75" t="s">
        <v>174</v>
      </c>
      <c r="B75" s="1">
        <v>2.3766203703703706E-2</v>
      </c>
      <c r="C75" s="1">
        <v>2.8341435185185185E-2</v>
      </c>
      <c r="D75" t="s">
        <v>8</v>
      </c>
      <c r="E75" t="s">
        <v>46</v>
      </c>
      <c r="F75" t="s">
        <v>175</v>
      </c>
      <c r="G75" t="s">
        <v>11</v>
      </c>
      <c r="H75" s="8">
        <f t="shared" si="13"/>
        <v>4.5752314814814787E-3</v>
      </c>
      <c r="I75" t="str">
        <f t="shared" si="14"/>
        <v>Saturday</v>
      </c>
      <c r="J75" t="str">
        <f t="shared" si="15"/>
        <v>January</v>
      </c>
    </row>
    <row r="76" spans="1:10" x14ac:dyDescent="0.3">
      <c r="A76" t="s">
        <v>176</v>
      </c>
      <c r="B76" s="1">
        <v>1.2458333333333335E-2</v>
      </c>
      <c r="C76" s="1">
        <v>1.3730324074074074E-2</v>
      </c>
      <c r="D76" t="s">
        <v>60</v>
      </c>
      <c r="E76" t="s">
        <v>14</v>
      </c>
      <c r="F76" t="s">
        <v>177</v>
      </c>
      <c r="G76" t="s">
        <v>29</v>
      </c>
      <c r="H76" s="8">
        <f t="shared" si="13"/>
        <v>1.2719907407407385E-3</v>
      </c>
      <c r="I76" t="str">
        <f t="shared" si="14"/>
        <v>Saturday</v>
      </c>
      <c r="J76" t="str">
        <f t="shared" si="15"/>
        <v>January</v>
      </c>
    </row>
    <row r="77" spans="1:10" x14ac:dyDescent="0.3">
      <c r="A77" t="s">
        <v>178</v>
      </c>
      <c r="B77" s="1">
        <v>3.3498842592592594E-2</v>
      </c>
      <c r="C77" s="1">
        <v>2.8449074074074075E-2</v>
      </c>
      <c r="D77" t="s">
        <v>8</v>
      </c>
      <c r="E77" t="s">
        <v>42</v>
      </c>
      <c r="F77" t="s">
        <v>179</v>
      </c>
      <c r="G77" t="s">
        <v>11</v>
      </c>
      <c r="H77" s="8">
        <f t="shared" ref="H77:H83" si="17">B77-C77</f>
        <v>5.0497685185185194E-3</v>
      </c>
      <c r="I77" t="str">
        <f t="shared" si="14"/>
        <v>Saturday</v>
      </c>
      <c r="J77" t="str">
        <f t="shared" si="15"/>
        <v>January</v>
      </c>
    </row>
    <row r="78" spans="1:10" x14ac:dyDescent="0.3">
      <c r="A78" t="s">
        <v>180</v>
      </c>
      <c r="B78" s="1">
        <v>2.1798611111111112E-2</v>
      </c>
      <c r="C78" s="1">
        <v>7.7812499999999991E-3</v>
      </c>
      <c r="D78" t="s">
        <v>13</v>
      </c>
      <c r="E78" t="s">
        <v>14</v>
      </c>
      <c r="F78" t="s">
        <v>181</v>
      </c>
      <c r="G78" t="s">
        <v>11</v>
      </c>
      <c r="H78" s="8">
        <f t="shared" si="17"/>
        <v>1.4017361111111112E-2</v>
      </c>
      <c r="I78" t="str">
        <f t="shared" si="14"/>
        <v>Saturday</v>
      </c>
      <c r="J78" t="str">
        <f t="shared" si="15"/>
        <v>January</v>
      </c>
    </row>
    <row r="79" spans="1:10" x14ac:dyDescent="0.3">
      <c r="A79" t="s">
        <v>182</v>
      </c>
      <c r="B79" s="1">
        <v>2.9604166666666668E-2</v>
      </c>
      <c r="C79" s="1">
        <v>2.7986111111111111E-2</v>
      </c>
      <c r="D79" t="s">
        <v>60</v>
      </c>
      <c r="E79" t="s">
        <v>32</v>
      </c>
      <c r="F79" t="s">
        <v>183</v>
      </c>
      <c r="G79" t="s">
        <v>11</v>
      </c>
      <c r="H79" s="8">
        <f t="shared" si="17"/>
        <v>1.6180555555555566E-3</v>
      </c>
      <c r="I79" t="str">
        <f t="shared" si="14"/>
        <v>Saturday</v>
      </c>
      <c r="J79" t="str">
        <f t="shared" si="15"/>
        <v>January</v>
      </c>
    </row>
    <row r="80" spans="1:10" x14ac:dyDescent="0.3">
      <c r="A80" t="s">
        <v>184</v>
      </c>
      <c r="B80" s="1">
        <v>4.1013888888888884E-2</v>
      </c>
      <c r="C80" s="1">
        <v>2.0631944444444442E-2</v>
      </c>
      <c r="D80" t="s">
        <v>13</v>
      </c>
      <c r="E80" t="s">
        <v>14</v>
      </c>
      <c r="F80" t="s">
        <v>185</v>
      </c>
      <c r="G80" t="s">
        <v>29</v>
      </c>
      <c r="H80" s="8">
        <f t="shared" si="17"/>
        <v>2.0381944444444442E-2</v>
      </c>
      <c r="I80" t="str">
        <f t="shared" si="14"/>
        <v>Saturday</v>
      </c>
      <c r="J80" t="str">
        <f t="shared" si="15"/>
        <v>January</v>
      </c>
    </row>
    <row r="81" spans="1:10" x14ac:dyDescent="0.3">
      <c r="A81" t="s">
        <v>186</v>
      </c>
      <c r="B81" s="1">
        <v>4.0677083333333336E-2</v>
      </c>
      <c r="C81" s="1">
        <v>5.8414351851851848E-3</v>
      </c>
      <c r="D81" t="s">
        <v>45</v>
      </c>
      <c r="E81" t="s">
        <v>14</v>
      </c>
      <c r="F81" t="s">
        <v>187</v>
      </c>
      <c r="G81" t="s">
        <v>29</v>
      </c>
      <c r="H81" s="8">
        <f t="shared" si="17"/>
        <v>3.483564814814815E-2</v>
      </c>
      <c r="I81" t="str">
        <f t="shared" si="14"/>
        <v>Saturday</v>
      </c>
      <c r="J81" t="str">
        <f t="shared" si="15"/>
        <v>January</v>
      </c>
    </row>
    <row r="82" spans="1:10" x14ac:dyDescent="0.3">
      <c r="A82" t="s">
        <v>188</v>
      </c>
      <c r="B82" s="1">
        <v>3.0262731481481481E-2</v>
      </c>
      <c r="C82" s="1">
        <v>2.266550925925926E-2</v>
      </c>
      <c r="D82" t="s">
        <v>13</v>
      </c>
      <c r="E82" t="s">
        <v>35</v>
      </c>
      <c r="F82" t="s">
        <v>189</v>
      </c>
      <c r="G82" t="s">
        <v>29</v>
      </c>
      <c r="H82" s="8">
        <f t="shared" si="17"/>
        <v>7.5972222222222205E-3</v>
      </c>
      <c r="I82" t="str">
        <f t="shared" si="14"/>
        <v>Saturday</v>
      </c>
      <c r="J82" t="str">
        <f t="shared" si="15"/>
        <v>January</v>
      </c>
    </row>
    <row r="83" spans="1:10" x14ac:dyDescent="0.3">
      <c r="A83" t="s">
        <v>190</v>
      </c>
      <c r="B83" s="1">
        <v>3.5241898148148147E-2</v>
      </c>
      <c r="C83" s="1">
        <v>4.3518518518518521E-4</v>
      </c>
      <c r="D83" t="s">
        <v>31</v>
      </c>
      <c r="E83" t="s">
        <v>22</v>
      </c>
      <c r="F83" t="s">
        <v>191</v>
      </c>
      <c r="G83" t="s">
        <v>29</v>
      </c>
      <c r="H83" s="8">
        <f t="shared" si="17"/>
        <v>3.4806712962962963E-2</v>
      </c>
      <c r="I83" t="str">
        <f t="shared" si="14"/>
        <v>Saturday</v>
      </c>
      <c r="J83" t="str">
        <f t="shared" si="15"/>
        <v>January</v>
      </c>
    </row>
    <row r="84" spans="1:10" x14ac:dyDescent="0.3">
      <c r="A84" t="s">
        <v>192</v>
      </c>
      <c r="B84" s="1">
        <v>1.2120370370370372E-2</v>
      </c>
      <c r="C84" s="1">
        <v>1.4788194444444446E-2</v>
      </c>
      <c r="D84" t="s">
        <v>13</v>
      </c>
      <c r="E84" t="s">
        <v>14</v>
      </c>
      <c r="F84" t="s">
        <v>193</v>
      </c>
      <c r="G84" t="s">
        <v>16</v>
      </c>
      <c r="H84" s="8">
        <f t="shared" si="13"/>
        <v>2.6678240740740742E-3</v>
      </c>
      <c r="I84" t="str">
        <f t="shared" si="14"/>
        <v>Saturday</v>
      </c>
      <c r="J84" t="str">
        <f t="shared" si="15"/>
        <v>January</v>
      </c>
    </row>
    <row r="85" spans="1:10" x14ac:dyDescent="0.3">
      <c r="A85" t="s">
        <v>194</v>
      </c>
      <c r="B85" s="1">
        <v>3.4165509259259264E-2</v>
      </c>
      <c r="C85" s="1">
        <v>1.8233796296296297E-2</v>
      </c>
      <c r="D85" t="s">
        <v>81</v>
      </c>
      <c r="E85" t="s">
        <v>25</v>
      </c>
      <c r="F85" t="s">
        <v>195</v>
      </c>
      <c r="G85" t="s">
        <v>29</v>
      </c>
      <c r="H85" s="8">
        <f>B85-C85</f>
        <v>1.5931712962962967E-2</v>
      </c>
      <c r="I85" t="str">
        <f t="shared" si="14"/>
        <v>Saturday</v>
      </c>
      <c r="J85" t="str">
        <f t="shared" si="15"/>
        <v>January</v>
      </c>
    </row>
    <row r="86" spans="1:10" x14ac:dyDescent="0.3">
      <c r="A86" t="s">
        <v>196</v>
      </c>
      <c r="B86" s="1">
        <v>6.2962962962962964E-3</v>
      </c>
      <c r="C86" s="1">
        <v>1.4388888888888889E-2</v>
      </c>
      <c r="D86" t="s">
        <v>21</v>
      </c>
      <c r="E86" t="s">
        <v>55</v>
      </c>
      <c r="F86" t="s">
        <v>197</v>
      </c>
      <c r="G86" t="s">
        <v>29</v>
      </c>
      <c r="H86" s="8">
        <f t="shared" si="13"/>
        <v>8.0925925925925922E-3</v>
      </c>
      <c r="I86" t="str">
        <f t="shared" si="14"/>
        <v>Saturday</v>
      </c>
      <c r="J86" t="str">
        <f t="shared" si="15"/>
        <v>January</v>
      </c>
    </row>
    <row r="87" spans="1:10" x14ac:dyDescent="0.3">
      <c r="A87" t="s">
        <v>198</v>
      </c>
      <c r="B87" s="1">
        <v>1.6362268518518519E-2</v>
      </c>
      <c r="C87" s="1">
        <v>5.6747685185185182E-3</v>
      </c>
      <c r="D87" t="s">
        <v>31</v>
      </c>
      <c r="E87" t="s">
        <v>32</v>
      </c>
      <c r="F87" t="s">
        <v>199</v>
      </c>
      <c r="G87" t="s">
        <v>11</v>
      </c>
      <c r="H87" s="8">
        <f>B87-C87</f>
        <v>1.0687500000000001E-2</v>
      </c>
      <c r="I87" t="str">
        <f t="shared" si="14"/>
        <v>Saturday</v>
      </c>
      <c r="J87" t="str">
        <f t="shared" si="15"/>
        <v>January</v>
      </c>
    </row>
    <row r="88" spans="1:10" x14ac:dyDescent="0.3">
      <c r="A88" t="s">
        <v>200</v>
      </c>
      <c r="B88" s="1">
        <v>1.2957175925925926E-2</v>
      </c>
      <c r="C88" s="1">
        <v>2.5819444444444447E-2</v>
      </c>
      <c r="D88" t="s">
        <v>13</v>
      </c>
      <c r="E88" t="s">
        <v>42</v>
      </c>
      <c r="F88" t="s">
        <v>201</v>
      </c>
      <c r="G88" t="s">
        <v>16</v>
      </c>
      <c r="H88" s="8">
        <f t="shared" si="13"/>
        <v>1.2862268518518521E-2</v>
      </c>
      <c r="I88" t="str">
        <f t="shared" si="14"/>
        <v>Saturday</v>
      </c>
      <c r="J88" t="str">
        <f t="shared" si="15"/>
        <v>January</v>
      </c>
    </row>
    <row r="89" spans="1:10" x14ac:dyDescent="0.3">
      <c r="A89" t="s">
        <v>202</v>
      </c>
      <c r="B89" s="1">
        <v>7.9016203703703713E-3</v>
      </c>
      <c r="C89" s="1">
        <v>8.3564814814814821E-3</v>
      </c>
      <c r="D89" t="s">
        <v>21</v>
      </c>
      <c r="E89" t="s">
        <v>18</v>
      </c>
      <c r="F89" t="s">
        <v>203</v>
      </c>
      <c r="G89" t="s">
        <v>16</v>
      </c>
      <c r="H89" s="8">
        <f t="shared" si="13"/>
        <v>4.5486111111111074E-4</v>
      </c>
      <c r="I89" t="str">
        <f t="shared" si="14"/>
        <v>Saturday</v>
      </c>
      <c r="J89" t="str">
        <f t="shared" si="15"/>
        <v>January</v>
      </c>
    </row>
    <row r="90" spans="1:10" x14ac:dyDescent="0.3">
      <c r="A90" t="s">
        <v>204</v>
      </c>
      <c r="B90" s="1">
        <v>4.0745370370370369E-2</v>
      </c>
      <c r="C90" s="1">
        <v>2.2209490740740741E-2</v>
      </c>
      <c r="D90" t="s">
        <v>13</v>
      </c>
      <c r="E90" t="s">
        <v>32</v>
      </c>
      <c r="F90" t="s">
        <v>205</v>
      </c>
      <c r="G90" t="s">
        <v>16</v>
      </c>
      <c r="H90" s="8">
        <f>B90-C90</f>
        <v>1.8535879629629628E-2</v>
      </c>
      <c r="I90" t="str">
        <f t="shared" si="14"/>
        <v>Saturday</v>
      </c>
      <c r="J90" t="str">
        <f t="shared" si="15"/>
        <v>January</v>
      </c>
    </row>
    <row r="91" spans="1:10" x14ac:dyDescent="0.3">
      <c r="A91" t="s">
        <v>206</v>
      </c>
      <c r="B91" s="1">
        <v>1.4425925925925927E-2</v>
      </c>
      <c r="C91" s="1">
        <v>1.4957175925925926E-2</v>
      </c>
      <c r="D91" t="s">
        <v>13</v>
      </c>
      <c r="E91" t="s">
        <v>32</v>
      </c>
      <c r="F91" t="s">
        <v>207</v>
      </c>
      <c r="G91" t="s">
        <v>29</v>
      </c>
      <c r="H91" s="8">
        <f t="shared" si="13"/>
        <v>5.3124999999999874E-4</v>
      </c>
      <c r="I91" t="str">
        <f t="shared" si="14"/>
        <v>Saturday</v>
      </c>
      <c r="J91" t="str">
        <f t="shared" si="15"/>
        <v>January</v>
      </c>
    </row>
    <row r="92" spans="1:10" x14ac:dyDescent="0.3">
      <c r="A92" t="s">
        <v>208</v>
      </c>
      <c r="B92" s="1">
        <v>3.2060185185185186E-3</v>
      </c>
      <c r="C92" s="1">
        <v>1.5510416666666665E-2</v>
      </c>
      <c r="D92" t="s">
        <v>13</v>
      </c>
      <c r="E92" t="s">
        <v>9</v>
      </c>
      <c r="F92" t="s">
        <v>209</v>
      </c>
      <c r="G92" t="s">
        <v>16</v>
      </c>
      <c r="H92" s="8">
        <f t="shared" si="13"/>
        <v>1.2304398148148148E-2</v>
      </c>
      <c r="I92" t="str">
        <f t="shared" si="14"/>
        <v>Saturday</v>
      </c>
      <c r="J92" t="str">
        <f t="shared" si="15"/>
        <v>January</v>
      </c>
    </row>
    <row r="93" spans="1:10" x14ac:dyDescent="0.3">
      <c r="A93" t="s">
        <v>210</v>
      </c>
      <c r="B93" s="1">
        <v>2.550115740740741E-2</v>
      </c>
      <c r="C93" s="1">
        <v>6.2569444444444443E-3</v>
      </c>
      <c r="D93" t="s">
        <v>13</v>
      </c>
      <c r="E93" t="s">
        <v>32</v>
      </c>
      <c r="F93" t="s">
        <v>211</v>
      </c>
      <c r="G93" t="s">
        <v>29</v>
      </c>
      <c r="H93" s="8">
        <f>B93-C93</f>
        <v>1.9244212962962966E-2</v>
      </c>
      <c r="I93" t="str">
        <f t="shared" si="14"/>
        <v>Saturday</v>
      </c>
      <c r="J93" t="str">
        <f t="shared" si="15"/>
        <v>January</v>
      </c>
    </row>
    <row r="94" spans="1:10" x14ac:dyDescent="0.3">
      <c r="A94" t="s">
        <v>212</v>
      </c>
      <c r="B94" s="1">
        <v>1.8167824074074076E-2</v>
      </c>
      <c r="C94" s="1">
        <v>3.4459490740740742E-2</v>
      </c>
      <c r="D94" t="s">
        <v>45</v>
      </c>
      <c r="E94" t="s">
        <v>22</v>
      </c>
      <c r="F94" t="s">
        <v>213</v>
      </c>
      <c r="G94" t="s">
        <v>16</v>
      </c>
      <c r="H94" s="8">
        <f t="shared" si="13"/>
        <v>1.6291666666666666E-2</v>
      </c>
      <c r="I94" t="str">
        <f t="shared" si="14"/>
        <v>Saturday</v>
      </c>
      <c r="J94" t="str">
        <f t="shared" si="15"/>
        <v>January</v>
      </c>
    </row>
    <row r="95" spans="1:10" x14ac:dyDescent="0.3">
      <c r="A95" t="s">
        <v>214</v>
      </c>
      <c r="B95" s="1">
        <v>1.925E-2</v>
      </c>
      <c r="C95" s="1">
        <v>6.1539351851851859E-3</v>
      </c>
      <c r="D95" t="s">
        <v>8</v>
      </c>
      <c r="E95" t="s">
        <v>22</v>
      </c>
      <c r="F95" t="s">
        <v>215</v>
      </c>
      <c r="G95" t="s">
        <v>29</v>
      </c>
      <c r="H95" s="8">
        <f>B95-C95</f>
        <v>1.3096064814814814E-2</v>
      </c>
      <c r="I95" t="str">
        <f t="shared" si="14"/>
        <v>Saturday</v>
      </c>
      <c r="J95" t="str">
        <f t="shared" si="15"/>
        <v>January</v>
      </c>
    </row>
    <row r="96" spans="1:10" x14ac:dyDescent="0.3">
      <c r="A96" t="s">
        <v>216</v>
      </c>
      <c r="B96" s="1">
        <v>4.6435185185185182E-3</v>
      </c>
      <c r="C96" s="1">
        <v>3.0028935185185186E-2</v>
      </c>
      <c r="D96" t="s">
        <v>31</v>
      </c>
      <c r="E96" t="s">
        <v>42</v>
      </c>
      <c r="F96" t="s">
        <v>217</v>
      </c>
      <c r="G96" t="s">
        <v>29</v>
      </c>
      <c r="H96" s="8">
        <f t="shared" si="13"/>
        <v>2.5385416666666667E-2</v>
      </c>
      <c r="I96" t="str">
        <f t="shared" si="14"/>
        <v>Saturday</v>
      </c>
      <c r="J96" t="str">
        <f t="shared" si="15"/>
        <v>January</v>
      </c>
    </row>
    <row r="97" spans="1:10" x14ac:dyDescent="0.3">
      <c r="A97" t="s">
        <v>218</v>
      </c>
      <c r="B97" s="1">
        <v>3.2968749999999998E-2</v>
      </c>
      <c r="C97" s="1">
        <v>3.4261574074074069E-2</v>
      </c>
      <c r="D97" t="s">
        <v>8</v>
      </c>
      <c r="E97" t="s">
        <v>9</v>
      </c>
      <c r="F97" t="s">
        <v>219</v>
      </c>
      <c r="G97" t="s">
        <v>16</v>
      </c>
      <c r="H97" s="8">
        <f t="shared" si="13"/>
        <v>1.2928240740740712E-3</v>
      </c>
      <c r="I97" t="str">
        <f t="shared" si="14"/>
        <v>Saturday</v>
      </c>
      <c r="J97" t="str">
        <f t="shared" si="15"/>
        <v>January</v>
      </c>
    </row>
    <row r="98" spans="1:10" x14ac:dyDescent="0.3">
      <c r="A98" t="s">
        <v>220</v>
      </c>
      <c r="B98" s="1">
        <v>3.4546296296296297E-2</v>
      </c>
      <c r="C98" s="1">
        <v>2.3837962962962964E-2</v>
      </c>
      <c r="D98" t="s">
        <v>31</v>
      </c>
      <c r="E98" t="s">
        <v>25</v>
      </c>
      <c r="F98" t="s">
        <v>221</v>
      </c>
      <c r="G98" t="s">
        <v>29</v>
      </c>
      <c r="H98" s="8">
        <f>B98-C98</f>
        <v>1.0708333333333334E-2</v>
      </c>
      <c r="I98" t="str">
        <f t="shared" si="14"/>
        <v>Saturday</v>
      </c>
      <c r="J98" t="str">
        <f t="shared" si="15"/>
        <v>January</v>
      </c>
    </row>
    <row r="99" spans="1:10" x14ac:dyDescent="0.3">
      <c r="A99" t="s">
        <v>222</v>
      </c>
      <c r="B99" s="1">
        <v>1.133449074074074E-2</v>
      </c>
      <c r="C99" s="1">
        <v>2.0122685185185184E-2</v>
      </c>
      <c r="D99" t="s">
        <v>21</v>
      </c>
      <c r="E99" t="s">
        <v>32</v>
      </c>
      <c r="F99" t="s">
        <v>223</v>
      </c>
      <c r="G99" t="s">
        <v>29</v>
      </c>
      <c r="H99" s="8">
        <f t="shared" si="13"/>
        <v>8.788194444444444E-3</v>
      </c>
      <c r="I99" t="str">
        <f t="shared" si="14"/>
        <v>Saturday</v>
      </c>
      <c r="J99" t="str">
        <f t="shared" si="15"/>
        <v>January</v>
      </c>
    </row>
    <row r="100" spans="1:10" x14ac:dyDescent="0.3">
      <c r="A100" t="s">
        <v>224</v>
      </c>
      <c r="B100" s="1">
        <v>1.5835648148148147E-2</v>
      </c>
      <c r="C100" s="1">
        <v>1.8405092592592594E-2</v>
      </c>
      <c r="D100" t="s">
        <v>13</v>
      </c>
      <c r="E100" t="s">
        <v>14</v>
      </c>
      <c r="F100" t="s">
        <v>225</v>
      </c>
      <c r="G100" t="s">
        <v>11</v>
      </c>
      <c r="H100" s="8">
        <f t="shared" si="13"/>
        <v>2.5694444444444471E-3</v>
      </c>
      <c r="I100" t="str">
        <f t="shared" si="14"/>
        <v>Saturday</v>
      </c>
      <c r="J100" t="str">
        <f t="shared" si="15"/>
        <v>January</v>
      </c>
    </row>
    <row r="101" spans="1:10" x14ac:dyDescent="0.3">
      <c r="A101" t="s">
        <v>226</v>
      </c>
      <c r="B101" s="1">
        <v>1.0687499999999999E-2</v>
      </c>
      <c r="C101" s="1">
        <v>2.8263888888888887E-3</v>
      </c>
      <c r="D101" t="s">
        <v>21</v>
      </c>
      <c r="E101" t="s">
        <v>25</v>
      </c>
      <c r="F101" t="s">
        <v>227</v>
      </c>
      <c r="G101" t="s">
        <v>16</v>
      </c>
      <c r="H101" s="8">
        <f>B101-C101</f>
        <v>7.8611111111111104E-3</v>
      </c>
      <c r="I101" t="str">
        <f t="shared" si="14"/>
        <v>Saturday</v>
      </c>
      <c r="J101" t="str">
        <f t="shared" si="15"/>
        <v>January</v>
      </c>
    </row>
    <row r="102" spans="1:10" x14ac:dyDescent="0.3">
      <c r="A102" t="s">
        <v>228</v>
      </c>
      <c r="B102" s="1">
        <v>9.5324074074074078E-3</v>
      </c>
      <c r="C102" s="1">
        <v>1.238773148148148E-2</v>
      </c>
      <c r="D102" t="s">
        <v>13</v>
      </c>
      <c r="E102" t="s">
        <v>32</v>
      </c>
      <c r="F102" t="s">
        <v>229</v>
      </c>
      <c r="G102" t="s">
        <v>115</v>
      </c>
      <c r="H102" s="8">
        <f t="shared" si="13"/>
        <v>2.8553240740740726E-3</v>
      </c>
      <c r="I102" t="str">
        <f t="shared" si="14"/>
        <v>Saturday</v>
      </c>
      <c r="J102" t="str">
        <f t="shared" si="15"/>
        <v>January</v>
      </c>
    </row>
    <row r="103" spans="1:10" x14ac:dyDescent="0.3">
      <c r="A103" t="s">
        <v>230</v>
      </c>
      <c r="B103" s="1">
        <v>3.8317129629629632E-2</v>
      </c>
      <c r="C103" s="1">
        <v>2.1872685185185186E-2</v>
      </c>
      <c r="D103" t="s">
        <v>13</v>
      </c>
      <c r="E103" t="s">
        <v>42</v>
      </c>
      <c r="F103" t="s">
        <v>231</v>
      </c>
      <c r="G103" t="s">
        <v>16</v>
      </c>
      <c r="H103" s="8">
        <f t="shared" ref="H103:H104" si="18">B103-C103</f>
        <v>1.6444444444444446E-2</v>
      </c>
      <c r="I103" t="str">
        <f t="shared" si="14"/>
        <v>Saturday</v>
      </c>
      <c r="J103" t="str">
        <f t="shared" si="15"/>
        <v>January</v>
      </c>
    </row>
    <row r="104" spans="1:10" x14ac:dyDescent="0.3">
      <c r="A104" t="s">
        <v>232</v>
      </c>
      <c r="B104" s="1">
        <v>3.4260416666666668E-2</v>
      </c>
      <c r="C104" s="1">
        <v>1.4388888888888889E-2</v>
      </c>
      <c r="D104" t="s">
        <v>8</v>
      </c>
      <c r="E104" t="s">
        <v>32</v>
      </c>
      <c r="F104" t="s">
        <v>233</v>
      </c>
      <c r="G104" t="s">
        <v>29</v>
      </c>
      <c r="H104" s="8">
        <f t="shared" si="18"/>
        <v>1.987152777777778E-2</v>
      </c>
      <c r="I104" t="str">
        <f t="shared" si="14"/>
        <v>Saturday</v>
      </c>
      <c r="J104" t="str">
        <f t="shared" si="15"/>
        <v>January</v>
      </c>
    </row>
    <row r="105" spans="1:10" x14ac:dyDescent="0.3">
      <c r="A105" t="s">
        <v>234</v>
      </c>
      <c r="B105" s="1">
        <v>2.5032407407407409E-2</v>
      </c>
      <c r="C105" s="1">
        <v>4.1493055555555554E-2</v>
      </c>
      <c r="D105" t="s">
        <v>13</v>
      </c>
      <c r="E105" t="s">
        <v>55</v>
      </c>
      <c r="F105" t="s">
        <v>235</v>
      </c>
      <c r="G105" t="s">
        <v>16</v>
      </c>
      <c r="H105" s="8">
        <f t="shared" si="13"/>
        <v>1.6460648148148144E-2</v>
      </c>
      <c r="I105" t="str">
        <f t="shared" si="14"/>
        <v>Saturday</v>
      </c>
      <c r="J105" t="str">
        <f t="shared" si="15"/>
        <v>January</v>
      </c>
    </row>
    <row r="106" spans="1:10" x14ac:dyDescent="0.3">
      <c r="A106" t="s">
        <v>236</v>
      </c>
      <c r="B106" s="1">
        <v>1.320949074074074E-2</v>
      </c>
      <c r="C106" s="1">
        <v>2.5315972222222226E-2</v>
      </c>
      <c r="D106" t="s">
        <v>81</v>
      </c>
      <c r="E106" t="s">
        <v>55</v>
      </c>
      <c r="F106" t="s">
        <v>237</v>
      </c>
      <c r="G106" t="s">
        <v>11</v>
      </c>
      <c r="H106" s="8">
        <f t="shared" si="13"/>
        <v>1.2106481481481485E-2</v>
      </c>
      <c r="I106" t="str">
        <f t="shared" si="14"/>
        <v>Saturday</v>
      </c>
      <c r="J106" t="str">
        <f t="shared" si="15"/>
        <v>January</v>
      </c>
    </row>
    <row r="107" spans="1:10" x14ac:dyDescent="0.3">
      <c r="A107" t="s">
        <v>238</v>
      </c>
      <c r="B107" s="1">
        <v>3.1321759259259258E-2</v>
      </c>
      <c r="C107" s="1">
        <v>2.8745370370370369E-2</v>
      </c>
      <c r="D107" t="s">
        <v>45</v>
      </c>
      <c r="E107" t="s">
        <v>46</v>
      </c>
      <c r="F107" t="s">
        <v>239</v>
      </c>
      <c r="G107" t="s">
        <v>29</v>
      </c>
      <c r="H107" s="8">
        <f>B107-C107</f>
        <v>2.5763888888888885E-3</v>
      </c>
      <c r="I107" t="str">
        <f t="shared" si="14"/>
        <v>Saturday</v>
      </c>
      <c r="J107" t="str">
        <f t="shared" si="15"/>
        <v>January</v>
      </c>
    </row>
    <row r="108" spans="1:10" x14ac:dyDescent="0.3">
      <c r="A108" t="s">
        <v>240</v>
      </c>
      <c r="B108" s="1">
        <v>1.2519675925925927E-2</v>
      </c>
      <c r="C108" s="1">
        <v>2.0572916666666666E-2</v>
      </c>
      <c r="D108" t="s">
        <v>81</v>
      </c>
      <c r="E108" t="s">
        <v>18</v>
      </c>
      <c r="F108" t="s">
        <v>241</v>
      </c>
      <c r="G108" t="s">
        <v>16</v>
      </c>
      <c r="H108" s="8">
        <f t="shared" si="13"/>
        <v>8.0532407407407393E-3</v>
      </c>
      <c r="I108" t="str">
        <f t="shared" si="14"/>
        <v>Saturday</v>
      </c>
      <c r="J108" t="str">
        <f t="shared" si="15"/>
        <v>January</v>
      </c>
    </row>
    <row r="109" spans="1:10" x14ac:dyDescent="0.3">
      <c r="A109" t="s">
        <v>242</v>
      </c>
      <c r="B109" s="1">
        <v>3.763773148148148E-2</v>
      </c>
      <c r="C109" s="1">
        <v>7.7708333333333327E-3</v>
      </c>
      <c r="D109" t="s">
        <v>21</v>
      </c>
      <c r="E109" t="s">
        <v>14</v>
      </c>
      <c r="F109" t="s">
        <v>243</v>
      </c>
      <c r="G109" t="s">
        <v>29</v>
      </c>
      <c r="H109" s="8">
        <f t="shared" ref="H109:H110" si="19">B109-C109</f>
        <v>2.9866898148148149E-2</v>
      </c>
      <c r="I109" t="str">
        <f t="shared" si="14"/>
        <v>Saturday</v>
      </c>
      <c r="J109" t="str">
        <f t="shared" si="15"/>
        <v>January</v>
      </c>
    </row>
    <row r="110" spans="1:10" x14ac:dyDescent="0.3">
      <c r="A110" t="s">
        <v>244</v>
      </c>
      <c r="B110" s="1">
        <v>3.9994212962962961E-2</v>
      </c>
      <c r="C110" s="1">
        <v>3.911111111111111E-2</v>
      </c>
      <c r="D110" t="s">
        <v>21</v>
      </c>
      <c r="E110" t="s">
        <v>18</v>
      </c>
      <c r="F110" t="s">
        <v>245</v>
      </c>
      <c r="G110" t="s">
        <v>11</v>
      </c>
      <c r="H110" s="8">
        <f t="shared" si="19"/>
        <v>8.8310185185185019E-4</v>
      </c>
      <c r="I110" t="str">
        <f t="shared" si="14"/>
        <v>Saturday</v>
      </c>
      <c r="J110" t="str">
        <f t="shared" si="15"/>
        <v>January</v>
      </c>
    </row>
    <row r="111" spans="1:10" x14ac:dyDescent="0.3">
      <c r="A111" t="s">
        <v>246</v>
      </c>
      <c r="B111" s="1">
        <v>1.6813657407407409E-2</v>
      </c>
      <c r="C111" s="1">
        <v>1.7074074074074075E-2</v>
      </c>
      <c r="D111" t="s">
        <v>13</v>
      </c>
      <c r="E111" t="s">
        <v>18</v>
      </c>
      <c r="F111" t="s">
        <v>247</v>
      </c>
      <c r="G111" t="s">
        <v>29</v>
      </c>
      <c r="H111" s="8">
        <f t="shared" si="13"/>
        <v>2.6041666666666574E-4</v>
      </c>
      <c r="I111" t="str">
        <f t="shared" si="14"/>
        <v>Saturday</v>
      </c>
      <c r="J111" t="str">
        <f t="shared" si="15"/>
        <v>January</v>
      </c>
    </row>
    <row r="112" spans="1:10" x14ac:dyDescent="0.3">
      <c r="A112" t="s">
        <v>248</v>
      </c>
      <c r="B112" s="1">
        <v>3.9160879629629629E-2</v>
      </c>
      <c r="C112" s="1">
        <v>2.4899305555555556E-2</v>
      </c>
      <c r="D112" t="s">
        <v>31</v>
      </c>
      <c r="E112" t="s">
        <v>42</v>
      </c>
      <c r="F112" t="s">
        <v>249</v>
      </c>
      <c r="G112" t="s">
        <v>11</v>
      </c>
      <c r="H112" s="8">
        <f>B112-C112</f>
        <v>1.4261574074074072E-2</v>
      </c>
      <c r="I112" t="str">
        <f t="shared" si="14"/>
        <v>Saturday</v>
      </c>
      <c r="J112" t="str">
        <f t="shared" si="15"/>
        <v>January</v>
      </c>
    </row>
    <row r="113" spans="1:10" x14ac:dyDescent="0.3">
      <c r="A113" t="s">
        <v>250</v>
      </c>
      <c r="B113" s="1">
        <v>2.0770833333333332E-2</v>
      </c>
      <c r="C113" s="1">
        <v>2.7917824074074074E-2</v>
      </c>
      <c r="D113" t="s">
        <v>13</v>
      </c>
      <c r="E113" t="s">
        <v>18</v>
      </c>
      <c r="F113" t="s">
        <v>251</v>
      </c>
      <c r="G113" t="s">
        <v>29</v>
      </c>
      <c r="H113" s="8">
        <f t="shared" si="13"/>
        <v>7.1469907407407419E-3</v>
      </c>
      <c r="I113" t="str">
        <f t="shared" si="14"/>
        <v>Saturday</v>
      </c>
      <c r="J113" t="str">
        <f t="shared" si="15"/>
        <v>January</v>
      </c>
    </row>
    <row r="114" spans="1:10" x14ac:dyDescent="0.3">
      <c r="A114" t="s">
        <v>252</v>
      </c>
      <c r="B114" s="1">
        <v>1.517361111111111E-3</v>
      </c>
      <c r="C114" s="1">
        <v>2.8421296296296295E-2</v>
      </c>
      <c r="D114" t="s">
        <v>60</v>
      </c>
      <c r="E114" t="s">
        <v>14</v>
      </c>
      <c r="F114" t="s">
        <v>253</v>
      </c>
      <c r="G114" t="s">
        <v>29</v>
      </c>
      <c r="H114" s="8">
        <f t="shared" si="13"/>
        <v>2.6903935185185184E-2</v>
      </c>
      <c r="I114" t="str">
        <f t="shared" si="14"/>
        <v>Saturday</v>
      </c>
      <c r="J114" t="str">
        <f t="shared" si="15"/>
        <v>January</v>
      </c>
    </row>
    <row r="115" spans="1:10" x14ac:dyDescent="0.3">
      <c r="A115" t="s">
        <v>254</v>
      </c>
      <c r="B115" s="1">
        <v>1.3751157407407406E-2</v>
      </c>
      <c r="C115" s="1">
        <v>2.1934027777777778E-2</v>
      </c>
      <c r="D115" t="s">
        <v>21</v>
      </c>
      <c r="E115" t="s">
        <v>22</v>
      </c>
      <c r="F115" t="s">
        <v>255</v>
      </c>
      <c r="G115" t="s">
        <v>11</v>
      </c>
      <c r="H115" s="8">
        <f t="shared" si="13"/>
        <v>8.1828703703703716E-3</v>
      </c>
      <c r="I115" t="str">
        <f t="shared" si="14"/>
        <v>Saturday</v>
      </c>
      <c r="J115" t="str">
        <f t="shared" si="15"/>
        <v>January</v>
      </c>
    </row>
    <row r="116" spans="1:10" x14ac:dyDescent="0.3">
      <c r="A116" t="s">
        <v>256</v>
      </c>
      <c r="B116" s="1">
        <v>2.7258101851851849E-2</v>
      </c>
      <c r="C116" s="1">
        <v>5.1863425925925931E-3</v>
      </c>
      <c r="D116" t="s">
        <v>8</v>
      </c>
      <c r="E116" t="s">
        <v>25</v>
      </c>
      <c r="F116" t="s">
        <v>257</v>
      </c>
      <c r="G116" t="s">
        <v>16</v>
      </c>
      <c r="H116" s="8">
        <f>B116-C116</f>
        <v>2.2071759259259256E-2</v>
      </c>
      <c r="I116" t="str">
        <f t="shared" si="14"/>
        <v>Saturday</v>
      </c>
      <c r="J116" t="str">
        <f t="shared" si="15"/>
        <v>January</v>
      </c>
    </row>
    <row r="117" spans="1:10" x14ac:dyDescent="0.3">
      <c r="A117" t="s">
        <v>258</v>
      </c>
      <c r="B117" s="1">
        <v>1.5844907407407409E-3</v>
      </c>
      <c r="C117" s="1">
        <v>3.5277777777777776E-2</v>
      </c>
      <c r="D117" t="s">
        <v>31</v>
      </c>
      <c r="E117" t="s">
        <v>55</v>
      </c>
      <c r="F117" t="s">
        <v>259</v>
      </c>
      <c r="G117" t="s">
        <v>29</v>
      </c>
      <c r="H117" s="8">
        <f t="shared" si="13"/>
        <v>3.3693287037037035E-2</v>
      </c>
      <c r="I117" t="str">
        <f t="shared" si="14"/>
        <v>Saturday</v>
      </c>
      <c r="J117" t="str">
        <f t="shared" si="15"/>
        <v>January</v>
      </c>
    </row>
    <row r="118" spans="1:10" x14ac:dyDescent="0.3">
      <c r="A118" t="s">
        <v>260</v>
      </c>
      <c r="B118" s="1">
        <v>2.0348379629629629E-2</v>
      </c>
      <c r="C118" s="1">
        <v>3.4958333333333334E-2</v>
      </c>
      <c r="D118" t="s">
        <v>13</v>
      </c>
      <c r="E118" t="s">
        <v>18</v>
      </c>
      <c r="F118" t="s">
        <v>261</v>
      </c>
      <c r="G118" t="s">
        <v>16</v>
      </c>
      <c r="H118" s="8">
        <f t="shared" si="13"/>
        <v>1.4609953703703705E-2</v>
      </c>
      <c r="I118" t="str">
        <f t="shared" si="14"/>
        <v>Saturday</v>
      </c>
      <c r="J118" t="str">
        <f t="shared" si="15"/>
        <v>January</v>
      </c>
    </row>
    <row r="119" spans="1:10" x14ac:dyDescent="0.3">
      <c r="A119" t="s">
        <v>262</v>
      </c>
      <c r="B119" s="1">
        <v>2.7818287037037037E-2</v>
      </c>
      <c r="C119" s="1">
        <v>1.3033564814814814E-2</v>
      </c>
      <c r="D119" t="s">
        <v>31</v>
      </c>
      <c r="E119" t="s">
        <v>46</v>
      </c>
      <c r="F119" t="s">
        <v>263</v>
      </c>
      <c r="G119" t="s">
        <v>16</v>
      </c>
      <c r="H119" s="8">
        <f>B119-C119</f>
        <v>1.4784722222222223E-2</v>
      </c>
      <c r="I119" t="str">
        <f t="shared" si="14"/>
        <v>Saturday</v>
      </c>
      <c r="J119" t="str">
        <f t="shared" si="15"/>
        <v>January</v>
      </c>
    </row>
    <row r="120" spans="1:10" x14ac:dyDescent="0.3">
      <c r="A120" t="s">
        <v>264</v>
      </c>
      <c r="B120" s="1">
        <v>2.9429398148148146E-2</v>
      </c>
      <c r="C120" s="1">
        <v>4.1630787037037036E-2</v>
      </c>
      <c r="D120" t="s">
        <v>81</v>
      </c>
      <c r="E120" t="s">
        <v>32</v>
      </c>
      <c r="F120" t="s">
        <v>265</v>
      </c>
      <c r="G120" t="s">
        <v>29</v>
      </c>
      <c r="H120" s="8">
        <f t="shared" si="13"/>
        <v>1.220138888888889E-2</v>
      </c>
      <c r="I120" t="str">
        <f t="shared" si="14"/>
        <v>Saturday</v>
      </c>
      <c r="J120" t="str">
        <f t="shared" si="15"/>
        <v>January</v>
      </c>
    </row>
    <row r="121" spans="1:10" x14ac:dyDescent="0.3">
      <c r="A121" t="s">
        <v>266</v>
      </c>
      <c r="B121" s="1">
        <v>1.0814814814814815E-2</v>
      </c>
      <c r="C121" s="1">
        <v>3.6666666666666666E-3</v>
      </c>
      <c r="D121" t="s">
        <v>21</v>
      </c>
      <c r="E121" t="s">
        <v>14</v>
      </c>
      <c r="F121" t="s">
        <v>267</v>
      </c>
      <c r="G121" t="s">
        <v>16</v>
      </c>
      <c r="H121" s="8">
        <f>B121-C121</f>
        <v>7.1481481481481483E-3</v>
      </c>
      <c r="I121" t="str">
        <f t="shared" si="14"/>
        <v>Saturday</v>
      </c>
      <c r="J121" t="str">
        <f t="shared" si="15"/>
        <v>January</v>
      </c>
    </row>
    <row r="122" spans="1:10" x14ac:dyDescent="0.3">
      <c r="A122" t="s">
        <v>268</v>
      </c>
      <c r="B122" s="1">
        <v>1.6377314814814815E-3</v>
      </c>
      <c r="C122" s="1">
        <v>1.7631944444444447E-2</v>
      </c>
      <c r="D122" t="s">
        <v>8</v>
      </c>
      <c r="E122" t="s">
        <v>25</v>
      </c>
      <c r="F122" t="s">
        <v>269</v>
      </c>
      <c r="G122" t="s">
        <v>16</v>
      </c>
      <c r="H122" s="8">
        <f t="shared" si="13"/>
        <v>1.5994212962962964E-2</v>
      </c>
      <c r="I122" t="str">
        <f t="shared" si="14"/>
        <v>Saturday</v>
      </c>
      <c r="J122" t="str">
        <f t="shared" si="15"/>
        <v>January</v>
      </c>
    </row>
    <row r="123" spans="1:10" x14ac:dyDescent="0.3">
      <c r="A123" t="s">
        <v>270</v>
      </c>
      <c r="B123" s="1">
        <v>5.9004629629629633E-3</v>
      </c>
      <c r="C123" s="1">
        <v>2.2027777777777778E-2</v>
      </c>
      <c r="D123" t="s">
        <v>31</v>
      </c>
      <c r="E123" t="s">
        <v>42</v>
      </c>
      <c r="F123" t="s">
        <v>271</v>
      </c>
      <c r="G123" t="s">
        <v>16</v>
      </c>
      <c r="H123" s="8">
        <f t="shared" si="13"/>
        <v>1.6127314814814817E-2</v>
      </c>
      <c r="I123" t="str">
        <f t="shared" si="14"/>
        <v>Saturday</v>
      </c>
      <c r="J123" t="str">
        <f t="shared" si="15"/>
        <v>January</v>
      </c>
    </row>
    <row r="124" spans="1:10" x14ac:dyDescent="0.3">
      <c r="A124" t="s">
        <v>272</v>
      </c>
      <c r="B124" s="1">
        <v>3.4915509259259257E-2</v>
      </c>
      <c r="C124" s="1">
        <v>1.7216435185185185E-2</v>
      </c>
      <c r="D124" t="s">
        <v>13</v>
      </c>
      <c r="E124" t="s">
        <v>9</v>
      </c>
      <c r="F124" t="s">
        <v>273</v>
      </c>
      <c r="G124" t="s">
        <v>16</v>
      </c>
      <c r="H124" s="8">
        <f t="shared" ref="H124:H125" si="20">B124-C124</f>
        <v>1.7699074074074072E-2</v>
      </c>
      <c r="I124" t="str">
        <f t="shared" si="14"/>
        <v>Saturday</v>
      </c>
      <c r="J124" t="str">
        <f t="shared" si="15"/>
        <v>January</v>
      </c>
    </row>
    <row r="125" spans="1:10" x14ac:dyDescent="0.3">
      <c r="A125" t="s">
        <v>274</v>
      </c>
      <c r="B125" s="1">
        <v>7.9976851851851858E-3</v>
      </c>
      <c r="C125" s="1">
        <v>4.5451388888888885E-3</v>
      </c>
      <c r="D125" t="s">
        <v>45</v>
      </c>
      <c r="E125" t="s">
        <v>14</v>
      </c>
      <c r="F125" t="s">
        <v>275</v>
      </c>
      <c r="G125" t="s">
        <v>16</v>
      </c>
      <c r="H125" s="8">
        <f t="shared" si="20"/>
        <v>3.4525462962962973E-3</v>
      </c>
      <c r="I125" t="str">
        <f t="shared" si="14"/>
        <v>Saturday</v>
      </c>
      <c r="J125" t="str">
        <f t="shared" si="15"/>
        <v>January</v>
      </c>
    </row>
    <row r="126" spans="1:10" x14ac:dyDescent="0.3">
      <c r="A126" t="s">
        <v>276</v>
      </c>
      <c r="B126" s="1">
        <v>2.7638888888888891E-3</v>
      </c>
      <c r="C126" s="1">
        <v>3.2322916666666666E-2</v>
      </c>
      <c r="D126" t="s">
        <v>81</v>
      </c>
      <c r="E126" t="s">
        <v>55</v>
      </c>
      <c r="F126" t="s">
        <v>277</v>
      </c>
      <c r="G126" t="s">
        <v>16</v>
      </c>
      <c r="H126" s="8">
        <f t="shared" si="13"/>
        <v>2.9559027777777778E-2</v>
      </c>
      <c r="I126" t="str">
        <f t="shared" si="14"/>
        <v>Saturday</v>
      </c>
      <c r="J126" t="str">
        <f t="shared" si="15"/>
        <v>January</v>
      </c>
    </row>
    <row r="127" spans="1:10" x14ac:dyDescent="0.3">
      <c r="A127" t="s">
        <v>278</v>
      </c>
      <c r="B127" s="1">
        <v>1.9415509259259261E-2</v>
      </c>
      <c r="C127" s="1">
        <v>7.8958333333333346E-3</v>
      </c>
      <c r="D127" t="s">
        <v>81</v>
      </c>
      <c r="E127" t="s">
        <v>22</v>
      </c>
      <c r="F127" t="s">
        <v>279</v>
      </c>
      <c r="G127" t="s">
        <v>16</v>
      </c>
      <c r="H127" s="8">
        <f t="shared" ref="H127:H128" si="21">B127-C127</f>
        <v>1.1519675925925926E-2</v>
      </c>
      <c r="I127" t="str">
        <f t="shared" si="14"/>
        <v>Saturday</v>
      </c>
      <c r="J127" t="str">
        <f t="shared" si="15"/>
        <v>January</v>
      </c>
    </row>
    <row r="128" spans="1:10" x14ac:dyDescent="0.3">
      <c r="A128" t="s">
        <v>280</v>
      </c>
      <c r="B128" s="1">
        <v>1.5771990740740743E-2</v>
      </c>
      <c r="C128" s="1">
        <v>3.2662037037037035E-3</v>
      </c>
      <c r="D128" t="s">
        <v>21</v>
      </c>
      <c r="E128" t="s">
        <v>32</v>
      </c>
      <c r="F128" t="s">
        <v>281</v>
      </c>
      <c r="G128" t="s">
        <v>29</v>
      </c>
      <c r="H128" s="8">
        <f t="shared" si="21"/>
        <v>1.2505787037037039E-2</v>
      </c>
      <c r="I128" t="str">
        <f t="shared" si="14"/>
        <v>Saturday</v>
      </c>
      <c r="J128" t="str">
        <f t="shared" si="15"/>
        <v>January</v>
      </c>
    </row>
    <row r="129" spans="1:10" x14ac:dyDescent="0.3">
      <c r="A129" t="s">
        <v>282</v>
      </c>
      <c r="B129" s="1">
        <v>1.61875E-2</v>
      </c>
      <c r="C129" s="1">
        <v>1.633796296296296E-2</v>
      </c>
      <c r="D129" t="s">
        <v>13</v>
      </c>
      <c r="E129" t="s">
        <v>55</v>
      </c>
      <c r="F129" t="s">
        <v>283</v>
      </c>
      <c r="G129" t="s">
        <v>29</v>
      </c>
      <c r="H129" s="8">
        <f t="shared" si="13"/>
        <v>1.5046296296295988E-4</v>
      </c>
      <c r="I129" t="str">
        <f t="shared" si="14"/>
        <v>Saturday</v>
      </c>
      <c r="J129" t="str">
        <f t="shared" si="15"/>
        <v>January</v>
      </c>
    </row>
    <row r="130" spans="1:10" x14ac:dyDescent="0.3">
      <c r="A130" t="s">
        <v>284</v>
      </c>
      <c r="B130" s="1">
        <v>1.4826388888888888E-3</v>
      </c>
      <c r="C130" s="1">
        <v>1.292361111111111E-2</v>
      </c>
      <c r="D130" t="s">
        <v>45</v>
      </c>
      <c r="E130" t="s">
        <v>18</v>
      </c>
      <c r="F130" t="s">
        <v>285</v>
      </c>
      <c r="G130" t="s">
        <v>11</v>
      </c>
      <c r="H130" s="8">
        <f t="shared" si="13"/>
        <v>1.144097222222222E-2</v>
      </c>
      <c r="I130" t="str">
        <f t="shared" si="14"/>
        <v>Saturday</v>
      </c>
      <c r="J130" t="str">
        <f t="shared" si="15"/>
        <v>January</v>
      </c>
    </row>
    <row r="131" spans="1:10" x14ac:dyDescent="0.3">
      <c r="A131" t="s">
        <v>286</v>
      </c>
      <c r="B131" s="1">
        <v>2.1055555555555557E-2</v>
      </c>
      <c r="C131" s="1">
        <v>6.3055555555555547E-3</v>
      </c>
      <c r="D131" t="s">
        <v>8</v>
      </c>
      <c r="E131" t="s">
        <v>14</v>
      </c>
      <c r="F131" t="s">
        <v>287</v>
      </c>
      <c r="G131" t="s">
        <v>16</v>
      </c>
      <c r="H131" s="8">
        <f t="shared" ref="H131:H135" si="22">B131-C131</f>
        <v>1.4750000000000003E-2</v>
      </c>
      <c r="I131" t="str">
        <f t="shared" ref="I131:I151" si="23">TEXT(B131, "dddd")</f>
        <v>Saturday</v>
      </c>
      <c r="J131" t="str">
        <f t="shared" ref="J131:J151" si="24">TEXT(B131, "mmmm")</f>
        <v>January</v>
      </c>
    </row>
    <row r="132" spans="1:10" x14ac:dyDescent="0.3">
      <c r="A132" t="s">
        <v>288</v>
      </c>
      <c r="B132" s="1">
        <v>3.7687499999999999E-2</v>
      </c>
      <c r="C132" s="1">
        <v>2.5810185185185186E-2</v>
      </c>
      <c r="D132" t="s">
        <v>81</v>
      </c>
      <c r="E132" t="s">
        <v>35</v>
      </c>
      <c r="F132" t="s">
        <v>289</v>
      </c>
      <c r="G132" t="s">
        <v>29</v>
      </c>
      <c r="H132" s="8">
        <f t="shared" si="22"/>
        <v>1.1877314814814813E-2</v>
      </c>
      <c r="I132" t="str">
        <f t="shared" si="23"/>
        <v>Saturday</v>
      </c>
      <c r="J132" t="str">
        <f t="shared" si="24"/>
        <v>January</v>
      </c>
    </row>
    <row r="133" spans="1:10" x14ac:dyDescent="0.3">
      <c r="A133" t="s">
        <v>290</v>
      </c>
      <c r="B133" s="1">
        <v>2.0755787037037038E-2</v>
      </c>
      <c r="C133" s="1">
        <v>1.4230324074074074E-2</v>
      </c>
      <c r="D133" t="s">
        <v>81</v>
      </c>
      <c r="E133" t="s">
        <v>18</v>
      </c>
      <c r="F133" t="s">
        <v>291</v>
      </c>
      <c r="G133" t="s">
        <v>29</v>
      </c>
      <c r="H133" s="8">
        <f t="shared" si="22"/>
        <v>6.5254629629629638E-3</v>
      </c>
      <c r="I133" t="str">
        <f t="shared" si="23"/>
        <v>Saturday</v>
      </c>
      <c r="J133" t="str">
        <f t="shared" si="24"/>
        <v>January</v>
      </c>
    </row>
    <row r="134" spans="1:10" x14ac:dyDescent="0.3">
      <c r="A134" t="s">
        <v>292</v>
      </c>
      <c r="B134" s="1">
        <v>2.6587962962962963E-2</v>
      </c>
      <c r="C134" s="1">
        <v>4.0381944444444441E-3</v>
      </c>
      <c r="D134" t="s">
        <v>8</v>
      </c>
      <c r="E134" t="s">
        <v>42</v>
      </c>
      <c r="F134" t="s">
        <v>293</v>
      </c>
      <c r="G134" t="s">
        <v>29</v>
      </c>
      <c r="H134" s="8">
        <f t="shared" si="22"/>
        <v>2.2549768518518518E-2</v>
      </c>
      <c r="I134" t="str">
        <f t="shared" si="23"/>
        <v>Saturday</v>
      </c>
      <c r="J134" t="str">
        <f t="shared" si="24"/>
        <v>January</v>
      </c>
    </row>
    <row r="135" spans="1:10" x14ac:dyDescent="0.3">
      <c r="A135" t="s">
        <v>294</v>
      </c>
      <c r="B135" s="1">
        <v>5.0208333333333337E-3</v>
      </c>
      <c r="C135" s="1">
        <v>3.6261574074074074E-3</v>
      </c>
      <c r="D135" t="s">
        <v>31</v>
      </c>
      <c r="E135" t="s">
        <v>22</v>
      </c>
      <c r="F135" t="s">
        <v>295</v>
      </c>
      <c r="G135" t="s">
        <v>11</v>
      </c>
      <c r="H135" s="8">
        <f t="shared" si="22"/>
        <v>1.3946759259259264E-3</v>
      </c>
      <c r="I135" t="str">
        <f t="shared" si="23"/>
        <v>Saturday</v>
      </c>
      <c r="J135" t="str">
        <f t="shared" si="24"/>
        <v>January</v>
      </c>
    </row>
    <row r="136" spans="1:10" x14ac:dyDescent="0.3">
      <c r="A136" t="s">
        <v>296</v>
      </c>
      <c r="B136" s="1">
        <v>1.9664351851851852E-3</v>
      </c>
      <c r="C136" s="1">
        <v>2.6826388888888893E-2</v>
      </c>
      <c r="D136" t="s">
        <v>8</v>
      </c>
      <c r="E136" t="s">
        <v>32</v>
      </c>
      <c r="F136" t="s">
        <v>297</v>
      </c>
      <c r="G136" t="s">
        <v>29</v>
      </c>
      <c r="H136" s="8">
        <f t="shared" ref="H136:H151" si="25">(C136 - B136)</f>
        <v>2.4859953703703707E-2</v>
      </c>
      <c r="I136" t="str">
        <f t="shared" si="23"/>
        <v>Saturday</v>
      </c>
      <c r="J136" t="str">
        <f t="shared" si="24"/>
        <v>January</v>
      </c>
    </row>
    <row r="137" spans="1:10" x14ac:dyDescent="0.3">
      <c r="A137" t="s">
        <v>298</v>
      </c>
      <c r="B137" s="1">
        <v>3.9740740740740743E-2</v>
      </c>
      <c r="C137" s="1">
        <v>3.2086805555555556E-2</v>
      </c>
      <c r="D137" t="s">
        <v>60</v>
      </c>
      <c r="E137" t="s">
        <v>35</v>
      </c>
      <c r="F137" t="s">
        <v>299</v>
      </c>
      <c r="G137" t="s">
        <v>29</v>
      </c>
      <c r="H137" s="8">
        <f t="shared" ref="H137:H138" si="26">B137-C137</f>
        <v>7.6539351851851872E-3</v>
      </c>
      <c r="I137" t="str">
        <f t="shared" si="23"/>
        <v>Saturday</v>
      </c>
      <c r="J137" t="str">
        <f t="shared" si="24"/>
        <v>January</v>
      </c>
    </row>
    <row r="138" spans="1:10" x14ac:dyDescent="0.3">
      <c r="A138" t="s">
        <v>300</v>
      </c>
      <c r="B138" s="1">
        <v>3.4874999999999996E-2</v>
      </c>
      <c r="C138" s="1">
        <v>3.2855324074074072E-2</v>
      </c>
      <c r="D138" t="s">
        <v>21</v>
      </c>
      <c r="E138" t="s">
        <v>35</v>
      </c>
      <c r="F138" t="s">
        <v>301</v>
      </c>
      <c r="G138" t="s">
        <v>29</v>
      </c>
      <c r="H138" s="8">
        <f t="shared" si="26"/>
        <v>2.0196759259259248E-3</v>
      </c>
      <c r="I138" t="str">
        <f t="shared" si="23"/>
        <v>Saturday</v>
      </c>
      <c r="J138" t="str">
        <f t="shared" si="24"/>
        <v>January</v>
      </c>
    </row>
    <row r="139" spans="1:10" x14ac:dyDescent="0.3">
      <c r="A139" t="s">
        <v>302</v>
      </c>
      <c r="B139" s="1">
        <v>1.0131944444444443E-2</v>
      </c>
      <c r="C139" s="1">
        <v>1.1700231481481482E-2</v>
      </c>
      <c r="D139" t="s">
        <v>21</v>
      </c>
      <c r="E139" t="s">
        <v>14</v>
      </c>
      <c r="F139" t="s">
        <v>303</v>
      </c>
      <c r="G139" t="s">
        <v>29</v>
      </c>
      <c r="H139" s="8">
        <f t="shared" si="25"/>
        <v>1.5682870370370382E-3</v>
      </c>
      <c r="I139" t="str">
        <f t="shared" si="23"/>
        <v>Saturday</v>
      </c>
      <c r="J139" t="str">
        <f t="shared" si="24"/>
        <v>January</v>
      </c>
    </row>
    <row r="140" spans="1:10" x14ac:dyDescent="0.3">
      <c r="A140" t="s">
        <v>304</v>
      </c>
      <c r="B140" s="1">
        <v>1.5805555555555555E-2</v>
      </c>
      <c r="C140" s="1">
        <v>2.8592592592592593E-2</v>
      </c>
      <c r="D140" t="s">
        <v>13</v>
      </c>
      <c r="E140" t="s">
        <v>9</v>
      </c>
      <c r="F140" t="s">
        <v>305</v>
      </c>
      <c r="G140" t="s">
        <v>16</v>
      </c>
      <c r="H140" s="8">
        <f t="shared" si="25"/>
        <v>1.2787037037037038E-2</v>
      </c>
      <c r="I140" t="str">
        <f t="shared" si="23"/>
        <v>Saturday</v>
      </c>
      <c r="J140" t="str">
        <f t="shared" si="24"/>
        <v>January</v>
      </c>
    </row>
    <row r="141" spans="1:10" x14ac:dyDescent="0.3">
      <c r="A141" t="s">
        <v>306</v>
      </c>
      <c r="B141" s="1">
        <v>2.700578703703704E-2</v>
      </c>
      <c r="C141" s="1">
        <v>1.716087962962963E-2</v>
      </c>
      <c r="D141" t="s">
        <v>45</v>
      </c>
      <c r="E141" t="s">
        <v>35</v>
      </c>
      <c r="F141" t="s">
        <v>307</v>
      </c>
      <c r="G141" t="s">
        <v>29</v>
      </c>
      <c r="H141" s="8">
        <f t="shared" ref="H141:H143" si="27">B141-C141</f>
        <v>9.8449074074074099E-3</v>
      </c>
      <c r="I141" t="str">
        <f t="shared" si="23"/>
        <v>Saturday</v>
      </c>
      <c r="J141" t="str">
        <f t="shared" si="24"/>
        <v>January</v>
      </c>
    </row>
    <row r="142" spans="1:10" x14ac:dyDescent="0.3">
      <c r="A142" t="s">
        <v>308</v>
      </c>
      <c r="B142" s="1">
        <v>4.0298611111111111E-2</v>
      </c>
      <c r="C142" s="1">
        <v>3.5194444444444445E-2</v>
      </c>
      <c r="D142" t="s">
        <v>21</v>
      </c>
      <c r="E142" t="s">
        <v>46</v>
      </c>
      <c r="F142" t="s">
        <v>309</v>
      </c>
      <c r="G142" t="s">
        <v>16</v>
      </c>
      <c r="H142" s="8">
        <f t="shared" si="27"/>
        <v>5.1041666666666666E-3</v>
      </c>
      <c r="I142" t="str">
        <f t="shared" si="23"/>
        <v>Saturday</v>
      </c>
      <c r="J142" t="str">
        <f t="shared" si="24"/>
        <v>January</v>
      </c>
    </row>
    <row r="143" spans="1:10" x14ac:dyDescent="0.3">
      <c r="A143" t="s">
        <v>310</v>
      </c>
      <c r="B143" s="1">
        <v>1.5313657407407406E-2</v>
      </c>
      <c r="C143" s="1">
        <v>9.8344907407407409E-3</v>
      </c>
      <c r="D143" t="s">
        <v>21</v>
      </c>
      <c r="E143" t="s">
        <v>9</v>
      </c>
      <c r="F143" t="s">
        <v>311</v>
      </c>
      <c r="G143" t="s">
        <v>16</v>
      </c>
      <c r="H143" s="8">
        <f t="shared" si="27"/>
        <v>5.4791666666666652E-3</v>
      </c>
      <c r="I143" t="str">
        <f t="shared" si="23"/>
        <v>Saturday</v>
      </c>
      <c r="J143" t="str">
        <f t="shared" si="24"/>
        <v>January</v>
      </c>
    </row>
    <row r="144" spans="1:10" x14ac:dyDescent="0.3">
      <c r="A144" t="s">
        <v>312</v>
      </c>
      <c r="B144" s="1">
        <v>1.4344907407407409E-2</v>
      </c>
      <c r="C144" s="1">
        <v>2.4067129629629629E-2</v>
      </c>
      <c r="D144" t="s">
        <v>45</v>
      </c>
      <c r="E144" t="s">
        <v>25</v>
      </c>
      <c r="F144" t="s">
        <v>313</v>
      </c>
      <c r="G144" t="s">
        <v>16</v>
      </c>
      <c r="H144" s="8">
        <f t="shared" si="25"/>
        <v>9.7222222222222206E-3</v>
      </c>
      <c r="I144" t="str">
        <f t="shared" si="23"/>
        <v>Saturday</v>
      </c>
      <c r="J144" t="str">
        <f t="shared" si="24"/>
        <v>January</v>
      </c>
    </row>
    <row r="145" spans="1:10" x14ac:dyDescent="0.3">
      <c r="A145" t="s">
        <v>314</v>
      </c>
      <c r="B145" s="1">
        <v>3.4383101851851852E-2</v>
      </c>
      <c r="C145" s="1">
        <v>3.4458333333333334E-2</v>
      </c>
      <c r="D145" t="s">
        <v>21</v>
      </c>
      <c r="E145" t="s">
        <v>22</v>
      </c>
      <c r="F145" t="s">
        <v>315</v>
      </c>
      <c r="G145" t="s">
        <v>29</v>
      </c>
      <c r="H145" s="8">
        <f t="shared" si="25"/>
        <v>7.5231481481481677E-5</v>
      </c>
      <c r="I145" t="str">
        <f t="shared" si="23"/>
        <v>Saturday</v>
      </c>
      <c r="J145" t="str">
        <f t="shared" si="24"/>
        <v>January</v>
      </c>
    </row>
    <row r="146" spans="1:10" x14ac:dyDescent="0.3">
      <c r="A146" t="s">
        <v>316</v>
      </c>
      <c r="B146" s="1">
        <v>3.0069444444444445E-3</v>
      </c>
      <c r="C146" s="1">
        <v>1.2567129629629629E-2</v>
      </c>
      <c r="D146" t="s">
        <v>13</v>
      </c>
      <c r="E146" t="s">
        <v>46</v>
      </c>
      <c r="F146" t="s">
        <v>317</v>
      </c>
      <c r="G146" t="s">
        <v>16</v>
      </c>
      <c r="H146" s="8">
        <f t="shared" si="25"/>
        <v>9.5601851851851855E-3</v>
      </c>
      <c r="I146" t="str">
        <f t="shared" si="23"/>
        <v>Saturday</v>
      </c>
      <c r="J146" t="str">
        <f t="shared" si="24"/>
        <v>January</v>
      </c>
    </row>
    <row r="147" spans="1:10" x14ac:dyDescent="0.3">
      <c r="A147" t="s">
        <v>318</v>
      </c>
      <c r="B147" s="1">
        <v>3.4474537037037033E-2</v>
      </c>
      <c r="C147" s="1">
        <v>3.487847222222222E-2</v>
      </c>
      <c r="D147" t="s">
        <v>81</v>
      </c>
      <c r="E147" t="s">
        <v>22</v>
      </c>
      <c r="F147" t="s">
        <v>319</v>
      </c>
      <c r="G147" t="s">
        <v>115</v>
      </c>
      <c r="H147" s="8">
        <f t="shared" si="25"/>
        <v>4.0393518518518773E-4</v>
      </c>
      <c r="I147" t="str">
        <f t="shared" si="23"/>
        <v>Saturday</v>
      </c>
      <c r="J147" t="str">
        <f t="shared" si="24"/>
        <v>January</v>
      </c>
    </row>
    <row r="148" spans="1:10" x14ac:dyDescent="0.3">
      <c r="A148" t="s">
        <v>320</v>
      </c>
      <c r="B148" s="1">
        <v>2.3321759259259259E-3</v>
      </c>
      <c r="C148" s="1">
        <v>3.7722222222222219E-2</v>
      </c>
      <c r="D148" t="s">
        <v>45</v>
      </c>
      <c r="E148" t="s">
        <v>35</v>
      </c>
      <c r="F148" t="s">
        <v>321</v>
      </c>
      <c r="G148" t="s">
        <v>11</v>
      </c>
      <c r="H148" s="8">
        <f t="shared" si="25"/>
        <v>3.5390046296296294E-2</v>
      </c>
      <c r="I148" t="str">
        <f t="shared" si="23"/>
        <v>Saturday</v>
      </c>
      <c r="J148" t="str">
        <f t="shared" si="24"/>
        <v>January</v>
      </c>
    </row>
    <row r="149" spans="1:10" x14ac:dyDescent="0.3">
      <c r="A149" t="s">
        <v>322</v>
      </c>
      <c r="B149" s="1">
        <v>3.9379629629629632E-2</v>
      </c>
      <c r="C149" s="1">
        <v>8.0092592592592596E-4</v>
      </c>
      <c r="D149" t="s">
        <v>60</v>
      </c>
      <c r="E149" t="s">
        <v>22</v>
      </c>
      <c r="F149" t="s">
        <v>323</v>
      </c>
      <c r="G149" t="s">
        <v>29</v>
      </c>
      <c r="H149" s="8">
        <f>B149-C149</f>
        <v>3.8578703703703705E-2</v>
      </c>
      <c r="I149" t="str">
        <f t="shared" si="23"/>
        <v>Saturday</v>
      </c>
      <c r="J149" t="str">
        <f t="shared" si="24"/>
        <v>January</v>
      </c>
    </row>
    <row r="150" spans="1:10" x14ac:dyDescent="0.3">
      <c r="A150" t="s">
        <v>324</v>
      </c>
      <c r="B150" s="1">
        <v>1.5440972222222221E-2</v>
      </c>
      <c r="C150" s="1">
        <v>3.4859953703703705E-2</v>
      </c>
      <c r="D150" t="s">
        <v>8</v>
      </c>
      <c r="E150" t="s">
        <v>42</v>
      </c>
      <c r="F150" t="s">
        <v>325</v>
      </c>
      <c r="G150" t="s">
        <v>16</v>
      </c>
      <c r="H150" s="8">
        <f t="shared" si="25"/>
        <v>1.9418981481481485E-2</v>
      </c>
      <c r="I150" t="str">
        <f t="shared" si="23"/>
        <v>Saturday</v>
      </c>
      <c r="J150" t="str">
        <f t="shared" si="24"/>
        <v>January</v>
      </c>
    </row>
    <row r="151" spans="1:10" x14ac:dyDescent="0.3">
      <c r="A151" t="s">
        <v>326</v>
      </c>
      <c r="B151" s="1">
        <v>8.7824074074074072E-3</v>
      </c>
      <c r="C151" s="1">
        <v>9.3217592592592588E-3</v>
      </c>
      <c r="D151" t="s">
        <v>21</v>
      </c>
      <c r="E151" t="s">
        <v>9</v>
      </c>
      <c r="F151" t="s">
        <v>327</v>
      </c>
      <c r="G151" t="s">
        <v>16</v>
      </c>
      <c r="H151" s="8">
        <f t="shared" si="25"/>
        <v>5.3935185185185162E-4</v>
      </c>
      <c r="I151" t="str">
        <f t="shared" si="23"/>
        <v>Saturday</v>
      </c>
      <c r="J151" t="str">
        <f t="shared" si="24"/>
        <v>January</v>
      </c>
    </row>
  </sheetData>
  <autoFilter ref="A1:H151" xr:uid="{C123CF5F-B8F3-4551-8731-1CE83780538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8DB39-C73F-4637-B861-D2381E9D7A65}">
  <dimension ref="A2:E26"/>
  <sheetViews>
    <sheetView workbookViewId="0">
      <selection activeCell="K28" sqref="K28"/>
    </sheetView>
  </sheetViews>
  <sheetFormatPr defaultRowHeight="14.4" x14ac:dyDescent="0.3"/>
  <cols>
    <col min="1" max="1" width="12.44140625" bestFit="1" customWidth="1"/>
    <col min="2" max="2" width="23.33203125" bestFit="1" customWidth="1"/>
    <col min="4" max="4" width="12.44140625" bestFit="1" customWidth="1"/>
    <col min="5" max="5" width="23.33203125" bestFit="1" customWidth="1"/>
    <col min="6" max="6" width="30.109375" bestFit="1" customWidth="1"/>
  </cols>
  <sheetData>
    <row r="2" spans="1:5" x14ac:dyDescent="0.3">
      <c r="A2" s="4" t="s">
        <v>339</v>
      </c>
      <c r="B2" t="s">
        <v>337</v>
      </c>
      <c r="D2" s="4" t="s">
        <v>335</v>
      </c>
      <c r="E2" t="s">
        <v>337</v>
      </c>
    </row>
    <row r="3" spans="1:5" x14ac:dyDescent="0.3">
      <c r="A3" s="5" t="s">
        <v>336</v>
      </c>
      <c r="B3" s="6">
        <v>1.3243132716049381E-2</v>
      </c>
      <c r="D3" s="5" t="s">
        <v>338</v>
      </c>
      <c r="E3" s="6">
        <v>1.3243132716049381E-2</v>
      </c>
    </row>
    <row r="4" spans="1:5" x14ac:dyDescent="0.3">
      <c r="A4" s="5" t="s">
        <v>328</v>
      </c>
      <c r="B4" s="6">
        <v>1.3243132716049381E-2</v>
      </c>
      <c r="D4" s="5" t="s">
        <v>328</v>
      </c>
      <c r="E4" s="6">
        <v>1.3243132716049381E-2</v>
      </c>
    </row>
    <row r="12" spans="1:5" x14ac:dyDescent="0.3">
      <c r="A12" s="4" t="s">
        <v>335</v>
      </c>
      <c r="B12" t="s">
        <v>329</v>
      </c>
    </row>
    <row r="13" spans="1:5" x14ac:dyDescent="0.3">
      <c r="A13" s="5" t="s">
        <v>338</v>
      </c>
      <c r="B13">
        <v>150</v>
      </c>
    </row>
    <row r="14" spans="1:5" x14ac:dyDescent="0.3">
      <c r="A14" s="5" t="s">
        <v>328</v>
      </c>
      <c r="B14">
        <v>150</v>
      </c>
    </row>
    <row r="18" spans="1:2" x14ac:dyDescent="0.3">
      <c r="A18" s="4" t="s">
        <v>330</v>
      </c>
      <c r="B18" t="s">
        <v>337</v>
      </c>
    </row>
    <row r="19" spans="1:2" x14ac:dyDescent="0.3">
      <c r="A19" s="5" t="s">
        <v>31</v>
      </c>
      <c r="B19" s="6">
        <v>1.8801697530864199E-2</v>
      </c>
    </row>
    <row r="20" spans="1:2" x14ac:dyDescent="0.3">
      <c r="A20" s="5" t="s">
        <v>81</v>
      </c>
      <c r="B20" s="6">
        <v>1.2491319444444442E-2</v>
      </c>
    </row>
    <row r="21" spans="1:2" x14ac:dyDescent="0.3">
      <c r="A21" s="5" t="s">
        <v>21</v>
      </c>
      <c r="B21" s="6">
        <v>1.0125868055555555E-2</v>
      </c>
    </row>
    <row r="22" spans="1:2" x14ac:dyDescent="0.3">
      <c r="A22" s="5" t="s">
        <v>45</v>
      </c>
      <c r="B22" s="6">
        <v>1.3201992753623191E-2</v>
      </c>
    </row>
    <row r="23" spans="1:2" x14ac:dyDescent="0.3">
      <c r="A23" s="5" t="s">
        <v>8</v>
      </c>
      <c r="B23" s="6">
        <v>1.6619084362139921E-2</v>
      </c>
    </row>
    <row r="24" spans="1:2" x14ac:dyDescent="0.3">
      <c r="A24" s="5" t="s">
        <v>60</v>
      </c>
      <c r="B24" s="6">
        <v>1.3270502645502644E-2</v>
      </c>
    </row>
    <row r="25" spans="1:2" x14ac:dyDescent="0.3">
      <c r="A25" s="5" t="s">
        <v>13</v>
      </c>
      <c r="B25" s="6">
        <v>1.2075390341321714E-2</v>
      </c>
    </row>
    <row r="26" spans="1:2" x14ac:dyDescent="0.3">
      <c r="A26" s="5" t="s">
        <v>328</v>
      </c>
      <c r="B26" s="6">
        <v>1.3243132716049379E-2</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F048D-4DEB-437D-8C5C-DDE228DC88B9}">
  <dimension ref="A2:E18"/>
  <sheetViews>
    <sheetView workbookViewId="0">
      <selection activeCell="B2" sqref="B2"/>
    </sheetView>
  </sheetViews>
  <sheetFormatPr defaultRowHeight="14.4" x14ac:dyDescent="0.3"/>
  <sheetData>
    <row r="2" spans="1:5" x14ac:dyDescent="0.3">
      <c r="B2" s="10"/>
    </row>
    <row r="3" spans="1:5" x14ac:dyDescent="0.3">
      <c r="B3" s="10"/>
    </row>
    <row r="6" spans="1:5" x14ac:dyDescent="0.3">
      <c r="B6" s="10" t="s">
        <v>345</v>
      </c>
    </row>
    <row r="7" spans="1:5" x14ac:dyDescent="0.3">
      <c r="A7">
        <v>1</v>
      </c>
      <c r="B7" s="9" t="s">
        <v>340</v>
      </c>
    </row>
    <row r="8" spans="1:5" x14ac:dyDescent="0.3">
      <c r="A8">
        <v>2</v>
      </c>
      <c r="B8" s="9" t="s">
        <v>341</v>
      </c>
    </row>
    <row r="9" spans="1:5" x14ac:dyDescent="0.3">
      <c r="A9">
        <v>3</v>
      </c>
      <c r="B9" s="9" t="s">
        <v>342</v>
      </c>
    </row>
    <row r="10" spans="1:5" x14ac:dyDescent="0.3">
      <c r="A10">
        <v>4</v>
      </c>
      <c r="B10" s="9" t="s">
        <v>343</v>
      </c>
    </row>
    <row r="11" spans="1:5" x14ac:dyDescent="0.3">
      <c r="A11">
        <v>5</v>
      </c>
      <c r="B11" s="9" t="s">
        <v>344</v>
      </c>
    </row>
    <row r="13" spans="1:5" x14ac:dyDescent="0.3">
      <c r="B13" s="9" t="s">
        <v>346</v>
      </c>
    </row>
    <row r="14" spans="1:5" x14ac:dyDescent="0.3">
      <c r="A14">
        <v>1</v>
      </c>
      <c r="B14" t="s">
        <v>347</v>
      </c>
    </row>
    <row r="15" spans="1:5" x14ac:dyDescent="0.3">
      <c r="A15">
        <v>2</v>
      </c>
      <c r="B15" t="s">
        <v>348</v>
      </c>
      <c r="E15" t="s">
        <v>336</v>
      </c>
    </row>
    <row r="16" spans="1:5" x14ac:dyDescent="0.3">
      <c r="A16">
        <v>3</v>
      </c>
      <c r="B16" t="s">
        <v>349</v>
      </c>
    </row>
    <row r="17" spans="1:2" x14ac:dyDescent="0.3">
      <c r="A17">
        <v>4</v>
      </c>
      <c r="B17" t="s">
        <v>350</v>
      </c>
    </row>
    <row r="18" spans="1:2" x14ac:dyDescent="0.3">
      <c r="A18">
        <v>5</v>
      </c>
      <c r="B18" t="s">
        <v>351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853BF-7945-4BBA-A991-DB716C1A8C0C}">
  <dimension ref="A1:N13"/>
  <sheetViews>
    <sheetView topLeftCell="E1" workbookViewId="0">
      <selection activeCell="G2" sqref="G2:H13"/>
    </sheetView>
  </sheetViews>
  <sheetFormatPr defaultRowHeight="14.4" x14ac:dyDescent="0.3"/>
  <cols>
    <col min="1" max="1" width="10.5546875" bestFit="1" customWidth="1"/>
    <col min="2" max="2" width="15.5546875" bestFit="1" customWidth="1"/>
    <col min="4" max="4" width="10.5546875" bestFit="1" customWidth="1"/>
    <col min="5" max="5" width="15.5546875" bestFit="1" customWidth="1"/>
    <col min="7" max="7" width="17.44140625" bestFit="1" customWidth="1"/>
    <col min="8" max="8" width="15.5546875" bestFit="1" customWidth="1"/>
    <col min="13" max="13" width="24.21875" bestFit="1" customWidth="1"/>
    <col min="14" max="14" width="23" bestFit="1" customWidth="1"/>
  </cols>
  <sheetData>
    <row r="1" spans="1:14" x14ac:dyDescent="0.3">
      <c r="M1" t="s">
        <v>331</v>
      </c>
      <c r="N1" t="s">
        <v>332</v>
      </c>
    </row>
    <row r="2" spans="1:14" x14ac:dyDescent="0.3">
      <c r="A2" s="4" t="s">
        <v>6</v>
      </c>
      <c r="B2" t="s">
        <v>329</v>
      </c>
      <c r="D2" s="4" t="s">
        <v>330</v>
      </c>
      <c r="E2" t="s">
        <v>329</v>
      </c>
      <c r="G2" s="4" t="s">
        <v>4</v>
      </c>
      <c r="H2" t="s">
        <v>329</v>
      </c>
      <c r="M2" s="6">
        <v>2.2180246913580243E-2</v>
      </c>
      <c r="N2" s="6">
        <v>2.0649768518518526E-2</v>
      </c>
    </row>
    <row r="3" spans="1:14" x14ac:dyDescent="0.3">
      <c r="A3" s="5" t="s">
        <v>115</v>
      </c>
      <c r="B3">
        <v>4</v>
      </c>
      <c r="D3" s="5" t="s">
        <v>31</v>
      </c>
      <c r="E3">
        <v>15</v>
      </c>
      <c r="G3" s="5" t="s">
        <v>42</v>
      </c>
      <c r="H3">
        <v>16</v>
      </c>
    </row>
    <row r="4" spans="1:14" x14ac:dyDescent="0.3">
      <c r="A4" s="5" t="s">
        <v>11</v>
      </c>
      <c r="B4">
        <v>25</v>
      </c>
      <c r="D4" s="5" t="s">
        <v>81</v>
      </c>
      <c r="E4">
        <v>12</v>
      </c>
      <c r="G4" s="5" t="s">
        <v>35</v>
      </c>
      <c r="H4">
        <v>15</v>
      </c>
    </row>
    <row r="5" spans="1:14" x14ac:dyDescent="0.3">
      <c r="A5" s="5" t="s">
        <v>29</v>
      </c>
      <c r="B5">
        <v>58</v>
      </c>
      <c r="D5" s="5" t="s">
        <v>21</v>
      </c>
      <c r="E5">
        <v>24</v>
      </c>
      <c r="G5" s="5" t="s">
        <v>32</v>
      </c>
      <c r="H5">
        <v>17</v>
      </c>
    </row>
    <row r="6" spans="1:14" x14ac:dyDescent="0.3">
      <c r="A6" s="5" t="s">
        <v>16</v>
      </c>
      <c r="B6">
        <v>63</v>
      </c>
      <c r="D6" s="5" t="s">
        <v>45</v>
      </c>
      <c r="E6">
        <v>23</v>
      </c>
      <c r="G6" s="5" t="s">
        <v>22</v>
      </c>
      <c r="H6">
        <v>17</v>
      </c>
    </row>
    <row r="7" spans="1:14" x14ac:dyDescent="0.3">
      <c r="A7" s="5" t="s">
        <v>328</v>
      </c>
      <c r="B7">
        <v>150</v>
      </c>
      <c r="D7" s="5" t="s">
        <v>8</v>
      </c>
      <c r="E7">
        <v>18</v>
      </c>
      <c r="G7" s="5" t="s">
        <v>25</v>
      </c>
      <c r="H7">
        <v>13</v>
      </c>
    </row>
    <row r="8" spans="1:14" x14ac:dyDescent="0.3">
      <c r="D8" s="5" t="s">
        <v>60</v>
      </c>
      <c r="E8">
        <v>7</v>
      </c>
      <c r="G8" s="5" t="s">
        <v>55</v>
      </c>
      <c r="H8">
        <v>8</v>
      </c>
    </row>
    <row r="9" spans="1:14" x14ac:dyDescent="0.3">
      <c r="D9" s="5" t="s">
        <v>13</v>
      </c>
      <c r="E9">
        <v>51</v>
      </c>
      <c r="G9" s="5" t="s">
        <v>46</v>
      </c>
      <c r="H9">
        <v>7</v>
      </c>
    </row>
    <row r="10" spans="1:14" x14ac:dyDescent="0.3">
      <c r="D10" s="5" t="s">
        <v>328</v>
      </c>
      <c r="E10">
        <v>150</v>
      </c>
      <c r="G10" s="5" t="s">
        <v>18</v>
      </c>
      <c r="H10">
        <v>16</v>
      </c>
    </row>
    <row r="11" spans="1:14" x14ac:dyDescent="0.3">
      <c r="G11" s="5" t="s">
        <v>14</v>
      </c>
      <c r="H11">
        <v>27</v>
      </c>
    </row>
    <row r="12" spans="1:14" x14ac:dyDescent="0.3">
      <c r="G12" s="5" t="s">
        <v>9</v>
      </c>
      <c r="H12">
        <v>14</v>
      </c>
    </row>
    <row r="13" spans="1:14" x14ac:dyDescent="0.3">
      <c r="G13" s="5" t="s">
        <v>328</v>
      </c>
      <c r="H13">
        <v>150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B1E07-8534-4680-A00E-B3E993B62033}">
  <dimension ref="A1"/>
  <sheetViews>
    <sheetView topLeftCell="B2"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help_desk_tickets</vt:lpstr>
      <vt:lpstr>"Detailed Analysis</vt:lpstr>
      <vt:lpstr>Recommendations</vt:lpstr>
      <vt:lpstr>Sumary Dashboard </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Sravanthi Belide</dc:creator>
  <cp:lastModifiedBy>Sravanthi Belide</cp:lastModifiedBy>
  <dcterms:created xsi:type="dcterms:W3CDTF">2026-03-20T11:46:28Z</dcterms:created>
  <dcterms:modified xsi:type="dcterms:W3CDTF">2026-03-20T16:08:39Z</dcterms:modified>
</cp:coreProperties>
</file>