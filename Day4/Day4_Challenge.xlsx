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rava\Downloads\"/>
    </mc:Choice>
  </mc:AlternateContent>
  <xr:revisionPtr revIDLastSave="0" documentId="13_ncr:1_{E0D1A7CE-CEB3-4388-BBEA-5479C0E6EFB4}" xr6:coauthVersionLast="47" xr6:coauthVersionMax="47" xr10:uidLastSave="{00000000-0000-0000-0000-000000000000}"/>
  <bookViews>
    <workbookView xWindow="-108" yWindow="-108" windowWidth="23256" windowHeight="13896" activeTab="5" xr2:uid="{40FD6B45-CF19-4178-98E5-684210825886}"/>
  </bookViews>
  <sheets>
    <sheet name="Pivot table" sheetId="2" r:id="rId1"/>
    <sheet name="Pivot table2" sheetId="3" r:id="rId2"/>
    <sheet name="banking_loan_data" sheetId="1" r:id="rId3"/>
    <sheet name="Scenario Summary" sheetId="13" r:id="rId4"/>
    <sheet name="WhatIf" sheetId="5" r:id="rId5"/>
    <sheet name="Dashboard" sheetId="14" r:id="rId6"/>
  </sheets>
  <definedNames>
    <definedName name="_xlnm._FilterDatabase" localSheetId="2" hidden="1">banking_loan_data!$A$1:$P$1001</definedName>
    <definedName name="Slicer_Loan_Grade">#N/A</definedName>
    <definedName name="Slicer_Loan_I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5" l="1"/>
  <c r="C20" i="5" s="1"/>
  <c r="C16" i="5"/>
  <c r="C7" i="5"/>
  <c r="C6" i="5"/>
  <c r="C5" i="5"/>
  <c r="C4" i="5"/>
  <c r="Q2" i="1"/>
  <c r="Q3" i="1"/>
  <c r="Q4" i="1"/>
  <c r="Q5" i="1"/>
  <c r="Q6" i="1"/>
  <c r="Q7" i="1"/>
  <c r="Q8" i="1"/>
  <c r="Q9" i="1"/>
  <c r="Q10" i="1"/>
  <c r="Q11" i="1"/>
  <c r="R11" i="1" s="1"/>
  <c r="Q12" i="1"/>
  <c r="Q13" i="1"/>
  <c r="R13" i="1" s="1"/>
  <c r="Q14" i="1"/>
  <c r="Q15" i="1"/>
  <c r="R15" i="1" s="1"/>
  <c r="Q16" i="1"/>
  <c r="Q17" i="1"/>
  <c r="Q18" i="1"/>
  <c r="Q19" i="1"/>
  <c r="Q20" i="1"/>
  <c r="Q21" i="1"/>
  <c r="Q22" i="1"/>
  <c r="Q23" i="1"/>
  <c r="Q24" i="1"/>
  <c r="Q25" i="1"/>
  <c r="R25" i="1" s="1"/>
  <c r="Q26" i="1"/>
  <c r="Q27" i="1"/>
  <c r="Q28" i="1"/>
  <c r="Q29" i="1"/>
  <c r="Q30" i="1"/>
  <c r="Q31" i="1"/>
  <c r="Q32" i="1"/>
  <c r="Q33" i="1"/>
  <c r="Q34" i="1"/>
  <c r="Q35" i="1"/>
  <c r="Q36" i="1"/>
  <c r="Q37" i="1"/>
  <c r="R37" i="1" s="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R93" i="1" s="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R2" i="1"/>
  <c r="S2" i="1"/>
  <c r="T2" i="1"/>
  <c r="U2" i="1" s="1"/>
  <c r="V2" i="1"/>
  <c r="W2" i="1" s="1"/>
  <c r="X2" i="1"/>
  <c r="Y2" i="1" s="1"/>
  <c r="R3" i="1"/>
  <c r="S3" i="1"/>
  <c r="T3" i="1"/>
  <c r="U3" i="1" s="1"/>
  <c r="V3" i="1"/>
  <c r="W3" i="1" s="1"/>
  <c r="X3" i="1"/>
  <c r="Y3" i="1" s="1"/>
  <c r="R4" i="1"/>
  <c r="S4" i="1"/>
  <c r="T4" i="1"/>
  <c r="U4" i="1" s="1"/>
  <c r="V4" i="1"/>
  <c r="W4" i="1" s="1"/>
  <c r="X4" i="1"/>
  <c r="Y4" i="1" s="1"/>
  <c r="R5" i="1"/>
  <c r="S5" i="1"/>
  <c r="T5" i="1"/>
  <c r="U5" i="1" s="1"/>
  <c r="V5" i="1"/>
  <c r="W5" i="1" s="1"/>
  <c r="X5" i="1"/>
  <c r="Y5" i="1" s="1"/>
  <c r="R6" i="1"/>
  <c r="S6" i="1"/>
  <c r="T6" i="1"/>
  <c r="U6" i="1" s="1"/>
  <c r="V6" i="1"/>
  <c r="W6" i="1" s="1"/>
  <c r="X6" i="1"/>
  <c r="Y6" i="1" s="1"/>
  <c r="R7" i="1"/>
  <c r="S7" i="1"/>
  <c r="T7" i="1"/>
  <c r="U7" i="1" s="1"/>
  <c r="V7" i="1"/>
  <c r="W7" i="1" s="1"/>
  <c r="X7" i="1"/>
  <c r="Y7" i="1" s="1"/>
  <c r="R8" i="1"/>
  <c r="S8" i="1"/>
  <c r="T8" i="1"/>
  <c r="U8" i="1"/>
  <c r="V8" i="1"/>
  <c r="W8" i="1" s="1"/>
  <c r="X8" i="1"/>
  <c r="Y8" i="1" s="1"/>
  <c r="R9" i="1"/>
  <c r="S9" i="1"/>
  <c r="T9" i="1"/>
  <c r="U9" i="1" s="1"/>
  <c r="V9" i="1"/>
  <c r="W9" i="1" s="1"/>
  <c r="X9" i="1"/>
  <c r="Y9" i="1" s="1"/>
  <c r="R10" i="1"/>
  <c r="S10" i="1"/>
  <c r="T10" i="1"/>
  <c r="U10" i="1" s="1"/>
  <c r="V10" i="1"/>
  <c r="X10" i="1"/>
  <c r="Y10" i="1" s="1"/>
  <c r="S11" i="1"/>
  <c r="T11" i="1"/>
  <c r="U11" i="1" s="1"/>
  <c r="V11" i="1"/>
  <c r="W11" i="1" s="1"/>
  <c r="X11" i="1"/>
  <c r="Y11" i="1" s="1"/>
  <c r="R12" i="1"/>
  <c r="S12" i="1"/>
  <c r="T12" i="1"/>
  <c r="U12" i="1" s="1"/>
  <c r="V12" i="1"/>
  <c r="W12" i="1" s="1"/>
  <c r="X12" i="1"/>
  <c r="Y12" i="1" s="1"/>
  <c r="S13" i="1"/>
  <c r="T13" i="1"/>
  <c r="U13" i="1" s="1"/>
  <c r="V13" i="1"/>
  <c r="W13" i="1" s="1"/>
  <c r="X13" i="1"/>
  <c r="Y13" i="1" s="1"/>
  <c r="R14" i="1"/>
  <c r="S14" i="1"/>
  <c r="T14" i="1"/>
  <c r="U14" i="1" s="1"/>
  <c r="V14" i="1"/>
  <c r="W14" i="1" s="1"/>
  <c r="X14" i="1"/>
  <c r="Y14" i="1" s="1"/>
  <c r="S15" i="1"/>
  <c r="T15" i="1"/>
  <c r="U15" i="1" s="1"/>
  <c r="V15" i="1"/>
  <c r="X15" i="1"/>
  <c r="Y15" i="1" s="1"/>
  <c r="R16" i="1"/>
  <c r="S16" i="1"/>
  <c r="T16" i="1"/>
  <c r="U16" i="1" s="1"/>
  <c r="V16" i="1"/>
  <c r="W16" i="1" s="1"/>
  <c r="X16" i="1"/>
  <c r="Y16" i="1" s="1"/>
  <c r="R17" i="1"/>
  <c r="S17" i="1"/>
  <c r="T17" i="1"/>
  <c r="U17" i="1" s="1"/>
  <c r="V17" i="1"/>
  <c r="W17" i="1" s="1"/>
  <c r="X17" i="1"/>
  <c r="Y17" i="1" s="1"/>
  <c r="R18" i="1"/>
  <c r="S18" i="1"/>
  <c r="T18" i="1"/>
  <c r="U18" i="1" s="1"/>
  <c r="V18" i="1"/>
  <c r="W18" i="1" s="1"/>
  <c r="X18" i="1"/>
  <c r="Y18" i="1" s="1"/>
  <c r="R19" i="1"/>
  <c r="S19" i="1"/>
  <c r="T19" i="1"/>
  <c r="U19" i="1" s="1"/>
  <c r="V19" i="1"/>
  <c r="W19" i="1" s="1"/>
  <c r="X19" i="1"/>
  <c r="Y19" i="1" s="1"/>
  <c r="R20" i="1"/>
  <c r="S20" i="1"/>
  <c r="T20" i="1"/>
  <c r="U20" i="1"/>
  <c r="V20" i="1"/>
  <c r="X20" i="1"/>
  <c r="Y20" i="1" s="1"/>
  <c r="R21" i="1"/>
  <c r="S21" i="1"/>
  <c r="T21" i="1"/>
  <c r="U21" i="1" s="1"/>
  <c r="V21" i="1"/>
  <c r="X21" i="1"/>
  <c r="Y21" i="1" s="1"/>
  <c r="R22" i="1"/>
  <c r="S22" i="1"/>
  <c r="T22" i="1"/>
  <c r="U22" i="1" s="1"/>
  <c r="V22" i="1"/>
  <c r="W22" i="1" s="1"/>
  <c r="X22" i="1"/>
  <c r="Y22" i="1"/>
  <c r="R23" i="1"/>
  <c r="S23" i="1"/>
  <c r="T23" i="1"/>
  <c r="U23" i="1" s="1"/>
  <c r="V23" i="1"/>
  <c r="W23" i="1" s="1"/>
  <c r="X23" i="1"/>
  <c r="Y23" i="1" s="1"/>
  <c r="R24" i="1"/>
  <c r="S24" i="1"/>
  <c r="T24" i="1"/>
  <c r="U24" i="1"/>
  <c r="V24" i="1"/>
  <c r="W24" i="1" s="1"/>
  <c r="X24" i="1"/>
  <c r="Y24" i="1"/>
  <c r="S25" i="1"/>
  <c r="T25" i="1"/>
  <c r="U25" i="1" s="1"/>
  <c r="V25" i="1"/>
  <c r="W25" i="1" s="1"/>
  <c r="X25" i="1"/>
  <c r="Y25" i="1" s="1"/>
  <c r="R26" i="1"/>
  <c r="S26" i="1"/>
  <c r="T26" i="1"/>
  <c r="U26" i="1" s="1"/>
  <c r="V26" i="1"/>
  <c r="W26" i="1" s="1"/>
  <c r="X26" i="1"/>
  <c r="Y26" i="1"/>
  <c r="R27" i="1"/>
  <c r="S27" i="1"/>
  <c r="T27" i="1"/>
  <c r="U27" i="1" s="1"/>
  <c r="V27" i="1"/>
  <c r="W27" i="1" s="1"/>
  <c r="X27" i="1"/>
  <c r="Y27" i="1" s="1"/>
  <c r="R28" i="1"/>
  <c r="S28" i="1"/>
  <c r="T28" i="1"/>
  <c r="U28" i="1" s="1"/>
  <c r="V28" i="1"/>
  <c r="W28" i="1" s="1"/>
  <c r="X28" i="1"/>
  <c r="Y28" i="1" s="1"/>
  <c r="R29" i="1"/>
  <c r="S29" i="1"/>
  <c r="T29" i="1"/>
  <c r="U29" i="1" s="1"/>
  <c r="V29" i="1"/>
  <c r="W29" i="1" s="1"/>
  <c r="X29" i="1"/>
  <c r="Y29" i="1" s="1"/>
  <c r="R30" i="1"/>
  <c r="S30" i="1"/>
  <c r="T30" i="1"/>
  <c r="U30" i="1" s="1"/>
  <c r="V30" i="1"/>
  <c r="W30" i="1" s="1"/>
  <c r="X30" i="1"/>
  <c r="Y30" i="1" s="1"/>
  <c r="R31" i="1"/>
  <c r="S31" i="1"/>
  <c r="T31" i="1"/>
  <c r="U31" i="1" s="1"/>
  <c r="V31" i="1"/>
  <c r="W31" i="1" s="1"/>
  <c r="X31" i="1"/>
  <c r="Y31" i="1" s="1"/>
  <c r="R32" i="1"/>
  <c r="S32" i="1"/>
  <c r="T32" i="1"/>
  <c r="U32" i="1" s="1"/>
  <c r="V32" i="1"/>
  <c r="W32" i="1" s="1"/>
  <c r="X32" i="1"/>
  <c r="Y32" i="1"/>
  <c r="R33" i="1"/>
  <c r="S33" i="1"/>
  <c r="T33" i="1"/>
  <c r="U33" i="1" s="1"/>
  <c r="V33" i="1"/>
  <c r="W33" i="1" s="1"/>
  <c r="X33" i="1"/>
  <c r="Y33" i="1" s="1"/>
  <c r="R34" i="1"/>
  <c r="S34" i="1"/>
  <c r="T34" i="1"/>
  <c r="U34" i="1" s="1"/>
  <c r="V34" i="1"/>
  <c r="W34" i="1" s="1"/>
  <c r="X34" i="1"/>
  <c r="Y34" i="1"/>
  <c r="R35" i="1"/>
  <c r="S35" i="1"/>
  <c r="T35" i="1"/>
  <c r="U35" i="1" s="1"/>
  <c r="V35" i="1"/>
  <c r="W35" i="1" s="1"/>
  <c r="X35" i="1"/>
  <c r="Y35" i="1" s="1"/>
  <c r="R36" i="1"/>
  <c r="S36" i="1"/>
  <c r="T36" i="1"/>
  <c r="U36" i="1" s="1"/>
  <c r="V36" i="1"/>
  <c r="X36" i="1"/>
  <c r="Y36" i="1" s="1"/>
  <c r="S37" i="1"/>
  <c r="T37" i="1"/>
  <c r="U37" i="1" s="1"/>
  <c r="V37" i="1"/>
  <c r="W37" i="1" s="1"/>
  <c r="X37" i="1"/>
  <c r="Y37" i="1" s="1"/>
  <c r="R38" i="1"/>
  <c r="S38" i="1"/>
  <c r="T38" i="1"/>
  <c r="U38" i="1" s="1"/>
  <c r="V38" i="1"/>
  <c r="W38" i="1" s="1"/>
  <c r="X38" i="1"/>
  <c r="Y38" i="1"/>
  <c r="R39" i="1"/>
  <c r="S39" i="1"/>
  <c r="T39" i="1"/>
  <c r="U39" i="1" s="1"/>
  <c r="V39" i="1"/>
  <c r="W39" i="1" s="1"/>
  <c r="X39" i="1"/>
  <c r="Y39" i="1" s="1"/>
  <c r="R40" i="1"/>
  <c r="S40" i="1"/>
  <c r="T40" i="1"/>
  <c r="U40" i="1" s="1"/>
  <c r="V40" i="1"/>
  <c r="W40" i="1" s="1"/>
  <c r="X40" i="1"/>
  <c r="Y40" i="1" s="1"/>
  <c r="S41" i="1"/>
  <c r="T41" i="1"/>
  <c r="U41" i="1" s="1"/>
  <c r="V41" i="1"/>
  <c r="W41" i="1" s="1"/>
  <c r="X41" i="1"/>
  <c r="Y41" i="1" s="1"/>
  <c r="R42" i="1"/>
  <c r="S42" i="1"/>
  <c r="T42" i="1"/>
  <c r="U42" i="1"/>
  <c r="V42" i="1"/>
  <c r="W42" i="1" s="1"/>
  <c r="X42" i="1"/>
  <c r="Y42" i="1" s="1"/>
  <c r="R43" i="1"/>
  <c r="S43" i="1"/>
  <c r="T43" i="1"/>
  <c r="U43" i="1" s="1"/>
  <c r="V43" i="1"/>
  <c r="W43" i="1" s="1"/>
  <c r="X43" i="1"/>
  <c r="Y43" i="1" s="1"/>
  <c r="R44" i="1"/>
  <c r="S44" i="1"/>
  <c r="T44" i="1"/>
  <c r="U44" i="1" s="1"/>
  <c r="V44" i="1"/>
  <c r="W44" i="1" s="1"/>
  <c r="X44" i="1"/>
  <c r="Y44" i="1" s="1"/>
  <c r="R45" i="1"/>
  <c r="S45" i="1"/>
  <c r="T45" i="1"/>
  <c r="U45" i="1" s="1"/>
  <c r="V45" i="1"/>
  <c r="W45" i="1" s="1"/>
  <c r="X45" i="1"/>
  <c r="Y45" i="1" s="1"/>
  <c r="R46" i="1"/>
  <c r="S46" i="1"/>
  <c r="T46" i="1"/>
  <c r="U46" i="1" s="1"/>
  <c r="V46" i="1"/>
  <c r="W46" i="1" s="1"/>
  <c r="X46" i="1"/>
  <c r="Y46" i="1" s="1"/>
  <c r="R47" i="1"/>
  <c r="S47" i="1"/>
  <c r="T47" i="1"/>
  <c r="U47" i="1" s="1"/>
  <c r="V47" i="1"/>
  <c r="W47" i="1" s="1"/>
  <c r="X47" i="1"/>
  <c r="Y47" i="1" s="1"/>
  <c r="R48" i="1"/>
  <c r="S48" i="1"/>
  <c r="T48" i="1"/>
  <c r="U48" i="1" s="1"/>
  <c r="V48" i="1"/>
  <c r="X48" i="1"/>
  <c r="Y48" i="1" s="1"/>
  <c r="R49" i="1"/>
  <c r="S49" i="1"/>
  <c r="T49" i="1"/>
  <c r="U49" i="1" s="1"/>
  <c r="V49" i="1"/>
  <c r="W49" i="1" s="1"/>
  <c r="X49" i="1"/>
  <c r="Y49" i="1" s="1"/>
  <c r="S50" i="1"/>
  <c r="T50" i="1"/>
  <c r="U50" i="1" s="1"/>
  <c r="V50" i="1"/>
  <c r="W50" i="1" s="1"/>
  <c r="X50" i="1"/>
  <c r="Y50" i="1" s="1"/>
  <c r="R51" i="1"/>
  <c r="S51" i="1"/>
  <c r="T51" i="1"/>
  <c r="U51" i="1" s="1"/>
  <c r="V51" i="1"/>
  <c r="W51" i="1" s="1"/>
  <c r="X51" i="1"/>
  <c r="Y51" i="1" s="1"/>
  <c r="R52" i="1"/>
  <c r="S52" i="1"/>
  <c r="T52" i="1"/>
  <c r="U52" i="1" s="1"/>
  <c r="V52" i="1"/>
  <c r="W52" i="1" s="1"/>
  <c r="X52" i="1"/>
  <c r="Y52" i="1" s="1"/>
  <c r="R53" i="1"/>
  <c r="S53" i="1"/>
  <c r="T53" i="1"/>
  <c r="U53" i="1"/>
  <c r="V53" i="1"/>
  <c r="W53" i="1" s="1"/>
  <c r="X53" i="1"/>
  <c r="Y53" i="1" s="1"/>
  <c r="R54" i="1"/>
  <c r="S54" i="1"/>
  <c r="T54" i="1"/>
  <c r="U54" i="1" s="1"/>
  <c r="V54" i="1"/>
  <c r="X54" i="1"/>
  <c r="Y54" i="1" s="1"/>
  <c r="R55" i="1"/>
  <c r="S55" i="1"/>
  <c r="T55" i="1"/>
  <c r="U55" i="1"/>
  <c r="V55" i="1"/>
  <c r="W55" i="1" s="1"/>
  <c r="X55" i="1"/>
  <c r="Y55" i="1" s="1"/>
  <c r="R56" i="1"/>
  <c r="S56" i="1"/>
  <c r="T56" i="1"/>
  <c r="U56" i="1" s="1"/>
  <c r="V56" i="1"/>
  <c r="W56" i="1" s="1"/>
  <c r="X56" i="1"/>
  <c r="Y56" i="1" s="1"/>
  <c r="R57" i="1"/>
  <c r="S57" i="1"/>
  <c r="T57" i="1"/>
  <c r="U57" i="1"/>
  <c r="V57" i="1"/>
  <c r="W57" i="1" s="1"/>
  <c r="X57" i="1"/>
  <c r="Y57" i="1" s="1"/>
  <c r="R58" i="1"/>
  <c r="S58" i="1"/>
  <c r="T58" i="1"/>
  <c r="U58" i="1"/>
  <c r="V58" i="1"/>
  <c r="W58" i="1" s="1"/>
  <c r="X58" i="1"/>
  <c r="Y58" i="1" s="1"/>
  <c r="R59" i="1"/>
  <c r="S59" i="1"/>
  <c r="T59" i="1"/>
  <c r="U59" i="1" s="1"/>
  <c r="V59" i="1"/>
  <c r="X59" i="1"/>
  <c r="Y59" i="1" s="1"/>
  <c r="R60" i="1"/>
  <c r="S60" i="1"/>
  <c r="T60" i="1"/>
  <c r="U60" i="1" s="1"/>
  <c r="V60" i="1"/>
  <c r="W60" i="1" s="1"/>
  <c r="X60" i="1"/>
  <c r="Y60" i="1" s="1"/>
  <c r="S61" i="1"/>
  <c r="T61" i="1"/>
  <c r="U61" i="1" s="1"/>
  <c r="V61" i="1"/>
  <c r="W61" i="1" s="1"/>
  <c r="X61" i="1"/>
  <c r="Y61" i="1" s="1"/>
  <c r="R62" i="1"/>
  <c r="S62" i="1"/>
  <c r="T62" i="1"/>
  <c r="U62" i="1" s="1"/>
  <c r="V62" i="1"/>
  <c r="W62" i="1" s="1"/>
  <c r="X62" i="1"/>
  <c r="Y62" i="1" s="1"/>
  <c r="R63" i="1"/>
  <c r="S63" i="1"/>
  <c r="T63" i="1"/>
  <c r="U63" i="1" s="1"/>
  <c r="V63" i="1"/>
  <c r="W63" i="1" s="1"/>
  <c r="X63" i="1"/>
  <c r="Y63" i="1" s="1"/>
  <c r="R64" i="1"/>
  <c r="S64" i="1"/>
  <c r="T64" i="1"/>
  <c r="U64" i="1" s="1"/>
  <c r="V64" i="1"/>
  <c r="W64" i="1" s="1"/>
  <c r="X64" i="1"/>
  <c r="Y64" i="1"/>
  <c r="R65" i="1"/>
  <c r="S65" i="1"/>
  <c r="T65" i="1"/>
  <c r="U65" i="1" s="1"/>
  <c r="V65" i="1"/>
  <c r="X65" i="1"/>
  <c r="Y65" i="1" s="1"/>
  <c r="S66" i="1"/>
  <c r="T66" i="1"/>
  <c r="U66" i="1" s="1"/>
  <c r="V66" i="1"/>
  <c r="W66" i="1" s="1"/>
  <c r="X66" i="1"/>
  <c r="Y66" i="1" s="1"/>
  <c r="R67" i="1"/>
  <c r="S67" i="1"/>
  <c r="T67" i="1"/>
  <c r="U67" i="1" s="1"/>
  <c r="V67" i="1"/>
  <c r="W67" i="1" s="1"/>
  <c r="X67" i="1"/>
  <c r="Y67" i="1" s="1"/>
  <c r="R68" i="1"/>
  <c r="S68" i="1"/>
  <c r="T68" i="1"/>
  <c r="U68" i="1" s="1"/>
  <c r="V68" i="1"/>
  <c r="X68" i="1"/>
  <c r="Y68" i="1" s="1"/>
  <c r="R69" i="1"/>
  <c r="S69" i="1"/>
  <c r="T69" i="1"/>
  <c r="U69" i="1" s="1"/>
  <c r="V69" i="1"/>
  <c r="W69" i="1" s="1"/>
  <c r="X69" i="1"/>
  <c r="Y69" i="1" s="1"/>
  <c r="R70" i="1"/>
  <c r="S70" i="1"/>
  <c r="T70" i="1"/>
  <c r="U70" i="1" s="1"/>
  <c r="V70" i="1"/>
  <c r="W70" i="1" s="1"/>
  <c r="X70" i="1"/>
  <c r="Y70" i="1" s="1"/>
  <c r="R71" i="1"/>
  <c r="S71" i="1"/>
  <c r="T71" i="1"/>
  <c r="U71" i="1" s="1"/>
  <c r="V71" i="1"/>
  <c r="W71" i="1" s="1"/>
  <c r="X71" i="1"/>
  <c r="Y71" i="1" s="1"/>
  <c r="R72" i="1"/>
  <c r="S72" i="1"/>
  <c r="T72" i="1"/>
  <c r="U72" i="1" s="1"/>
  <c r="V72" i="1"/>
  <c r="W72" i="1" s="1"/>
  <c r="X72" i="1"/>
  <c r="Y72" i="1"/>
  <c r="R73" i="1"/>
  <c r="S73" i="1"/>
  <c r="T73" i="1"/>
  <c r="U73" i="1" s="1"/>
  <c r="V73" i="1"/>
  <c r="W73" i="1" s="1"/>
  <c r="X73" i="1"/>
  <c r="Y73" i="1" s="1"/>
  <c r="R74" i="1"/>
  <c r="S74" i="1"/>
  <c r="T74" i="1"/>
  <c r="U74" i="1" s="1"/>
  <c r="V74" i="1"/>
  <c r="W74" i="1" s="1"/>
  <c r="X74" i="1"/>
  <c r="Y74" i="1" s="1"/>
  <c r="R75" i="1"/>
  <c r="S75" i="1"/>
  <c r="T75" i="1"/>
  <c r="U75" i="1" s="1"/>
  <c r="V75" i="1"/>
  <c r="W75" i="1" s="1"/>
  <c r="X75" i="1"/>
  <c r="Y75" i="1" s="1"/>
  <c r="R76" i="1"/>
  <c r="S76" i="1"/>
  <c r="T76" i="1"/>
  <c r="U76" i="1"/>
  <c r="V76" i="1"/>
  <c r="W76" i="1" s="1"/>
  <c r="X76" i="1"/>
  <c r="Y76" i="1" s="1"/>
  <c r="R77" i="1"/>
  <c r="S77" i="1"/>
  <c r="T77" i="1"/>
  <c r="U77" i="1" s="1"/>
  <c r="V77" i="1"/>
  <c r="W77" i="1" s="1"/>
  <c r="X77" i="1"/>
  <c r="Y77" i="1" s="1"/>
  <c r="R78" i="1"/>
  <c r="S78" i="1"/>
  <c r="T78" i="1"/>
  <c r="U78" i="1" s="1"/>
  <c r="V78" i="1"/>
  <c r="W78" i="1" s="1"/>
  <c r="X78" i="1"/>
  <c r="Y78" i="1" s="1"/>
  <c r="R79" i="1"/>
  <c r="S79" i="1"/>
  <c r="T79" i="1"/>
  <c r="U79" i="1" s="1"/>
  <c r="V79" i="1"/>
  <c r="W79" i="1" s="1"/>
  <c r="X79" i="1"/>
  <c r="Y79" i="1" s="1"/>
  <c r="R80" i="1"/>
  <c r="S80" i="1"/>
  <c r="T80" i="1"/>
  <c r="U80" i="1" s="1"/>
  <c r="V80" i="1"/>
  <c r="X80" i="1"/>
  <c r="Y80" i="1"/>
  <c r="R81" i="1"/>
  <c r="S81" i="1"/>
  <c r="T81" i="1"/>
  <c r="U81" i="1" s="1"/>
  <c r="V81" i="1"/>
  <c r="W81" i="1" s="1"/>
  <c r="X81" i="1"/>
  <c r="Y81" i="1"/>
  <c r="R82" i="1"/>
  <c r="S82" i="1"/>
  <c r="T82" i="1"/>
  <c r="U82" i="1" s="1"/>
  <c r="V82" i="1"/>
  <c r="W82" i="1" s="1"/>
  <c r="X82" i="1"/>
  <c r="Y82" i="1"/>
  <c r="S83" i="1"/>
  <c r="T83" i="1"/>
  <c r="U83" i="1" s="1"/>
  <c r="V83" i="1"/>
  <c r="W83" i="1" s="1"/>
  <c r="X83" i="1"/>
  <c r="Y83" i="1" s="1"/>
  <c r="R84" i="1"/>
  <c r="S84" i="1"/>
  <c r="T84" i="1"/>
  <c r="U84" i="1" s="1"/>
  <c r="V84" i="1"/>
  <c r="W84" i="1" s="1"/>
  <c r="X84" i="1"/>
  <c r="Y84" i="1" s="1"/>
  <c r="R85" i="1"/>
  <c r="S85" i="1"/>
  <c r="T85" i="1"/>
  <c r="U85" i="1" s="1"/>
  <c r="V85" i="1"/>
  <c r="W85" i="1" s="1"/>
  <c r="X85" i="1"/>
  <c r="Y85" i="1" s="1"/>
  <c r="R86" i="1"/>
  <c r="S86" i="1"/>
  <c r="T86" i="1"/>
  <c r="U86" i="1" s="1"/>
  <c r="V86" i="1"/>
  <c r="W86" i="1" s="1"/>
  <c r="X86" i="1"/>
  <c r="Y86" i="1" s="1"/>
  <c r="R87" i="1"/>
  <c r="S87" i="1"/>
  <c r="T87" i="1"/>
  <c r="U87" i="1" s="1"/>
  <c r="V87" i="1"/>
  <c r="W87" i="1" s="1"/>
  <c r="X87" i="1"/>
  <c r="Y87" i="1" s="1"/>
  <c r="R88" i="1"/>
  <c r="S88" i="1"/>
  <c r="T88" i="1"/>
  <c r="U88" i="1" s="1"/>
  <c r="V88" i="1"/>
  <c r="W88" i="1" s="1"/>
  <c r="X88" i="1"/>
  <c r="Y88" i="1" s="1"/>
  <c r="R89" i="1"/>
  <c r="S89" i="1"/>
  <c r="T89" i="1"/>
  <c r="U89" i="1" s="1"/>
  <c r="V89" i="1"/>
  <c r="W89" i="1" s="1"/>
  <c r="X89" i="1"/>
  <c r="Y89" i="1" s="1"/>
  <c r="R90" i="1"/>
  <c r="S90" i="1"/>
  <c r="T90" i="1"/>
  <c r="U90" i="1" s="1"/>
  <c r="V90" i="1"/>
  <c r="X90" i="1"/>
  <c r="Y90" i="1" s="1"/>
  <c r="R91" i="1"/>
  <c r="S91" i="1"/>
  <c r="T91" i="1"/>
  <c r="U91" i="1" s="1"/>
  <c r="V91" i="1"/>
  <c r="W91" i="1" s="1"/>
  <c r="X91" i="1"/>
  <c r="Y91" i="1" s="1"/>
  <c r="R92" i="1"/>
  <c r="S92" i="1"/>
  <c r="T92" i="1"/>
  <c r="U92" i="1" s="1"/>
  <c r="V92" i="1"/>
  <c r="X92" i="1"/>
  <c r="Y92" i="1" s="1"/>
  <c r="S93" i="1"/>
  <c r="T93" i="1"/>
  <c r="U93" i="1" s="1"/>
  <c r="V93" i="1"/>
  <c r="W93" i="1" s="1"/>
  <c r="X93" i="1"/>
  <c r="Y93" i="1" s="1"/>
  <c r="S94" i="1"/>
  <c r="T94" i="1"/>
  <c r="U94" i="1" s="1"/>
  <c r="V94" i="1"/>
  <c r="W94" i="1" s="1"/>
  <c r="X94" i="1"/>
  <c r="Y94" i="1" s="1"/>
  <c r="R95" i="1"/>
  <c r="S95" i="1"/>
  <c r="T95" i="1"/>
  <c r="U95" i="1" s="1"/>
  <c r="V95" i="1"/>
  <c r="W95" i="1" s="1"/>
  <c r="X95" i="1"/>
  <c r="Y95" i="1" s="1"/>
  <c r="R96" i="1"/>
  <c r="S96" i="1"/>
  <c r="T96" i="1"/>
  <c r="U96" i="1" s="1"/>
  <c r="V96" i="1"/>
  <c r="W96" i="1" s="1"/>
  <c r="X96" i="1"/>
  <c r="Y96" i="1" s="1"/>
  <c r="R97" i="1"/>
  <c r="S97" i="1"/>
  <c r="T97" i="1"/>
  <c r="U97" i="1" s="1"/>
  <c r="V97" i="1"/>
  <c r="W97" i="1" s="1"/>
  <c r="X97" i="1"/>
  <c r="Y97" i="1" s="1"/>
  <c r="R98" i="1"/>
  <c r="S98" i="1"/>
  <c r="T98" i="1"/>
  <c r="U98" i="1" s="1"/>
  <c r="V98" i="1"/>
  <c r="W98" i="1" s="1"/>
  <c r="X98" i="1"/>
  <c r="Y98" i="1" s="1"/>
  <c r="R99" i="1"/>
  <c r="S99" i="1"/>
  <c r="T99" i="1"/>
  <c r="U99" i="1" s="1"/>
  <c r="V99" i="1"/>
  <c r="W99" i="1" s="1"/>
  <c r="X99" i="1"/>
  <c r="Y99" i="1"/>
  <c r="R100" i="1"/>
  <c r="S100" i="1"/>
  <c r="T100" i="1"/>
  <c r="U100" i="1" s="1"/>
  <c r="V100" i="1"/>
  <c r="W100" i="1" s="1"/>
  <c r="X100" i="1"/>
  <c r="Y100" i="1" s="1"/>
  <c r="R101" i="1"/>
  <c r="S101" i="1"/>
  <c r="T101" i="1"/>
  <c r="U101" i="1"/>
  <c r="V101" i="1"/>
  <c r="X101" i="1"/>
  <c r="Y101" i="1" s="1"/>
  <c r="R102" i="1"/>
  <c r="S102" i="1"/>
  <c r="T102" i="1"/>
  <c r="U102" i="1" s="1"/>
  <c r="V102" i="1"/>
  <c r="W102" i="1" s="1"/>
  <c r="X102" i="1"/>
  <c r="Y102" i="1" s="1"/>
  <c r="R103" i="1"/>
  <c r="S103" i="1"/>
  <c r="T103" i="1"/>
  <c r="U103" i="1" s="1"/>
  <c r="V103" i="1"/>
  <c r="W103" i="1" s="1"/>
  <c r="X103" i="1"/>
  <c r="Y103" i="1" s="1"/>
  <c r="R104" i="1"/>
  <c r="S104" i="1"/>
  <c r="T104" i="1"/>
  <c r="U104" i="1" s="1"/>
  <c r="V104" i="1"/>
  <c r="W104" i="1" s="1"/>
  <c r="X104" i="1"/>
  <c r="Y104" i="1" s="1"/>
  <c r="R105" i="1"/>
  <c r="S105" i="1"/>
  <c r="T105" i="1"/>
  <c r="U105" i="1" s="1"/>
  <c r="V105" i="1"/>
  <c r="X105" i="1"/>
  <c r="Y105" i="1" s="1"/>
  <c r="R106" i="1"/>
  <c r="S106" i="1"/>
  <c r="T106" i="1"/>
  <c r="U106" i="1"/>
  <c r="V106" i="1"/>
  <c r="W106" i="1" s="1"/>
  <c r="X106" i="1"/>
  <c r="Y106" i="1" s="1"/>
  <c r="R107" i="1"/>
  <c r="S107" i="1"/>
  <c r="T107" i="1"/>
  <c r="U107" i="1" s="1"/>
  <c r="V107" i="1"/>
  <c r="W107" i="1" s="1"/>
  <c r="X107" i="1"/>
  <c r="Y107" i="1" s="1"/>
  <c r="R108" i="1"/>
  <c r="S108" i="1"/>
  <c r="T108" i="1"/>
  <c r="U108" i="1" s="1"/>
  <c r="V108" i="1"/>
  <c r="X108" i="1"/>
  <c r="Y108" i="1" s="1"/>
  <c r="R109" i="1"/>
  <c r="S109" i="1"/>
  <c r="T109" i="1"/>
  <c r="U109" i="1" s="1"/>
  <c r="V109" i="1"/>
  <c r="X109" i="1"/>
  <c r="Y109" i="1" s="1"/>
  <c r="R110" i="1"/>
  <c r="S110" i="1"/>
  <c r="T110" i="1"/>
  <c r="U110" i="1" s="1"/>
  <c r="V110" i="1"/>
  <c r="W110" i="1" s="1"/>
  <c r="X110" i="1"/>
  <c r="Y110" i="1" s="1"/>
  <c r="R111" i="1"/>
  <c r="S111" i="1"/>
  <c r="T111" i="1"/>
  <c r="U111" i="1" s="1"/>
  <c r="V111" i="1"/>
  <c r="W111" i="1" s="1"/>
  <c r="X111" i="1"/>
  <c r="Y111" i="1" s="1"/>
  <c r="R112" i="1"/>
  <c r="S112" i="1"/>
  <c r="T112" i="1"/>
  <c r="U112" i="1"/>
  <c r="V112" i="1"/>
  <c r="W112" i="1" s="1"/>
  <c r="X112" i="1"/>
  <c r="Y112" i="1" s="1"/>
  <c r="R113" i="1"/>
  <c r="S113" i="1"/>
  <c r="T113" i="1"/>
  <c r="U113" i="1" s="1"/>
  <c r="V113" i="1"/>
  <c r="W113" i="1" s="1"/>
  <c r="X113" i="1"/>
  <c r="Y113" i="1" s="1"/>
  <c r="R114" i="1"/>
  <c r="S114" i="1"/>
  <c r="T114" i="1"/>
  <c r="U114" i="1" s="1"/>
  <c r="V114" i="1"/>
  <c r="W114" i="1" s="1"/>
  <c r="X114" i="1"/>
  <c r="Y114" i="1" s="1"/>
  <c r="R115" i="1"/>
  <c r="S115" i="1"/>
  <c r="T115" i="1"/>
  <c r="U115" i="1" s="1"/>
  <c r="V115" i="1"/>
  <c r="W115" i="1" s="1"/>
  <c r="X115" i="1"/>
  <c r="Y115" i="1" s="1"/>
  <c r="R116" i="1"/>
  <c r="S116" i="1"/>
  <c r="T116" i="1"/>
  <c r="U116" i="1" s="1"/>
  <c r="V116" i="1"/>
  <c r="X116" i="1"/>
  <c r="Y116" i="1" s="1"/>
  <c r="R117" i="1"/>
  <c r="S117" i="1"/>
  <c r="T117" i="1"/>
  <c r="U117" i="1" s="1"/>
  <c r="V117" i="1"/>
  <c r="W117" i="1" s="1"/>
  <c r="X117" i="1"/>
  <c r="Y117" i="1"/>
  <c r="R118" i="1"/>
  <c r="S118" i="1"/>
  <c r="T118" i="1"/>
  <c r="U118" i="1" s="1"/>
  <c r="V118" i="1"/>
  <c r="W118" i="1" s="1"/>
  <c r="X118" i="1"/>
  <c r="Y118" i="1" s="1"/>
  <c r="R119" i="1"/>
  <c r="S119" i="1"/>
  <c r="T119" i="1"/>
  <c r="U119" i="1" s="1"/>
  <c r="V119" i="1"/>
  <c r="W119" i="1" s="1"/>
  <c r="X119" i="1"/>
  <c r="Y119" i="1" s="1"/>
  <c r="R120" i="1"/>
  <c r="S120" i="1"/>
  <c r="T120" i="1"/>
  <c r="U120" i="1" s="1"/>
  <c r="V120" i="1"/>
  <c r="W120" i="1" s="1"/>
  <c r="X120" i="1"/>
  <c r="Y120" i="1" s="1"/>
  <c r="R121" i="1"/>
  <c r="S121" i="1"/>
  <c r="T121" i="1"/>
  <c r="U121" i="1" s="1"/>
  <c r="V121" i="1"/>
  <c r="W121" i="1" s="1"/>
  <c r="X121" i="1"/>
  <c r="Y121" i="1"/>
  <c r="R122" i="1"/>
  <c r="S122" i="1"/>
  <c r="T122" i="1"/>
  <c r="U122" i="1" s="1"/>
  <c r="V122" i="1"/>
  <c r="W122" i="1" s="1"/>
  <c r="X122" i="1"/>
  <c r="Y122" i="1"/>
  <c r="R123" i="1"/>
  <c r="S123" i="1"/>
  <c r="T123" i="1"/>
  <c r="U123" i="1"/>
  <c r="V123" i="1"/>
  <c r="W123" i="1" s="1"/>
  <c r="X123" i="1"/>
  <c r="Y123" i="1" s="1"/>
  <c r="R124" i="1"/>
  <c r="S124" i="1"/>
  <c r="T124" i="1"/>
  <c r="U124" i="1" s="1"/>
  <c r="V124" i="1"/>
  <c r="W124" i="1" s="1"/>
  <c r="X124" i="1"/>
  <c r="Y124" i="1" s="1"/>
  <c r="R125" i="1"/>
  <c r="S125" i="1"/>
  <c r="T125" i="1"/>
  <c r="U125" i="1" s="1"/>
  <c r="V125" i="1"/>
  <c r="X125" i="1"/>
  <c r="Y125" i="1" s="1"/>
  <c r="R126" i="1"/>
  <c r="S126" i="1"/>
  <c r="T126" i="1"/>
  <c r="U126" i="1" s="1"/>
  <c r="V126" i="1"/>
  <c r="W126" i="1" s="1"/>
  <c r="X126" i="1"/>
  <c r="Y126" i="1" s="1"/>
  <c r="R127" i="1"/>
  <c r="S127" i="1"/>
  <c r="T127" i="1"/>
  <c r="U127" i="1" s="1"/>
  <c r="V127" i="1"/>
  <c r="W127" i="1" s="1"/>
  <c r="X127" i="1"/>
  <c r="Y127" i="1" s="1"/>
  <c r="R128" i="1"/>
  <c r="S128" i="1"/>
  <c r="T128" i="1"/>
  <c r="U128" i="1" s="1"/>
  <c r="V128" i="1"/>
  <c r="W128" i="1" s="1"/>
  <c r="X128" i="1"/>
  <c r="Y128" i="1" s="1"/>
  <c r="R129" i="1"/>
  <c r="S129" i="1"/>
  <c r="T129" i="1"/>
  <c r="U129" i="1" s="1"/>
  <c r="V129" i="1"/>
  <c r="W129" i="1" s="1"/>
  <c r="X129" i="1"/>
  <c r="Y129" i="1" s="1"/>
  <c r="R130" i="1"/>
  <c r="S130" i="1"/>
  <c r="T130" i="1"/>
  <c r="U130" i="1" s="1"/>
  <c r="V130" i="1"/>
  <c r="W130" i="1" s="1"/>
  <c r="X130" i="1"/>
  <c r="Y130" i="1" s="1"/>
  <c r="R131" i="1"/>
  <c r="S131" i="1"/>
  <c r="T131" i="1"/>
  <c r="U131" i="1"/>
  <c r="V131" i="1"/>
  <c r="X131" i="1"/>
  <c r="Y131" i="1" s="1"/>
  <c r="R132" i="1"/>
  <c r="S132" i="1"/>
  <c r="T132" i="1"/>
  <c r="U132" i="1" s="1"/>
  <c r="V132" i="1"/>
  <c r="W132" i="1" s="1"/>
  <c r="X132" i="1"/>
  <c r="Y132" i="1" s="1"/>
  <c r="R133" i="1"/>
  <c r="S133" i="1"/>
  <c r="T133" i="1"/>
  <c r="U133" i="1" s="1"/>
  <c r="V133" i="1"/>
  <c r="X133" i="1"/>
  <c r="Y133" i="1" s="1"/>
  <c r="R134" i="1"/>
  <c r="S134" i="1"/>
  <c r="T134" i="1"/>
  <c r="U134" i="1" s="1"/>
  <c r="V134" i="1"/>
  <c r="W134" i="1" s="1"/>
  <c r="X134" i="1"/>
  <c r="Y134" i="1" s="1"/>
  <c r="R135" i="1"/>
  <c r="S135" i="1"/>
  <c r="T135" i="1"/>
  <c r="U135" i="1" s="1"/>
  <c r="V135" i="1"/>
  <c r="X135" i="1"/>
  <c r="Y135" i="1" s="1"/>
  <c r="R136" i="1"/>
  <c r="S136" i="1"/>
  <c r="T136" i="1"/>
  <c r="U136" i="1" s="1"/>
  <c r="V136" i="1"/>
  <c r="W136" i="1" s="1"/>
  <c r="X136" i="1"/>
  <c r="Y136" i="1" s="1"/>
  <c r="R137" i="1"/>
  <c r="S137" i="1"/>
  <c r="T137" i="1"/>
  <c r="U137" i="1" s="1"/>
  <c r="V137" i="1"/>
  <c r="W137" i="1" s="1"/>
  <c r="X137" i="1"/>
  <c r="Y137" i="1" s="1"/>
  <c r="R138" i="1"/>
  <c r="S138" i="1"/>
  <c r="T138" i="1"/>
  <c r="U138" i="1" s="1"/>
  <c r="V138" i="1"/>
  <c r="W138" i="1" s="1"/>
  <c r="X138" i="1"/>
  <c r="Y138" i="1" s="1"/>
  <c r="R139" i="1"/>
  <c r="S139" i="1"/>
  <c r="T139" i="1"/>
  <c r="U139" i="1" s="1"/>
  <c r="V139" i="1"/>
  <c r="W139" i="1" s="1"/>
  <c r="X139" i="1"/>
  <c r="Y139" i="1" s="1"/>
  <c r="R140" i="1"/>
  <c r="S140" i="1"/>
  <c r="T140" i="1"/>
  <c r="U140" i="1" s="1"/>
  <c r="V140" i="1"/>
  <c r="W140" i="1" s="1"/>
  <c r="X140" i="1"/>
  <c r="Y140" i="1"/>
  <c r="R141" i="1"/>
  <c r="S141" i="1"/>
  <c r="T141" i="1"/>
  <c r="U141" i="1" s="1"/>
  <c r="V141" i="1"/>
  <c r="W141" i="1" s="1"/>
  <c r="X141" i="1"/>
  <c r="Y141" i="1" s="1"/>
  <c r="R142" i="1"/>
  <c r="S142" i="1"/>
  <c r="T142" i="1"/>
  <c r="U142" i="1" s="1"/>
  <c r="V142" i="1"/>
  <c r="W142" i="1" s="1"/>
  <c r="X142" i="1"/>
  <c r="Y142" i="1" s="1"/>
  <c r="R143" i="1"/>
  <c r="S143" i="1"/>
  <c r="T143" i="1"/>
  <c r="U143" i="1" s="1"/>
  <c r="V143" i="1"/>
  <c r="W143" i="1" s="1"/>
  <c r="X143" i="1"/>
  <c r="Y143" i="1" s="1"/>
  <c r="R144" i="1"/>
  <c r="S144" i="1"/>
  <c r="T144" i="1"/>
  <c r="U144" i="1" s="1"/>
  <c r="V144" i="1"/>
  <c r="W144" i="1" s="1"/>
  <c r="X144" i="1"/>
  <c r="Y144" i="1" s="1"/>
  <c r="R145" i="1"/>
  <c r="S145" i="1"/>
  <c r="T145" i="1"/>
  <c r="U145" i="1" s="1"/>
  <c r="V145" i="1"/>
  <c r="X145" i="1"/>
  <c r="Y145" i="1" s="1"/>
  <c r="R146" i="1"/>
  <c r="S146" i="1"/>
  <c r="T146" i="1"/>
  <c r="U146" i="1" s="1"/>
  <c r="V146" i="1"/>
  <c r="W146" i="1" s="1"/>
  <c r="X146" i="1"/>
  <c r="Y146" i="1" s="1"/>
  <c r="R147" i="1"/>
  <c r="S147" i="1"/>
  <c r="T147" i="1"/>
  <c r="U147" i="1" s="1"/>
  <c r="V147" i="1"/>
  <c r="W147" i="1" s="1"/>
  <c r="X147" i="1"/>
  <c r="Y147" i="1" s="1"/>
  <c r="R148" i="1"/>
  <c r="S148" i="1"/>
  <c r="T148" i="1"/>
  <c r="U148" i="1"/>
  <c r="V148" i="1"/>
  <c r="W148" i="1" s="1"/>
  <c r="X148" i="1"/>
  <c r="Y148" i="1"/>
  <c r="R149" i="1"/>
  <c r="S149" i="1"/>
  <c r="T149" i="1"/>
  <c r="U149" i="1" s="1"/>
  <c r="V149" i="1"/>
  <c r="W149" i="1" s="1"/>
  <c r="X149" i="1"/>
  <c r="Y149" i="1" s="1"/>
  <c r="R150" i="1"/>
  <c r="S150" i="1"/>
  <c r="T150" i="1"/>
  <c r="U150" i="1" s="1"/>
  <c r="V150" i="1"/>
  <c r="W150" i="1" s="1"/>
  <c r="X150" i="1"/>
  <c r="Y150" i="1" s="1"/>
  <c r="R151" i="1"/>
  <c r="S151" i="1"/>
  <c r="T151" i="1"/>
  <c r="U151" i="1" s="1"/>
  <c r="V151" i="1"/>
  <c r="W151" i="1" s="1"/>
  <c r="X151" i="1"/>
  <c r="Y151" i="1"/>
  <c r="R152" i="1"/>
  <c r="S152" i="1"/>
  <c r="T152" i="1"/>
  <c r="U152" i="1" s="1"/>
  <c r="V152" i="1"/>
  <c r="W152" i="1" s="1"/>
  <c r="X152" i="1"/>
  <c r="Y152" i="1" s="1"/>
  <c r="R153" i="1"/>
  <c r="S153" i="1"/>
  <c r="T153" i="1"/>
  <c r="U153" i="1" s="1"/>
  <c r="V153" i="1"/>
  <c r="W153" i="1" s="1"/>
  <c r="X153" i="1"/>
  <c r="Y153" i="1" s="1"/>
  <c r="R154" i="1"/>
  <c r="S154" i="1"/>
  <c r="T154" i="1"/>
  <c r="U154" i="1" s="1"/>
  <c r="V154" i="1"/>
  <c r="W154" i="1" s="1"/>
  <c r="X154" i="1"/>
  <c r="Y154" i="1" s="1"/>
  <c r="R155" i="1"/>
  <c r="S155" i="1"/>
  <c r="T155" i="1"/>
  <c r="U155" i="1" s="1"/>
  <c r="V155" i="1"/>
  <c r="W155" i="1" s="1"/>
  <c r="X155" i="1"/>
  <c r="Y155" i="1" s="1"/>
  <c r="R156" i="1"/>
  <c r="S156" i="1"/>
  <c r="T156" i="1"/>
  <c r="U156" i="1" s="1"/>
  <c r="V156" i="1"/>
  <c r="W156" i="1" s="1"/>
  <c r="X156" i="1"/>
  <c r="Y156" i="1" s="1"/>
  <c r="R157" i="1"/>
  <c r="S157" i="1"/>
  <c r="T157" i="1"/>
  <c r="U157" i="1" s="1"/>
  <c r="V157" i="1"/>
  <c r="X157" i="1"/>
  <c r="Y157" i="1" s="1"/>
  <c r="R158" i="1"/>
  <c r="S158" i="1"/>
  <c r="T158" i="1"/>
  <c r="U158" i="1"/>
  <c r="V158" i="1"/>
  <c r="W158" i="1" s="1"/>
  <c r="X158" i="1"/>
  <c r="Y158" i="1" s="1"/>
  <c r="S159" i="1"/>
  <c r="T159" i="1"/>
  <c r="U159" i="1" s="1"/>
  <c r="V159" i="1"/>
  <c r="X159" i="1"/>
  <c r="Y159" i="1" s="1"/>
  <c r="R160" i="1"/>
  <c r="S160" i="1"/>
  <c r="T160" i="1"/>
  <c r="U160" i="1" s="1"/>
  <c r="V160" i="1"/>
  <c r="W160" i="1" s="1"/>
  <c r="X160" i="1"/>
  <c r="Y160" i="1" s="1"/>
  <c r="R161" i="1"/>
  <c r="S161" i="1"/>
  <c r="T161" i="1"/>
  <c r="U161" i="1" s="1"/>
  <c r="V161" i="1"/>
  <c r="W161" i="1" s="1"/>
  <c r="X161" i="1"/>
  <c r="Y161" i="1"/>
  <c r="R162" i="1"/>
  <c r="S162" i="1"/>
  <c r="T162" i="1"/>
  <c r="U162" i="1" s="1"/>
  <c r="V162" i="1"/>
  <c r="W162" i="1" s="1"/>
  <c r="X162" i="1"/>
  <c r="Y162" i="1" s="1"/>
  <c r="R163" i="1"/>
  <c r="S163" i="1"/>
  <c r="T163" i="1"/>
  <c r="U163" i="1"/>
  <c r="V163" i="1"/>
  <c r="W163" i="1" s="1"/>
  <c r="X163" i="1"/>
  <c r="Y163" i="1" s="1"/>
  <c r="S164" i="1"/>
  <c r="T164" i="1"/>
  <c r="U164" i="1"/>
  <c r="V164" i="1"/>
  <c r="W164" i="1" s="1"/>
  <c r="X164" i="1"/>
  <c r="Y164" i="1" s="1"/>
  <c r="R165" i="1"/>
  <c r="S165" i="1"/>
  <c r="T165" i="1"/>
  <c r="U165" i="1" s="1"/>
  <c r="V165" i="1"/>
  <c r="W165" i="1" s="1"/>
  <c r="X165" i="1"/>
  <c r="Y165" i="1" s="1"/>
  <c r="R166" i="1"/>
  <c r="S166" i="1"/>
  <c r="T166" i="1"/>
  <c r="U166" i="1" s="1"/>
  <c r="V166" i="1"/>
  <c r="W166" i="1" s="1"/>
  <c r="X166" i="1"/>
  <c r="Y166" i="1" s="1"/>
  <c r="R167" i="1"/>
  <c r="S167" i="1"/>
  <c r="T167" i="1"/>
  <c r="U167" i="1" s="1"/>
  <c r="V167" i="1"/>
  <c r="W167" i="1" s="1"/>
  <c r="X167" i="1"/>
  <c r="Y167" i="1" s="1"/>
  <c r="R168" i="1"/>
  <c r="S168" i="1"/>
  <c r="T168" i="1"/>
  <c r="U168" i="1" s="1"/>
  <c r="V168" i="1"/>
  <c r="W168" i="1" s="1"/>
  <c r="X168" i="1"/>
  <c r="Y168" i="1" s="1"/>
  <c r="R169" i="1"/>
  <c r="S169" i="1"/>
  <c r="T169" i="1"/>
  <c r="U169" i="1" s="1"/>
  <c r="V169" i="1"/>
  <c r="W169" i="1" s="1"/>
  <c r="X169" i="1"/>
  <c r="Y169" i="1" s="1"/>
  <c r="R170" i="1"/>
  <c r="S170" i="1"/>
  <c r="T170" i="1"/>
  <c r="U170" i="1" s="1"/>
  <c r="V170" i="1"/>
  <c r="W170" i="1" s="1"/>
  <c r="X170" i="1"/>
  <c r="Y170" i="1"/>
  <c r="R171" i="1"/>
  <c r="S171" i="1"/>
  <c r="T171" i="1"/>
  <c r="U171" i="1" s="1"/>
  <c r="V171" i="1"/>
  <c r="X171" i="1"/>
  <c r="Y171" i="1" s="1"/>
  <c r="R172" i="1"/>
  <c r="S172" i="1"/>
  <c r="T172" i="1"/>
  <c r="U172" i="1" s="1"/>
  <c r="V172" i="1"/>
  <c r="W172" i="1" s="1"/>
  <c r="X172" i="1"/>
  <c r="Y172" i="1" s="1"/>
  <c r="S173" i="1"/>
  <c r="T173" i="1"/>
  <c r="U173" i="1" s="1"/>
  <c r="V173" i="1"/>
  <c r="X173" i="1"/>
  <c r="Y173" i="1" s="1"/>
  <c r="R174" i="1"/>
  <c r="S174" i="1"/>
  <c r="T174" i="1"/>
  <c r="U174" i="1" s="1"/>
  <c r="V174" i="1"/>
  <c r="X174" i="1"/>
  <c r="Y174" i="1" s="1"/>
  <c r="R175" i="1"/>
  <c r="S175" i="1"/>
  <c r="T175" i="1"/>
  <c r="U175" i="1" s="1"/>
  <c r="V175" i="1"/>
  <c r="X175" i="1"/>
  <c r="Y175" i="1"/>
  <c r="R176" i="1"/>
  <c r="S176" i="1"/>
  <c r="T176" i="1"/>
  <c r="U176" i="1" s="1"/>
  <c r="V176" i="1"/>
  <c r="W176" i="1" s="1"/>
  <c r="X176" i="1"/>
  <c r="Y176" i="1" s="1"/>
  <c r="R177" i="1"/>
  <c r="S177" i="1"/>
  <c r="T177" i="1"/>
  <c r="U177" i="1" s="1"/>
  <c r="V177" i="1"/>
  <c r="W177" i="1" s="1"/>
  <c r="X177" i="1"/>
  <c r="Y177" i="1" s="1"/>
  <c r="R178" i="1"/>
  <c r="S178" i="1"/>
  <c r="T178" i="1"/>
  <c r="U178" i="1" s="1"/>
  <c r="V178" i="1"/>
  <c r="W178" i="1" s="1"/>
  <c r="X178" i="1"/>
  <c r="Y178" i="1" s="1"/>
  <c r="R179" i="1"/>
  <c r="S179" i="1"/>
  <c r="T179" i="1"/>
  <c r="U179" i="1" s="1"/>
  <c r="V179" i="1"/>
  <c r="W179" i="1" s="1"/>
  <c r="X179" i="1"/>
  <c r="Y179" i="1" s="1"/>
  <c r="R180" i="1"/>
  <c r="S180" i="1"/>
  <c r="T180" i="1"/>
  <c r="U180" i="1" s="1"/>
  <c r="V180" i="1"/>
  <c r="W180" i="1" s="1"/>
  <c r="X180" i="1"/>
  <c r="Y180" i="1" s="1"/>
  <c r="S181" i="1"/>
  <c r="T181" i="1"/>
  <c r="U181" i="1" s="1"/>
  <c r="V181" i="1"/>
  <c r="X181" i="1"/>
  <c r="Y181" i="1" s="1"/>
  <c r="R182" i="1"/>
  <c r="S182" i="1"/>
  <c r="T182" i="1"/>
  <c r="U182" i="1" s="1"/>
  <c r="V182" i="1"/>
  <c r="W182" i="1" s="1"/>
  <c r="X182" i="1"/>
  <c r="Y182" i="1" s="1"/>
  <c r="R183" i="1"/>
  <c r="S183" i="1"/>
  <c r="T183" i="1"/>
  <c r="U183" i="1" s="1"/>
  <c r="V183" i="1"/>
  <c r="W183" i="1" s="1"/>
  <c r="X183" i="1"/>
  <c r="Y183" i="1" s="1"/>
  <c r="R184" i="1"/>
  <c r="S184" i="1"/>
  <c r="T184" i="1"/>
  <c r="U184" i="1"/>
  <c r="V184" i="1"/>
  <c r="W184" i="1" s="1"/>
  <c r="X184" i="1"/>
  <c r="Y184" i="1"/>
  <c r="R185" i="1"/>
  <c r="S185" i="1"/>
  <c r="T185" i="1"/>
  <c r="U185" i="1" s="1"/>
  <c r="V185" i="1"/>
  <c r="W185" i="1" s="1"/>
  <c r="X185" i="1"/>
  <c r="Y185" i="1" s="1"/>
  <c r="R186" i="1"/>
  <c r="S186" i="1"/>
  <c r="T186" i="1"/>
  <c r="U186" i="1" s="1"/>
  <c r="V186" i="1"/>
  <c r="W186" i="1" s="1"/>
  <c r="X186" i="1"/>
  <c r="Y186" i="1" s="1"/>
  <c r="R187" i="1"/>
  <c r="S187" i="1"/>
  <c r="T187" i="1"/>
  <c r="U187" i="1" s="1"/>
  <c r="V187" i="1"/>
  <c r="W187" i="1" s="1"/>
  <c r="X187" i="1"/>
  <c r="Y187" i="1" s="1"/>
  <c r="R188" i="1"/>
  <c r="S188" i="1"/>
  <c r="T188" i="1"/>
  <c r="U188" i="1" s="1"/>
  <c r="V188" i="1"/>
  <c r="W188" i="1" s="1"/>
  <c r="X188" i="1"/>
  <c r="Y188" i="1" s="1"/>
  <c r="R189" i="1"/>
  <c r="S189" i="1"/>
  <c r="T189" i="1"/>
  <c r="U189" i="1" s="1"/>
  <c r="V189" i="1"/>
  <c r="W189" i="1" s="1"/>
  <c r="X189" i="1"/>
  <c r="Y189" i="1" s="1"/>
  <c r="R190" i="1"/>
  <c r="S190" i="1"/>
  <c r="T190" i="1"/>
  <c r="U190" i="1" s="1"/>
  <c r="V190" i="1"/>
  <c r="W190" i="1" s="1"/>
  <c r="X190" i="1"/>
  <c r="Y190" i="1" s="1"/>
  <c r="R191" i="1"/>
  <c r="S191" i="1"/>
  <c r="T191" i="1"/>
  <c r="U191" i="1" s="1"/>
  <c r="V191" i="1"/>
  <c r="W191" i="1" s="1"/>
  <c r="X191" i="1"/>
  <c r="Y191" i="1" s="1"/>
  <c r="R192" i="1"/>
  <c r="S192" i="1"/>
  <c r="T192" i="1"/>
  <c r="U192" i="1" s="1"/>
  <c r="V192" i="1"/>
  <c r="W192" i="1" s="1"/>
  <c r="X192" i="1"/>
  <c r="Y192" i="1"/>
  <c r="R193" i="1"/>
  <c r="S193" i="1"/>
  <c r="T193" i="1"/>
  <c r="U193" i="1" s="1"/>
  <c r="V193" i="1"/>
  <c r="W193" i="1" s="1"/>
  <c r="X193" i="1"/>
  <c r="Y193" i="1" s="1"/>
  <c r="R194" i="1"/>
  <c r="S194" i="1"/>
  <c r="T194" i="1"/>
  <c r="U194" i="1" s="1"/>
  <c r="V194" i="1"/>
  <c r="W194" i="1" s="1"/>
  <c r="X194" i="1"/>
  <c r="Y194" i="1" s="1"/>
  <c r="S195" i="1"/>
  <c r="T195" i="1"/>
  <c r="U195" i="1" s="1"/>
  <c r="V195" i="1"/>
  <c r="X195" i="1"/>
  <c r="Y195" i="1" s="1"/>
  <c r="R196" i="1"/>
  <c r="S196" i="1"/>
  <c r="T196" i="1"/>
  <c r="U196" i="1" s="1"/>
  <c r="V196" i="1"/>
  <c r="W196" i="1" s="1"/>
  <c r="X196" i="1"/>
  <c r="Y196" i="1" s="1"/>
  <c r="R197" i="1"/>
  <c r="S197" i="1"/>
  <c r="T197" i="1"/>
  <c r="U197" i="1" s="1"/>
  <c r="V197" i="1"/>
  <c r="X197" i="1"/>
  <c r="Y197" i="1" s="1"/>
  <c r="R198" i="1"/>
  <c r="S198" i="1"/>
  <c r="T198" i="1"/>
  <c r="U198" i="1" s="1"/>
  <c r="V198" i="1"/>
  <c r="W198" i="1" s="1"/>
  <c r="X198" i="1"/>
  <c r="Y198" i="1" s="1"/>
  <c r="R199" i="1"/>
  <c r="S199" i="1"/>
  <c r="T199" i="1"/>
  <c r="U199" i="1" s="1"/>
  <c r="V199" i="1"/>
  <c r="W199" i="1" s="1"/>
  <c r="X199" i="1"/>
  <c r="Y199" i="1" s="1"/>
  <c r="R200" i="1"/>
  <c r="S200" i="1"/>
  <c r="T200" i="1"/>
  <c r="U200" i="1"/>
  <c r="V200" i="1"/>
  <c r="W200" i="1" s="1"/>
  <c r="X200" i="1"/>
  <c r="Y200" i="1" s="1"/>
  <c r="R201" i="1"/>
  <c r="S201" i="1"/>
  <c r="T201" i="1"/>
  <c r="U201" i="1" s="1"/>
  <c r="V201" i="1"/>
  <c r="W201" i="1" s="1"/>
  <c r="X201" i="1"/>
  <c r="Y201" i="1"/>
  <c r="R202" i="1"/>
  <c r="S202" i="1"/>
  <c r="T202" i="1"/>
  <c r="U202" i="1" s="1"/>
  <c r="V202" i="1"/>
  <c r="W202" i="1" s="1"/>
  <c r="X202" i="1"/>
  <c r="Y202" i="1" s="1"/>
  <c r="R203" i="1"/>
  <c r="S203" i="1"/>
  <c r="T203" i="1"/>
  <c r="U203" i="1" s="1"/>
  <c r="V203" i="1"/>
  <c r="W203" i="1" s="1"/>
  <c r="X203" i="1"/>
  <c r="Y203" i="1" s="1"/>
  <c r="R204" i="1"/>
  <c r="S204" i="1"/>
  <c r="T204" i="1"/>
  <c r="U204" i="1" s="1"/>
  <c r="V204" i="1"/>
  <c r="W204" i="1" s="1"/>
  <c r="X204" i="1"/>
  <c r="Y204" i="1" s="1"/>
  <c r="R205" i="1"/>
  <c r="S205" i="1"/>
  <c r="T205" i="1"/>
  <c r="U205" i="1" s="1"/>
  <c r="V205" i="1"/>
  <c r="X205" i="1"/>
  <c r="Y205" i="1" s="1"/>
  <c r="S206" i="1"/>
  <c r="T206" i="1"/>
  <c r="U206" i="1" s="1"/>
  <c r="V206" i="1"/>
  <c r="X206" i="1"/>
  <c r="Y206" i="1" s="1"/>
  <c r="R207" i="1"/>
  <c r="S207" i="1"/>
  <c r="T207" i="1"/>
  <c r="U207" i="1" s="1"/>
  <c r="V207" i="1"/>
  <c r="W207" i="1" s="1"/>
  <c r="X207" i="1"/>
  <c r="Y207" i="1" s="1"/>
  <c r="R208" i="1"/>
  <c r="S208" i="1"/>
  <c r="T208" i="1"/>
  <c r="U208" i="1" s="1"/>
  <c r="V208" i="1"/>
  <c r="X208" i="1"/>
  <c r="Y208" i="1" s="1"/>
  <c r="R209" i="1"/>
  <c r="S209" i="1"/>
  <c r="T209" i="1"/>
  <c r="U209" i="1" s="1"/>
  <c r="V209" i="1"/>
  <c r="X209" i="1"/>
  <c r="Y209" i="1" s="1"/>
  <c r="R210" i="1"/>
  <c r="S210" i="1"/>
  <c r="T210" i="1"/>
  <c r="U210" i="1" s="1"/>
  <c r="V210" i="1"/>
  <c r="X210" i="1"/>
  <c r="Y210" i="1" s="1"/>
  <c r="R211" i="1"/>
  <c r="S211" i="1"/>
  <c r="T211" i="1"/>
  <c r="U211" i="1"/>
  <c r="V211" i="1"/>
  <c r="W211" i="1" s="1"/>
  <c r="X211" i="1"/>
  <c r="Y211" i="1" s="1"/>
  <c r="R212" i="1"/>
  <c r="S212" i="1"/>
  <c r="T212" i="1"/>
  <c r="U212" i="1" s="1"/>
  <c r="V212" i="1"/>
  <c r="X212" i="1"/>
  <c r="Y212" i="1" s="1"/>
  <c r="R213" i="1"/>
  <c r="S213" i="1"/>
  <c r="T213" i="1"/>
  <c r="U213" i="1"/>
  <c r="V213" i="1"/>
  <c r="W213" i="1" s="1"/>
  <c r="X213" i="1"/>
  <c r="Y213" i="1"/>
  <c r="R214" i="1"/>
  <c r="S214" i="1"/>
  <c r="T214" i="1"/>
  <c r="U214" i="1" s="1"/>
  <c r="V214" i="1"/>
  <c r="W214" i="1" s="1"/>
  <c r="X214" i="1"/>
  <c r="Y214" i="1" s="1"/>
  <c r="R215" i="1"/>
  <c r="S215" i="1"/>
  <c r="T215" i="1"/>
  <c r="U215" i="1"/>
  <c r="V215" i="1"/>
  <c r="W215" i="1" s="1"/>
  <c r="X215" i="1"/>
  <c r="Y215" i="1" s="1"/>
  <c r="R216" i="1"/>
  <c r="S216" i="1"/>
  <c r="T216" i="1"/>
  <c r="U216" i="1"/>
  <c r="V216" i="1"/>
  <c r="W216" i="1" s="1"/>
  <c r="X216" i="1"/>
  <c r="Y216" i="1" s="1"/>
  <c r="R217" i="1"/>
  <c r="S217" i="1"/>
  <c r="T217" i="1"/>
  <c r="U217" i="1" s="1"/>
  <c r="V217" i="1"/>
  <c r="X217" i="1"/>
  <c r="Y217" i="1" s="1"/>
  <c r="R218" i="1"/>
  <c r="S218" i="1"/>
  <c r="T218" i="1"/>
  <c r="U218" i="1" s="1"/>
  <c r="V218" i="1"/>
  <c r="X218" i="1"/>
  <c r="Y218" i="1" s="1"/>
  <c r="R219" i="1"/>
  <c r="S219" i="1"/>
  <c r="T219" i="1"/>
  <c r="U219" i="1" s="1"/>
  <c r="V219" i="1"/>
  <c r="W219" i="1" s="1"/>
  <c r="X219" i="1"/>
  <c r="Y219" i="1"/>
  <c r="R220" i="1"/>
  <c r="S220" i="1"/>
  <c r="T220" i="1"/>
  <c r="U220" i="1" s="1"/>
  <c r="V220" i="1"/>
  <c r="W220" i="1" s="1"/>
  <c r="X220" i="1"/>
  <c r="Y220" i="1" s="1"/>
  <c r="R221" i="1"/>
  <c r="S221" i="1"/>
  <c r="T221" i="1"/>
  <c r="U221" i="1" s="1"/>
  <c r="V221" i="1"/>
  <c r="X221" i="1"/>
  <c r="Y221" i="1" s="1"/>
  <c r="R222" i="1"/>
  <c r="S222" i="1"/>
  <c r="T222" i="1"/>
  <c r="U222" i="1" s="1"/>
  <c r="V222" i="1"/>
  <c r="W222" i="1" s="1"/>
  <c r="X222" i="1"/>
  <c r="Y222" i="1" s="1"/>
  <c r="R223" i="1"/>
  <c r="S223" i="1"/>
  <c r="T223" i="1"/>
  <c r="U223" i="1" s="1"/>
  <c r="V223" i="1"/>
  <c r="X223" i="1"/>
  <c r="Y223" i="1" s="1"/>
  <c r="R224" i="1"/>
  <c r="S224" i="1"/>
  <c r="T224" i="1"/>
  <c r="U224" i="1"/>
  <c r="V224" i="1"/>
  <c r="W224" i="1" s="1"/>
  <c r="X224" i="1"/>
  <c r="Y224" i="1" s="1"/>
  <c r="R225" i="1"/>
  <c r="S225" i="1"/>
  <c r="T225" i="1"/>
  <c r="U225" i="1" s="1"/>
  <c r="V225" i="1"/>
  <c r="X225" i="1"/>
  <c r="Y225" i="1" s="1"/>
  <c r="R226" i="1"/>
  <c r="S226" i="1"/>
  <c r="T226" i="1"/>
  <c r="U226" i="1" s="1"/>
  <c r="V226" i="1"/>
  <c r="W226" i="1" s="1"/>
  <c r="X226" i="1"/>
  <c r="Y226" i="1"/>
  <c r="R227" i="1"/>
  <c r="S227" i="1"/>
  <c r="T227" i="1"/>
  <c r="U227" i="1" s="1"/>
  <c r="V227" i="1"/>
  <c r="X227" i="1"/>
  <c r="Y227" i="1" s="1"/>
  <c r="R228" i="1"/>
  <c r="S228" i="1"/>
  <c r="T228" i="1"/>
  <c r="U228" i="1" s="1"/>
  <c r="V228" i="1"/>
  <c r="W228" i="1" s="1"/>
  <c r="X228" i="1"/>
  <c r="Y228" i="1" s="1"/>
  <c r="R229" i="1"/>
  <c r="S229" i="1"/>
  <c r="T229" i="1"/>
  <c r="U229" i="1" s="1"/>
  <c r="V229" i="1"/>
  <c r="W229" i="1" s="1"/>
  <c r="X229" i="1"/>
  <c r="Y229" i="1" s="1"/>
  <c r="R230" i="1"/>
  <c r="S230" i="1"/>
  <c r="T230" i="1"/>
  <c r="U230" i="1" s="1"/>
  <c r="V230" i="1"/>
  <c r="W230" i="1" s="1"/>
  <c r="X230" i="1"/>
  <c r="Y230" i="1" s="1"/>
  <c r="R231" i="1"/>
  <c r="S231" i="1"/>
  <c r="T231" i="1"/>
  <c r="U231" i="1" s="1"/>
  <c r="V231" i="1"/>
  <c r="W231" i="1" s="1"/>
  <c r="X231" i="1"/>
  <c r="Y231" i="1" s="1"/>
  <c r="R232" i="1"/>
  <c r="S232" i="1"/>
  <c r="T232" i="1"/>
  <c r="U232" i="1"/>
  <c r="V232" i="1"/>
  <c r="X232" i="1"/>
  <c r="Y232" i="1" s="1"/>
  <c r="R233" i="1"/>
  <c r="S233" i="1"/>
  <c r="T233" i="1"/>
  <c r="U233" i="1" s="1"/>
  <c r="V233" i="1"/>
  <c r="W233" i="1" s="1"/>
  <c r="X233" i="1"/>
  <c r="Y233" i="1" s="1"/>
  <c r="S234" i="1"/>
  <c r="T234" i="1"/>
  <c r="U234" i="1" s="1"/>
  <c r="V234" i="1"/>
  <c r="X234" i="1"/>
  <c r="Y234" i="1" s="1"/>
  <c r="R235" i="1"/>
  <c r="S235" i="1"/>
  <c r="T235" i="1"/>
  <c r="U235" i="1"/>
  <c r="V235" i="1"/>
  <c r="W235" i="1" s="1"/>
  <c r="X235" i="1"/>
  <c r="Y235" i="1" s="1"/>
  <c r="R236" i="1"/>
  <c r="S236" i="1"/>
  <c r="T236" i="1"/>
  <c r="U236" i="1" s="1"/>
  <c r="V236" i="1"/>
  <c r="W236" i="1" s="1"/>
  <c r="X236" i="1"/>
  <c r="Y236" i="1"/>
  <c r="R237" i="1"/>
  <c r="S237" i="1"/>
  <c r="T237" i="1"/>
  <c r="U237" i="1" s="1"/>
  <c r="V237" i="1"/>
  <c r="X237" i="1"/>
  <c r="Y237" i="1"/>
  <c r="R238" i="1"/>
  <c r="S238" i="1"/>
  <c r="T238" i="1"/>
  <c r="U238" i="1" s="1"/>
  <c r="V238" i="1"/>
  <c r="X238" i="1"/>
  <c r="Y238" i="1" s="1"/>
  <c r="R239" i="1"/>
  <c r="S239" i="1"/>
  <c r="T239" i="1"/>
  <c r="U239" i="1" s="1"/>
  <c r="V239" i="1"/>
  <c r="W239" i="1" s="1"/>
  <c r="X239" i="1"/>
  <c r="Y239" i="1" s="1"/>
  <c r="R240" i="1"/>
  <c r="S240" i="1"/>
  <c r="T240" i="1"/>
  <c r="U240" i="1" s="1"/>
  <c r="V240" i="1"/>
  <c r="W240" i="1" s="1"/>
  <c r="X240" i="1"/>
  <c r="Y240" i="1" s="1"/>
  <c r="S241" i="1"/>
  <c r="T241" i="1"/>
  <c r="U241" i="1" s="1"/>
  <c r="V241" i="1"/>
  <c r="W241" i="1" s="1"/>
  <c r="X241" i="1"/>
  <c r="Y241" i="1" s="1"/>
  <c r="R242" i="1"/>
  <c r="S242" i="1"/>
  <c r="T242" i="1"/>
  <c r="U242" i="1" s="1"/>
  <c r="V242" i="1"/>
  <c r="W242" i="1" s="1"/>
  <c r="X242" i="1"/>
  <c r="Y242" i="1"/>
  <c r="R243" i="1"/>
  <c r="S243" i="1"/>
  <c r="T243" i="1"/>
  <c r="U243" i="1" s="1"/>
  <c r="V243" i="1"/>
  <c r="X243" i="1"/>
  <c r="Y243" i="1" s="1"/>
  <c r="R244" i="1"/>
  <c r="S244" i="1"/>
  <c r="T244" i="1"/>
  <c r="U244" i="1"/>
  <c r="V244" i="1"/>
  <c r="W244" i="1" s="1"/>
  <c r="X244" i="1"/>
  <c r="Y244" i="1" s="1"/>
  <c r="R245" i="1"/>
  <c r="S245" i="1"/>
  <c r="T245" i="1"/>
  <c r="U245" i="1" s="1"/>
  <c r="V245" i="1"/>
  <c r="W245" i="1" s="1"/>
  <c r="X245" i="1"/>
  <c r="Y245" i="1" s="1"/>
  <c r="R246" i="1"/>
  <c r="S246" i="1"/>
  <c r="T246" i="1"/>
  <c r="U246" i="1" s="1"/>
  <c r="V246" i="1"/>
  <c r="W246" i="1" s="1"/>
  <c r="X246" i="1"/>
  <c r="Y246" i="1"/>
  <c r="R247" i="1"/>
  <c r="S247" i="1"/>
  <c r="T247" i="1"/>
  <c r="U247" i="1" s="1"/>
  <c r="V247" i="1"/>
  <c r="W247" i="1" s="1"/>
  <c r="X247" i="1"/>
  <c r="Y247" i="1" s="1"/>
  <c r="R248" i="1"/>
  <c r="S248" i="1"/>
  <c r="T248" i="1"/>
  <c r="U248" i="1" s="1"/>
  <c r="V248" i="1"/>
  <c r="X248" i="1"/>
  <c r="Y248" i="1" s="1"/>
  <c r="R249" i="1"/>
  <c r="S249" i="1"/>
  <c r="T249" i="1"/>
  <c r="U249" i="1" s="1"/>
  <c r="V249" i="1"/>
  <c r="X249" i="1"/>
  <c r="Y249" i="1" s="1"/>
  <c r="R250" i="1"/>
  <c r="S250" i="1"/>
  <c r="T250" i="1"/>
  <c r="U250" i="1" s="1"/>
  <c r="V250" i="1"/>
  <c r="X250" i="1"/>
  <c r="Y250" i="1" s="1"/>
  <c r="R251" i="1"/>
  <c r="S251" i="1"/>
  <c r="T251" i="1"/>
  <c r="U251" i="1" s="1"/>
  <c r="V251" i="1"/>
  <c r="W251" i="1" s="1"/>
  <c r="X251" i="1"/>
  <c r="Y251" i="1" s="1"/>
  <c r="S252" i="1"/>
  <c r="T252" i="1"/>
  <c r="U252" i="1" s="1"/>
  <c r="V252" i="1"/>
  <c r="W252" i="1" s="1"/>
  <c r="X252" i="1"/>
  <c r="Y252" i="1" s="1"/>
  <c r="R253" i="1"/>
  <c r="S253" i="1"/>
  <c r="T253" i="1"/>
  <c r="U253" i="1" s="1"/>
  <c r="V253" i="1"/>
  <c r="W253" i="1" s="1"/>
  <c r="X253" i="1"/>
  <c r="Y253" i="1" s="1"/>
  <c r="R254" i="1"/>
  <c r="S254" i="1"/>
  <c r="T254" i="1"/>
  <c r="U254" i="1"/>
  <c r="V254" i="1"/>
  <c r="W254" i="1" s="1"/>
  <c r="X254" i="1"/>
  <c r="Y254" i="1" s="1"/>
  <c r="R255" i="1"/>
  <c r="S255" i="1"/>
  <c r="T255" i="1"/>
  <c r="U255" i="1"/>
  <c r="V255" i="1"/>
  <c r="W255" i="1" s="1"/>
  <c r="X255" i="1"/>
  <c r="Y255" i="1" s="1"/>
  <c r="R256" i="1"/>
  <c r="S256" i="1"/>
  <c r="T256" i="1"/>
  <c r="U256" i="1" s="1"/>
  <c r="V256" i="1"/>
  <c r="W256" i="1" s="1"/>
  <c r="X256" i="1"/>
  <c r="Y256" i="1" s="1"/>
  <c r="S257" i="1"/>
  <c r="T257" i="1"/>
  <c r="U257" i="1" s="1"/>
  <c r="V257" i="1"/>
  <c r="X257" i="1"/>
  <c r="Y257" i="1" s="1"/>
  <c r="R258" i="1"/>
  <c r="S258" i="1"/>
  <c r="T258" i="1"/>
  <c r="U258" i="1" s="1"/>
  <c r="V258" i="1"/>
  <c r="W258" i="1" s="1"/>
  <c r="X258" i="1"/>
  <c r="Y258" i="1" s="1"/>
  <c r="R259" i="1"/>
  <c r="S259" i="1"/>
  <c r="T259" i="1"/>
  <c r="U259" i="1" s="1"/>
  <c r="V259" i="1"/>
  <c r="W259" i="1" s="1"/>
  <c r="X259" i="1"/>
  <c r="Y259" i="1" s="1"/>
  <c r="R260" i="1"/>
  <c r="S260" i="1"/>
  <c r="T260" i="1"/>
  <c r="U260" i="1" s="1"/>
  <c r="V260" i="1"/>
  <c r="W260" i="1" s="1"/>
  <c r="X260" i="1"/>
  <c r="Y260" i="1" s="1"/>
  <c r="R261" i="1"/>
  <c r="S261" i="1"/>
  <c r="T261" i="1"/>
  <c r="U261" i="1" s="1"/>
  <c r="V261" i="1"/>
  <c r="W261" i="1" s="1"/>
  <c r="X261" i="1"/>
  <c r="Y261" i="1" s="1"/>
  <c r="R262" i="1"/>
  <c r="S262" i="1"/>
  <c r="T262" i="1"/>
  <c r="U262" i="1" s="1"/>
  <c r="V262" i="1"/>
  <c r="W262" i="1" s="1"/>
  <c r="X262" i="1"/>
  <c r="Y262" i="1" s="1"/>
  <c r="R263" i="1"/>
  <c r="S263" i="1"/>
  <c r="T263" i="1"/>
  <c r="U263" i="1" s="1"/>
  <c r="V263" i="1"/>
  <c r="W263" i="1" s="1"/>
  <c r="X263" i="1"/>
  <c r="Y263" i="1"/>
  <c r="R264" i="1"/>
  <c r="S264" i="1"/>
  <c r="T264" i="1"/>
  <c r="U264" i="1"/>
  <c r="V264" i="1"/>
  <c r="X264" i="1"/>
  <c r="Y264" i="1" s="1"/>
  <c r="R265" i="1"/>
  <c r="S265" i="1"/>
  <c r="T265" i="1"/>
  <c r="U265" i="1" s="1"/>
  <c r="V265" i="1"/>
  <c r="W265" i="1" s="1"/>
  <c r="X265" i="1"/>
  <c r="Y265" i="1" s="1"/>
  <c r="R266" i="1"/>
  <c r="S266" i="1"/>
  <c r="T266" i="1"/>
  <c r="U266" i="1" s="1"/>
  <c r="V266" i="1"/>
  <c r="X266" i="1"/>
  <c r="Y266" i="1"/>
  <c r="R267" i="1"/>
  <c r="S267" i="1"/>
  <c r="T267" i="1"/>
  <c r="U267" i="1" s="1"/>
  <c r="V267" i="1"/>
  <c r="W267" i="1" s="1"/>
  <c r="X267" i="1"/>
  <c r="Y267" i="1"/>
  <c r="R268" i="1"/>
  <c r="S268" i="1"/>
  <c r="T268" i="1"/>
  <c r="U268" i="1" s="1"/>
  <c r="V268" i="1"/>
  <c r="W268" i="1" s="1"/>
  <c r="X268" i="1"/>
  <c r="Y268" i="1" s="1"/>
  <c r="R269" i="1"/>
  <c r="S269" i="1"/>
  <c r="T269" i="1"/>
  <c r="U269" i="1" s="1"/>
  <c r="V269" i="1"/>
  <c r="W269" i="1" s="1"/>
  <c r="X269" i="1"/>
  <c r="Y269" i="1" s="1"/>
  <c r="R270" i="1"/>
  <c r="S270" i="1"/>
  <c r="T270" i="1"/>
  <c r="U270" i="1" s="1"/>
  <c r="V270" i="1"/>
  <c r="W270" i="1" s="1"/>
  <c r="X270" i="1"/>
  <c r="Y270" i="1" s="1"/>
  <c r="R271" i="1"/>
  <c r="S271" i="1"/>
  <c r="T271" i="1"/>
  <c r="U271" i="1"/>
  <c r="V271" i="1"/>
  <c r="X271" i="1"/>
  <c r="Y271" i="1" s="1"/>
  <c r="R272" i="1"/>
  <c r="S272" i="1"/>
  <c r="T272" i="1"/>
  <c r="U272" i="1" s="1"/>
  <c r="V272" i="1"/>
  <c r="W272" i="1" s="1"/>
  <c r="X272" i="1"/>
  <c r="Y272" i="1" s="1"/>
  <c r="R273" i="1"/>
  <c r="S273" i="1"/>
  <c r="T273" i="1"/>
  <c r="U273" i="1" s="1"/>
  <c r="V273" i="1"/>
  <c r="X273" i="1"/>
  <c r="Y273" i="1" s="1"/>
  <c r="S274" i="1"/>
  <c r="T274" i="1"/>
  <c r="U274" i="1" s="1"/>
  <c r="V274" i="1"/>
  <c r="W274" i="1" s="1"/>
  <c r="X274" i="1"/>
  <c r="Y274" i="1" s="1"/>
  <c r="R275" i="1"/>
  <c r="S275" i="1"/>
  <c r="T275" i="1"/>
  <c r="U275" i="1" s="1"/>
  <c r="V275" i="1"/>
  <c r="W275" i="1" s="1"/>
  <c r="X275" i="1"/>
  <c r="Y275" i="1" s="1"/>
  <c r="R276" i="1"/>
  <c r="S276" i="1"/>
  <c r="T276" i="1"/>
  <c r="U276" i="1"/>
  <c r="V276" i="1"/>
  <c r="W276" i="1" s="1"/>
  <c r="X276" i="1"/>
  <c r="Y276" i="1" s="1"/>
  <c r="R277" i="1"/>
  <c r="S277" i="1"/>
  <c r="T277" i="1"/>
  <c r="U277" i="1" s="1"/>
  <c r="V277" i="1"/>
  <c r="W277" i="1" s="1"/>
  <c r="X277" i="1"/>
  <c r="Y277" i="1" s="1"/>
  <c r="R278" i="1"/>
  <c r="S278" i="1"/>
  <c r="T278" i="1"/>
  <c r="U278" i="1" s="1"/>
  <c r="V278" i="1"/>
  <c r="W278" i="1" s="1"/>
  <c r="X278" i="1"/>
  <c r="Y278" i="1" s="1"/>
  <c r="R279" i="1"/>
  <c r="S279" i="1"/>
  <c r="T279" i="1"/>
  <c r="U279" i="1" s="1"/>
  <c r="V279" i="1"/>
  <c r="W279" i="1" s="1"/>
  <c r="X279" i="1"/>
  <c r="Y279" i="1" s="1"/>
  <c r="R280" i="1"/>
  <c r="S280" i="1"/>
  <c r="T280" i="1"/>
  <c r="U280" i="1" s="1"/>
  <c r="V280" i="1"/>
  <c r="W280" i="1" s="1"/>
  <c r="X280" i="1"/>
  <c r="Y280" i="1"/>
  <c r="R281" i="1"/>
  <c r="S281" i="1"/>
  <c r="T281" i="1"/>
  <c r="U281" i="1" s="1"/>
  <c r="V281" i="1"/>
  <c r="X281" i="1"/>
  <c r="Y281" i="1" s="1"/>
  <c r="R282" i="1"/>
  <c r="S282" i="1"/>
  <c r="T282" i="1"/>
  <c r="U282" i="1"/>
  <c r="V282" i="1"/>
  <c r="W282" i="1" s="1"/>
  <c r="X282" i="1"/>
  <c r="Y282" i="1" s="1"/>
  <c r="R283" i="1"/>
  <c r="S283" i="1"/>
  <c r="T283" i="1"/>
  <c r="U283" i="1" s="1"/>
  <c r="V283" i="1"/>
  <c r="W283" i="1" s="1"/>
  <c r="X283" i="1"/>
  <c r="Y283" i="1" s="1"/>
  <c r="R284" i="1"/>
  <c r="S284" i="1"/>
  <c r="T284" i="1"/>
  <c r="U284" i="1" s="1"/>
  <c r="V284" i="1"/>
  <c r="W284" i="1" s="1"/>
  <c r="X284" i="1"/>
  <c r="Y284" i="1" s="1"/>
  <c r="R285" i="1"/>
  <c r="S285" i="1"/>
  <c r="T285" i="1"/>
  <c r="U285" i="1" s="1"/>
  <c r="V285" i="1"/>
  <c r="W285" i="1" s="1"/>
  <c r="X285" i="1"/>
  <c r="Y285" i="1"/>
  <c r="R286" i="1"/>
  <c r="S286" i="1"/>
  <c r="T286" i="1"/>
  <c r="U286" i="1" s="1"/>
  <c r="V286" i="1"/>
  <c r="W286" i="1" s="1"/>
  <c r="X286" i="1"/>
  <c r="Y286" i="1" s="1"/>
  <c r="R287" i="1"/>
  <c r="S287" i="1"/>
  <c r="T287" i="1"/>
  <c r="U287" i="1" s="1"/>
  <c r="V287" i="1"/>
  <c r="W287" i="1" s="1"/>
  <c r="X287" i="1"/>
  <c r="Y287" i="1" s="1"/>
  <c r="R288" i="1"/>
  <c r="S288" i="1"/>
  <c r="T288" i="1"/>
  <c r="U288" i="1" s="1"/>
  <c r="V288" i="1"/>
  <c r="W288" i="1" s="1"/>
  <c r="X288" i="1"/>
  <c r="Y288" i="1" s="1"/>
  <c r="R289" i="1"/>
  <c r="S289" i="1"/>
  <c r="T289" i="1"/>
  <c r="U289" i="1" s="1"/>
  <c r="V289" i="1"/>
  <c r="X289" i="1"/>
  <c r="Y289" i="1" s="1"/>
  <c r="R290" i="1"/>
  <c r="S290" i="1"/>
  <c r="T290" i="1"/>
  <c r="U290" i="1" s="1"/>
  <c r="V290" i="1"/>
  <c r="W290" i="1" s="1"/>
  <c r="X290" i="1"/>
  <c r="Y290" i="1"/>
  <c r="R291" i="1"/>
  <c r="S291" i="1"/>
  <c r="T291" i="1"/>
  <c r="U291" i="1" s="1"/>
  <c r="V291" i="1"/>
  <c r="X291" i="1"/>
  <c r="Y291" i="1" s="1"/>
  <c r="R292" i="1"/>
  <c r="S292" i="1"/>
  <c r="T292" i="1"/>
  <c r="U292" i="1" s="1"/>
  <c r="V292" i="1"/>
  <c r="W292" i="1" s="1"/>
  <c r="X292" i="1"/>
  <c r="Y292" i="1" s="1"/>
  <c r="R293" i="1"/>
  <c r="S293" i="1"/>
  <c r="T293" i="1"/>
  <c r="U293" i="1" s="1"/>
  <c r="V293" i="1"/>
  <c r="W293" i="1" s="1"/>
  <c r="X293" i="1"/>
  <c r="Y293" i="1" s="1"/>
  <c r="R294" i="1"/>
  <c r="S294" i="1"/>
  <c r="T294" i="1"/>
  <c r="U294" i="1" s="1"/>
  <c r="V294" i="1"/>
  <c r="W294" i="1" s="1"/>
  <c r="X294" i="1"/>
  <c r="Y294" i="1" s="1"/>
  <c r="R295" i="1"/>
  <c r="S295" i="1"/>
  <c r="T295" i="1"/>
  <c r="U295" i="1" s="1"/>
  <c r="V295" i="1"/>
  <c r="W295" i="1" s="1"/>
  <c r="X295" i="1"/>
  <c r="Y295" i="1"/>
  <c r="R296" i="1"/>
  <c r="S296" i="1"/>
  <c r="T296" i="1"/>
  <c r="U296" i="1" s="1"/>
  <c r="V296" i="1"/>
  <c r="X296" i="1"/>
  <c r="Y296" i="1" s="1"/>
  <c r="R297" i="1"/>
  <c r="S297" i="1"/>
  <c r="T297" i="1"/>
  <c r="U297" i="1" s="1"/>
  <c r="V297" i="1"/>
  <c r="X297" i="1"/>
  <c r="Y297" i="1" s="1"/>
  <c r="R298" i="1"/>
  <c r="S298" i="1"/>
  <c r="T298" i="1"/>
  <c r="U298" i="1" s="1"/>
  <c r="V298" i="1"/>
  <c r="W298" i="1" s="1"/>
  <c r="X298" i="1"/>
  <c r="Y298" i="1" s="1"/>
  <c r="R299" i="1"/>
  <c r="S299" i="1"/>
  <c r="T299" i="1"/>
  <c r="U299" i="1" s="1"/>
  <c r="V299" i="1"/>
  <c r="W299" i="1" s="1"/>
  <c r="X299" i="1"/>
  <c r="Y299" i="1" s="1"/>
  <c r="R300" i="1"/>
  <c r="S300" i="1"/>
  <c r="T300" i="1"/>
  <c r="U300" i="1" s="1"/>
  <c r="V300" i="1"/>
  <c r="X300" i="1"/>
  <c r="Y300" i="1" s="1"/>
  <c r="R301" i="1"/>
  <c r="S301" i="1"/>
  <c r="T301" i="1"/>
  <c r="U301" i="1" s="1"/>
  <c r="V301" i="1"/>
  <c r="W301" i="1" s="1"/>
  <c r="X301" i="1"/>
  <c r="Y301" i="1" s="1"/>
  <c r="R302" i="1"/>
  <c r="S302" i="1"/>
  <c r="T302" i="1"/>
  <c r="U302" i="1" s="1"/>
  <c r="V302" i="1"/>
  <c r="W302" i="1" s="1"/>
  <c r="X302" i="1"/>
  <c r="Y302" i="1" s="1"/>
  <c r="R303" i="1"/>
  <c r="S303" i="1"/>
  <c r="T303" i="1"/>
  <c r="U303" i="1" s="1"/>
  <c r="V303" i="1"/>
  <c r="W303" i="1" s="1"/>
  <c r="X303" i="1"/>
  <c r="Y303" i="1" s="1"/>
  <c r="R304" i="1"/>
  <c r="S304" i="1"/>
  <c r="T304" i="1"/>
  <c r="U304" i="1" s="1"/>
  <c r="V304" i="1"/>
  <c r="W304" i="1" s="1"/>
  <c r="X304" i="1"/>
  <c r="Y304" i="1" s="1"/>
  <c r="R305" i="1"/>
  <c r="S305" i="1"/>
  <c r="T305" i="1"/>
  <c r="U305" i="1" s="1"/>
  <c r="V305" i="1"/>
  <c r="X305" i="1"/>
  <c r="Y305" i="1" s="1"/>
  <c r="R306" i="1"/>
  <c r="S306" i="1"/>
  <c r="T306" i="1"/>
  <c r="U306" i="1" s="1"/>
  <c r="V306" i="1"/>
  <c r="W306" i="1" s="1"/>
  <c r="X306" i="1"/>
  <c r="Y306" i="1" s="1"/>
  <c r="R307" i="1"/>
  <c r="S307" i="1"/>
  <c r="T307" i="1"/>
  <c r="U307" i="1"/>
  <c r="V307" i="1"/>
  <c r="W307" i="1" s="1"/>
  <c r="X307" i="1"/>
  <c r="Y307" i="1" s="1"/>
  <c r="R308" i="1"/>
  <c r="S308" i="1"/>
  <c r="T308" i="1"/>
  <c r="U308" i="1" s="1"/>
  <c r="V308" i="1"/>
  <c r="X308" i="1"/>
  <c r="Y308" i="1" s="1"/>
  <c r="R309" i="1"/>
  <c r="S309" i="1"/>
  <c r="T309" i="1"/>
  <c r="U309" i="1" s="1"/>
  <c r="V309" i="1"/>
  <c r="W309" i="1" s="1"/>
  <c r="X309" i="1"/>
  <c r="Y309" i="1" s="1"/>
  <c r="R310" i="1"/>
  <c r="S310" i="1"/>
  <c r="T310" i="1"/>
  <c r="U310" i="1" s="1"/>
  <c r="V310" i="1"/>
  <c r="X310" i="1"/>
  <c r="Y310" i="1" s="1"/>
  <c r="R311" i="1"/>
  <c r="S311" i="1"/>
  <c r="T311" i="1"/>
  <c r="U311" i="1" s="1"/>
  <c r="V311" i="1"/>
  <c r="X311" i="1"/>
  <c r="Y311" i="1" s="1"/>
  <c r="R312" i="1"/>
  <c r="S312" i="1"/>
  <c r="T312" i="1"/>
  <c r="U312" i="1" s="1"/>
  <c r="V312" i="1"/>
  <c r="X312" i="1"/>
  <c r="Y312" i="1" s="1"/>
  <c r="R313" i="1"/>
  <c r="S313" i="1"/>
  <c r="T313" i="1"/>
  <c r="U313" i="1" s="1"/>
  <c r="V313" i="1"/>
  <c r="W313" i="1" s="1"/>
  <c r="X313" i="1"/>
  <c r="Y313" i="1" s="1"/>
  <c r="R314" i="1"/>
  <c r="S314" i="1"/>
  <c r="T314" i="1"/>
  <c r="U314" i="1"/>
  <c r="V314" i="1"/>
  <c r="W314" i="1" s="1"/>
  <c r="X314" i="1"/>
  <c r="Y314" i="1" s="1"/>
  <c r="R315" i="1"/>
  <c r="S315" i="1"/>
  <c r="T315" i="1"/>
  <c r="U315" i="1" s="1"/>
  <c r="V315" i="1"/>
  <c r="W315" i="1" s="1"/>
  <c r="X315" i="1"/>
  <c r="Y315" i="1"/>
  <c r="S316" i="1"/>
  <c r="T316" i="1"/>
  <c r="U316" i="1" s="1"/>
  <c r="V316" i="1"/>
  <c r="X316" i="1"/>
  <c r="Y316" i="1" s="1"/>
  <c r="R317" i="1"/>
  <c r="S317" i="1"/>
  <c r="T317" i="1"/>
  <c r="U317" i="1" s="1"/>
  <c r="V317" i="1"/>
  <c r="X317" i="1"/>
  <c r="Y317" i="1" s="1"/>
  <c r="R318" i="1"/>
  <c r="S318" i="1"/>
  <c r="T318" i="1"/>
  <c r="U318" i="1" s="1"/>
  <c r="V318" i="1"/>
  <c r="W318" i="1" s="1"/>
  <c r="X318" i="1"/>
  <c r="Y318" i="1"/>
  <c r="R319" i="1"/>
  <c r="S319" i="1"/>
  <c r="T319" i="1"/>
  <c r="U319" i="1" s="1"/>
  <c r="V319" i="1"/>
  <c r="W319" i="1" s="1"/>
  <c r="X319" i="1"/>
  <c r="Y319" i="1" s="1"/>
  <c r="R320" i="1"/>
  <c r="S320" i="1"/>
  <c r="T320" i="1"/>
  <c r="U320" i="1"/>
  <c r="V320" i="1"/>
  <c r="X320" i="1"/>
  <c r="Y320" i="1" s="1"/>
  <c r="R321" i="1"/>
  <c r="S321" i="1"/>
  <c r="T321" i="1"/>
  <c r="U321" i="1" s="1"/>
  <c r="V321" i="1"/>
  <c r="W321" i="1" s="1"/>
  <c r="X321" i="1"/>
  <c r="Y321" i="1" s="1"/>
  <c r="R322" i="1"/>
  <c r="S322" i="1"/>
  <c r="T322" i="1"/>
  <c r="U322" i="1" s="1"/>
  <c r="V322" i="1"/>
  <c r="W322" i="1" s="1"/>
  <c r="X322" i="1"/>
  <c r="Y322" i="1" s="1"/>
  <c r="R323" i="1"/>
  <c r="S323" i="1"/>
  <c r="T323" i="1"/>
  <c r="U323" i="1" s="1"/>
  <c r="V323" i="1"/>
  <c r="W323" i="1" s="1"/>
  <c r="X323" i="1"/>
  <c r="Y323" i="1" s="1"/>
  <c r="R324" i="1"/>
  <c r="S324" i="1"/>
  <c r="T324" i="1"/>
  <c r="U324" i="1" s="1"/>
  <c r="V324" i="1"/>
  <c r="X324" i="1"/>
  <c r="Y324" i="1" s="1"/>
  <c r="R325" i="1"/>
  <c r="S325" i="1"/>
  <c r="T325" i="1"/>
  <c r="U325" i="1" s="1"/>
  <c r="V325" i="1"/>
  <c r="W325" i="1" s="1"/>
  <c r="X325" i="1"/>
  <c r="Y325" i="1" s="1"/>
  <c r="R326" i="1"/>
  <c r="S326" i="1"/>
  <c r="T326" i="1"/>
  <c r="U326" i="1" s="1"/>
  <c r="V326" i="1"/>
  <c r="W326" i="1" s="1"/>
  <c r="X326" i="1"/>
  <c r="Y326" i="1" s="1"/>
  <c r="R327" i="1"/>
  <c r="S327" i="1"/>
  <c r="T327" i="1"/>
  <c r="U327" i="1" s="1"/>
  <c r="V327" i="1"/>
  <c r="W327" i="1" s="1"/>
  <c r="X327" i="1"/>
  <c r="Y327" i="1"/>
  <c r="R328" i="1"/>
  <c r="S328" i="1"/>
  <c r="T328" i="1"/>
  <c r="U328" i="1" s="1"/>
  <c r="V328" i="1"/>
  <c r="X328" i="1"/>
  <c r="Y328" i="1" s="1"/>
  <c r="R329" i="1"/>
  <c r="S329" i="1"/>
  <c r="T329" i="1"/>
  <c r="U329" i="1" s="1"/>
  <c r="V329" i="1"/>
  <c r="W329" i="1" s="1"/>
  <c r="X329" i="1"/>
  <c r="Y329" i="1" s="1"/>
  <c r="R330" i="1"/>
  <c r="S330" i="1"/>
  <c r="T330" i="1"/>
  <c r="U330" i="1" s="1"/>
  <c r="V330" i="1"/>
  <c r="W330" i="1" s="1"/>
  <c r="X330" i="1"/>
  <c r="Y330" i="1" s="1"/>
  <c r="R331" i="1"/>
  <c r="S331" i="1"/>
  <c r="T331" i="1"/>
  <c r="U331" i="1" s="1"/>
  <c r="V331" i="1"/>
  <c r="X331" i="1"/>
  <c r="Y331" i="1" s="1"/>
  <c r="R332" i="1"/>
  <c r="S332" i="1"/>
  <c r="T332" i="1"/>
  <c r="U332" i="1" s="1"/>
  <c r="V332" i="1"/>
  <c r="W332" i="1" s="1"/>
  <c r="X332" i="1"/>
  <c r="Y332" i="1"/>
  <c r="R333" i="1"/>
  <c r="S333" i="1"/>
  <c r="T333" i="1"/>
  <c r="U333" i="1" s="1"/>
  <c r="V333" i="1"/>
  <c r="X333" i="1"/>
  <c r="Y333" i="1" s="1"/>
  <c r="S334" i="1"/>
  <c r="T334" i="1"/>
  <c r="U334" i="1" s="1"/>
  <c r="V334" i="1"/>
  <c r="X334" i="1"/>
  <c r="Y334" i="1" s="1"/>
  <c r="R335" i="1"/>
  <c r="S335" i="1"/>
  <c r="T335" i="1"/>
  <c r="U335" i="1" s="1"/>
  <c r="V335" i="1"/>
  <c r="W335" i="1" s="1"/>
  <c r="X335" i="1"/>
  <c r="Y335" i="1" s="1"/>
  <c r="R336" i="1"/>
  <c r="S336" i="1"/>
  <c r="T336" i="1"/>
  <c r="U336" i="1" s="1"/>
  <c r="V336" i="1"/>
  <c r="X336" i="1"/>
  <c r="Y336" i="1" s="1"/>
  <c r="R337" i="1"/>
  <c r="S337" i="1"/>
  <c r="T337" i="1"/>
  <c r="U337" i="1" s="1"/>
  <c r="V337" i="1"/>
  <c r="W337" i="1" s="1"/>
  <c r="X337" i="1"/>
  <c r="Y337" i="1" s="1"/>
  <c r="R338" i="1"/>
  <c r="S338" i="1"/>
  <c r="T338" i="1"/>
  <c r="U338" i="1" s="1"/>
  <c r="V338" i="1"/>
  <c r="W338" i="1" s="1"/>
  <c r="X338" i="1"/>
  <c r="Y338" i="1" s="1"/>
  <c r="R339" i="1"/>
  <c r="S339" i="1"/>
  <c r="T339" i="1"/>
  <c r="U339" i="1"/>
  <c r="V339" i="1"/>
  <c r="X339" i="1"/>
  <c r="Y339" i="1" s="1"/>
  <c r="R340" i="1"/>
  <c r="S340" i="1"/>
  <c r="T340" i="1"/>
  <c r="U340" i="1" s="1"/>
  <c r="V340" i="1"/>
  <c r="W340" i="1" s="1"/>
  <c r="X340" i="1"/>
  <c r="Y340" i="1" s="1"/>
  <c r="R341" i="1"/>
  <c r="S341" i="1"/>
  <c r="T341" i="1"/>
  <c r="U341" i="1" s="1"/>
  <c r="V341" i="1"/>
  <c r="W341" i="1" s="1"/>
  <c r="X341" i="1"/>
  <c r="Y341" i="1" s="1"/>
  <c r="R342" i="1"/>
  <c r="S342" i="1"/>
  <c r="T342" i="1"/>
  <c r="U342" i="1" s="1"/>
  <c r="V342" i="1"/>
  <c r="X342" i="1"/>
  <c r="Y342" i="1" s="1"/>
  <c r="R343" i="1"/>
  <c r="S343" i="1"/>
  <c r="T343" i="1"/>
  <c r="U343" i="1" s="1"/>
  <c r="V343" i="1"/>
  <c r="W343" i="1" s="1"/>
  <c r="X343" i="1"/>
  <c r="Y343" i="1"/>
  <c r="S344" i="1"/>
  <c r="T344" i="1"/>
  <c r="U344" i="1" s="1"/>
  <c r="V344" i="1"/>
  <c r="W344" i="1" s="1"/>
  <c r="X344" i="1"/>
  <c r="Y344" i="1" s="1"/>
  <c r="R345" i="1"/>
  <c r="S345" i="1"/>
  <c r="T345" i="1"/>
  <c r="U345" i="1" s="1"/>
  <c r="V345" i="1"/>
  <c r="W345" i="1" s="1"/>
  <c r="X345" i="1"/>
  <c r="Y345" i="1"/>
  <c r="R346" i="1"/>
  <c r="S346" i="1"/>
  <c r="T346" i="1"/>
  <c r="U346" i="1" s="1"/>
  <c r="V346" i="1"/>
  <c r="X346" i="1"/>
  <c r="Y346" i="1" s="1"/>
  <c r="R347" i="1"/>
  <c r="S347" i="1"/>
  <c r="T347" i="1"/>
  <c r="U347" i="1"/>
  <c r="V347" i="1"/>
  <c r="X347" i="1"/>
  <c r="Y347" i="1" s="1"/>
  <c r="R348" i="1"/>
  <c r="S348" i="1"/>
  <c r="T348" i="1"/>
  <c r="U348" i="1" s="1"/>
  <c r="V348" i="1"/>
  <c r="W348" i="1" s="1"/>
  <c r="X348" i="1"/>
  <c r="Y348" i="1" s="1"/>
  <c r="R349" i="1"/>
  <c r="S349" i="1"/>
  <c r="T349" i="1"/>
  <c r="U349" i="1" s="1"/>
  <c r="V349" i="1"/>
  <c r="X349" i="1"/>
  <c r="Y349" i="1" s="1"/>
  <c r="R350" i="1"/>
  <c r="S350" i="1"/>
  <c r="T350" i="1"/>
  <c r="U350" i="1" s="1"/>
  <c r="V350" i="1"/>
  <c r="X350" i="1"/>
  <c r="Y350" i="1" s="1"/>
  <c r="R351" i="1"/>
  <c r="S351" i="1"/>
  <c r="T351" i="1"/>
  <c r="U351" i="1" s="1"/>
  <c r="V351" i="1"/>
  <c r="X351" i="1"/>
  <c r="Y351" i="1" s="1"/>
  <c r="S352" i="1"/>
  <c r="T352" i="1"/>
  <c r="U352" i="1" s="1"/>
  <c r="V352" i="1"/>
  <c r="W352" i="1" s="1"/>
  <c r="X352" i="1"/>
  <c r="Y352" i="1" s="1"/>
  <c r="R353" i="1"/>
  <c r="S353" i="1"/>
  <c r="T353" i="1"/>
  <c r="U353" i="1" s="1"/>
  <c r="V353" i="1"/>
  <c r="W353" i="1" s="1"/>
  <c r="X353" i="1"/>
  <c r="Y353" i="1" s="1"/>
  <c r="R354" i="1"/>
  <c r="S354" i="1"/>
  <c r="T354" i="1"/>
  <c r="U354" i="1"/>
  <c r="V354" i="1"/>
  <c r="X354" i="1"/>
  <c r="Y354" i="1" s="1"/>
  <c r="R355" i="1"/>
  <c r="S355" i="1"/>
  <c r="T355" i="1"/>
  <c r="U355" i="1" s="1"/>
  <c r="V355" i="1"/>
  <c r="X355" i="1"/>
  <c r="Y355" i="1" s="1"/>
  <c r="R356" i="1"/>
  <c r="S356" i="1"/>
  <c r="T356" i="1"/>
  <c r="U356" i="1"/>
  <c r="V356" i="1"/>
  <c r="W356" i="1" s="1"/>
  <c r="X356" i="1"/>
  <c r="Y356" i="1" s="1"/>
  <c r="R357" i="1"/>
  <c r="S357" i="1"/>
  <c r="T357" i="1"/>
  <c r="U357" i="1" s="1"/>
  <c r="V357" i="1"/>
  <c r="X357" i="1"/>
  <c r="Y357" i="1" s="1"/>
  <c r="R358" i="1"/>
  <c r="S358" i="1"/>
  <c r="T358" i="1"/>
  <c r="U358" i="1" s="1"/>
  <c r="V358" i="1"/>
  <c r="W358" i="1" s="1"/>
  <c r="X358" i="1"/>
  <c r="Y358" i="1" s="1"/>
  <c r="R359" i="1"/>
  <c r="S359" i="1"/>
  <c r="T359" i="1"/>
  <c r="U359" i="1" s="1"/>
  <c r="V359" i="1"/>
  <c r="W359" i="1" s="1"/>
  <c r="X359" i="1"/>
  <c r="Y359" i="1" s="1"/>
  <c r="R360" i="1"/>
  <c r="S360" i="1"/>
  <c r="T360" i="1"/>
  <c r="U360" i="1" s="1"/>
  <c r="V360" i="1"/>
  <c r="W360" i="1" s="1"/>
  <c r="X360" i="1"/>
  <c r="Y360" i="1" s="1"/>
  <c r="R361" i="1"/>
  <c r="S361" i="1"/>
  <c r="T361" i="1"/>
  <c r="U361" i="1"/>
  <c r="V361" i="1"/>
  <c r="W361" i="1" s="1"/>
  <c r="X361" i="1"/>
  <c r="Y361" i="1" s="1"/>
  <c r="R362" i="1"/>
  <c r="S362" i="1"/>
  <c r="T362" i="1"/>
  <c r="U362" i="1" s="1"/>
  <c r="V362" i="1"/>
  <c r="W362" i="1" s="1"/>
  <c r="X362" i="1"/>
  <c r="Y362" i="1" s="1"/>
  <c r="R363" i="1"/>
  <c r="S363" i="1"/>
  <c r="T363" i="1"/>
  <c r="U363" i="1" s="1"/>
  <c r="V363" i="1"/>
  <c r="W363" i="1" s="1"/>
  <c r="X363" i="1"/>
  <c r="Y363" i="1" s="1"/>
  <c r="R364" i="1"/>
  <c r="S364" i="1"/>
  <c r="T364" i="1"/>
  <c r="U364" i="1" s="1"/>
  <c r="V364" i="1"/>
  <c r="W364" i="1" s="1"/>
  <c r="X364" i="1"/>
  <c r="Y364" i="1" s="1"/>
  <c r="R365" i="1"/>
  <c r="S365" i="1"/>
  <c r="T365" i="1"/>
  <c r="U365" i="1"/>
  <c r="V365" i="1"/>
  <c r="X365" i="1"/>
  <c r="Y365" i="1" s="1"/>
  <c r="R366" i="1"/>
  <c r="S366" i="1"/>
  <c r="T366" i="1"/>
  <c r="U366" i="1" s="1"/>
  <c r="V366" i="1"/>
  <c r="W366" i="1" s="1"/>
  <c r="X366" i="1"/>
  <c r="Y366" i="1" s="1"/>
  <c r="R367" i="1"/>
  <c r="S367" i="1"/>
  <c r="T367" i="1"/>
  <c r="U367" i="1" s="1"/>
  <c r="V367" i="1"/>
  <c r="W367" i="1" s="1"/>
  <c r="X367" i="1"/>
  <c r="Y367" i="1" s="1"/>
  <c r="S368" i="1"/>
  <c r="T368" i="1"/>
  <c r="U368" i="1" s="1"/>
  <c r="V368" i="1"/>
  <c r="W368" i="1" s="1"/>
  <c r="X368" i="1"/>
  <c r="Y368" i="1" s="1"/>
  <c r="R369" i="1"/>
  <c r="S369" i="1"/>
  <c r="T369" i="1"/>
  <c r="U369" i="1" s="1"/>
  <c r="V369" i="1"/>
  <c r="W369" i="1" s="1"/>
  <c r="X369" i="1"/>
  <c r="Y369" i="1" s="1"/>
  <c r="R370" i="1"/>
  <c r="S370" i="1"/>
  <c r="T370" i="1"/>
  <c r="U370" i="1" s="1"/>
  <c r="V370" i="1"/>
  <c r="W370" i="1" s="1"/>
  <c r="X370" i="1"/>
  <c r="Y370" i="1" s="1"/>
  <c r="R371" i="1"/>
  <c r="S371" i="1"/>
  <c r="T371" i="1"/>
  <c r="U371" i="1" s="1"/>
  <c r="V371" i="1"/>
  <c r="W371" i="1" s="1"/>
  <c r="X371" i="1"/>
  <c r="Y371" i="1" s="1"/>
  <c r="R372" i="1"/>
  <c r="S372" i="1"/>
  <c r="T372" i="1"/>
  <c r="U372" i="1" s="1"/>
  <c r="V372" i="1"/>
  <c r="W372" i="1" s="1"/>
  <c r="X372" i="1"/>
  <c r="Y372" i="1" s="1"/>
  <c r="R373" i="1"/>
  <c r="S373" i="1"/>
  <c r="T373" i="1"/>
  <c r="U373" i="1" s="1"/>
  <c r="V373" i="1"/>
  <c r="X373" i="1"/>
  <c r="Y373" i="1" s="1"/>
  <c r="R374" i="1"/>
  <c r="S374" i="1"/>
  <c r="T374" i="1"/>
  <c r="U374" i="1" s="1"/>
  <c r="V374" i="1"/>
  <c r="W374" i="1" s="1"/>
  <c r="X374" i="1"/>
  <c r="Y374" i="1" s="1"/>
  <c r="R375" i="1"/>
  <c r="S375" i="1"/>
  <c r="T375" i="1"/>
  <c r="U375" i="1" s="1"/>
  <c r="V375" i="1"/>
  <c r="W375" i="1" s="1"/>
  <c r="X375" i="1"/>
  <c r="Y375" i="1" s="1"/>
  <c r="R376" i="1"/>
  <c r="S376" i="1"/>
  <c r="T376" i="1"/>
  <c r="U376" i="1"/>
  <c r="V376" i="1"/>
  <c r="W376" i="1" s="1"/>
  <c r="X376" i="1"/>
  <c r="Y376" i="1" s="1"/>
  <c r="R377" i="1"/>
  <c r="S377" i="1"/>
  <c r="T377" i="1"/>
  <c r="U377" i="1" s="1"/>
  <c r="V377" i="1"/>
  <c r="X377" i="1"/>
  <c r="Y377" i="1" s="1"/>
  <c r="R378" i="1"/>
  <c r="S378" i="1"/>
  <c r="T378" i="1"/>
  <c r="U378" i="1" s="1"/>
  <c r="V378" i="1"/>
  <c r="W378" i="1" s="1"/>
  <c r="X378" i="1"/>
  <c r="Y378" i="1" s="1"/>
  <c r="R379" i="1"/>
  <c r="S379" i="1"/>
  <c r="T379" i="1"/>
  <c r="U379" i="1" s="1"/>
  <c r="V379" i="1"/>
  <c r="W379" i="1" s="1"/>
  <c r="X379" i="1"/>
  <c r="Y379" i="1" s="1"/>
  <c r="R380" i="1"/>
  <c r="S380" i="1"/>
  <c r="T380" i="1"/>
  <c r="U380" i="1" s="1"/>
  <c r="V380" i="1"/>
  <c r="W380" i="1" s="1"/>
  <c r="X380" i="1"/>
  <c r="Y380" i="1"/>
  <c r="R381" i="1"/>
  <c r="S381" i="1"/>
  <c r="T381" i="1"/>
  <c r="U381" i="1" s="1"/>
  <c r="V381" i="1"/>
  <c r="X381" i="1"/>
  <c r="Y381" i="1" s="1"/>
  <c r="R382" i="1"/>
  <c r="S382" i="1"/>
  <c r="T382" i="1"/>
  <c r="U382" i="1" s="1"/>
  <c r="V382" i="1"/>
  <c r="X382" i="1"/>
  <c r="Y382" i="1" s="1"/>
  <c r="R383" i="1"/>
  <c r="S383" i="1"/>
  <c r="T383" i="1"/>
  <c r="U383" i="1" s="1"/>
  <c r="V383" i="1"/>
  <c r="W383" i="1" s="1"/>
  <c r="X383" i="1"/>
  <c r="Y383" i="1" s="1"/>
  <c r="R384" i="1"/>
  <c r="S384" i="1"/>
  <c r="T384" i="1"/>
  <c r="U384" i="1"/>
  <c r="V384" i="1"/>
  <c r="X384" i="1"/>
  <c r="Y384" i="1" s="1"/>
  <c r="R385" i="1"/>
  <c r="S385" i="1"/>
  <c r="T385" i="1"/>
  <c r="U385" i="1" s="1"/>
  <c r="V385" i="1"/>
  <c r="W385" i="1" s="1"/>
  <c r="X385" i="1"/>
  <c r="Y385" i="1" s="1"/>
  <c r="R386" i="1"/>
  <c r="S386" i="1"/>
  <c r="T386" i="1"/>
  <c r="U386" i="1" s="1"/>
  <c r="V386" i="1"/>
  <c r="W386" i="1" s="1"/>
  <c r="X386" i="1"/>
  <c r="Y386" i="1" s="1"/>
  <c r="S387" i="1"/>
  <c r="T387" i="1"/>
  <c r="U387" i="1" s="1"/>
  <c r="V387" i="1"/>
  <c r="W387" i="1" s="1"/>
  <c r="X387" i="1"/>
  <c r="Y387" i="1" s="1"/>
  <c r="R388" i="1"/>
  <c r="S388" i="1"/>
  <c r="T388" i="1"/>
  <c r="U388" i="1" s="1"/>
  <c r="V388" i="1"/>
  <c r="W388" i="1" s="1"/>
  <c r="X388" i="1"/>
  <c r="Y388" i="1"/>
  <c r="R389" i="1"/>
  <c r="S389" i="1"/>
  <c r="T389" i="1"/>
  <c r="U389" i="1" s="1"/>
  <c r="V389" i="1"/>
  <c r="W389" i="1" s="1"/>
  <c r="X389" i="1"/>
  <c r="Y389" i="1" s="1"/>
  <c r="R390" i="1"/>
  <c r="S390" i="1"/>
  <c r="T390" i="1"/>
  <c r="U390" i="1" s="1"/>
  <c r="V390" i="1"/>
  <c r="W390" i="1" s="1"/>
  <c r="X390" i="1"/>
  <c r="Y390" i="1" s="1"/>
  <c r="R391" i="1"/>
  <c r="S391" i="1"/>
  <c r="T391" i="1"/>
  <c r="U391" i="1" s="1"/>
  <c r="V391" i="1"/>
  <c r="W391" i="1" s="1"/>
  <c r="X391" i="1"/>
  <c r="Y391" i="1" s="1"/>
  <c r="R392" i="1"/>
  <c r="S392" i="1"/>
  <c r="T392" i="1"/>
  <c r="U392" i="1" s="1"/>
  <c r="V392" i="1"/>
  <c r="W392" i="1" s="1"/>
  <c r="X392" i="1"/>
  <c r="Y392" i="1" s="1"/>
  <c r="R393" i="1"/>
  <c r="S393" i="1"/>
  <c r="T393" i="1"/>
  <c r="U393" i="1" s="1"/>
  <c r="V393" i="1"/>
  <c r="W393" i="1" s="1"/>
  <c r="X393" i="1"/>
  <c r="Y393" i="1" s="1"/>
  <c r="R394" i="1"/>
  <c r="S394" i="1"/>
  <c r="T394" i="1"/>
  <c r="U394" i="1" s="1"/>
  <c r="V394" i="1"/>
  <c r="W394" i="1" s="1"/>
  <c r="X394" i="1"/>
  <c r="Y394" i="1" s="1"/>
  <c r="S395" i="1"/>
  <c r="T395" i="1"/>
  <c r="U395" i="1" s="1"/>
  <c r="V395" i="1"/>
  <c r="W395" i="1" s="1"/>
  <c r="X395" i="1"/>
  <c r="Y395" i="1"/>
  <c r="R396" i="1"/>
  <c r="S396" i="1"/>
  <c r="T396" i="1"/>
  <c r="U396" i="1" s="1"/>
  <c r="V396" i="1"/>
  <c r="W396" i="1" s="1"/>
  <c r="X396" i="1"/>
  <c r="Y396" i="1"/>
  <c r="R397" i="1"/>
  <c r="S397" i="1"/>
  <c r="T397" i="1"/>
  <c r="U397" i="1" s="1"/>
  <c r="V397" i="1"/>
  <c r="X397" i="1"/>
  <c r="Y397" i="1" s="1"/>
  <c r="R398" i="1"/>
  <c r="S398" i="1"/>
  <c r="T398" i="1"/>
  <c r="U398" i="1" s="1"/>
  <c r="V398" i="1"/>
  <c r="W398" i="1" s="1"/>
  <c r="X398" i="1"/>
  <c r="Y398" i="1" s="1"/>
  <c r="R399" i="1"/>
  <c r="S399" i="1"/>
  <c r="T399" i="1"/>
  <c r="U399" i="1"/>
  <c r="V399" i="1"/>
  <c r="W399" i="1" s="1"/>
  <c r="X399" i="1"/>
  <c r="Y399" i="1" s="1"/>
  <c r="R400" i="1"/>
  <c r="S400" i="1"/>
  <c r="T400" i="1"/>
  <c r="U400" i="1" s="1"/>
  <c r="V400" i="1"/>
  <c r="W400" i="1" s="1"/>
  <c r="X400" i="1"/>
  <c r="Y400" i="1" s="1"/>
  <c r="R401" i="1"/>
  <c r="S401" i="1"/>
  <c r="T401" i="1"/>
  <c r="U401" i="1" s="1"/>
  <c r="V401" i="1"/>
  <c r="W401" i="1" s="1"/>
  <c r="X401" i="1"/>
  <c r="Y401" i="1"/>
  <c r="R402" i="1"/>
  <c r="S402" i="1"/>
  <c r="T402" i="1"/>
  <c r="U402" i="1" s="1"/>
  <c r="V402" i="1"/>
  <c r="W402" i="1" s="1"/>
  <c r="X402" i="1"/>
  <c r="Y402" i="1" s="1"/>
  <c r="R403" i="1"/>
  <c r="S403" i="1"/>
  <c r="T403" i="1"/>
  <c r="U403" i="1" s="1"/>
  <c r="V403" i="1"/>
  <c r="W403" i="1" s="1"/>
  <c r="X403" i="1"/>
  <c r="Y403" i="1" s="1"/>
  <c r="R404" i="1"/>
  <c r="S404" i="1"/>
  <c r="T404" i="1"/>
  <c r="U404" i="1" s="1"/>
  <c r="V404" i="1"/>
  <c r="X404" i="1"/>
  <c r="Y404" i="1" s="1"/>
  <c r="R405" i="1"/>
  <c r="S405" i="1"/>
  <c r="T405" i="1"/>
  <c r="U405" i="1" s="1"/>
  <c r="V405" i="1"/>
  <c r="W405" i="1" s="1"/>
  <c r="X405" i="1"/>
  <c r="Y405" i="1" s="1"/>
  <c r="R406" i="1"/>
  <c r="S406" i="1"/>
  <c r="T406" i="1"/>
  <c r="U406" i="1" s="1"/>
  <c r="V406" i="1"/>
  <c r="X406" i="1"/>
  <c r="Y406" i="1" s="1"/>
  <c r="R407" i="1"/>
  <c r="S407" i="1"/>
  <c r="T407" i="1"/>
  <c r="U407" i="1" s="1"/>
  <c r="V407" i="1"/>
  <c r="W407" i="1" s="1"/>
  <c r="X407" i="1"/>
  <c r="Y407" i="1" s="1"/>
  <c r="R408" i="1"/>
  <c r="S408" i="1"/>
  <c r="T408" i="1"/>
  <c r="U408" i="1" s="1"/>
  <c r="V408" i="1"/>
  <c r="W408" i="1" s="1"/>
  <c r="X408" i="1"/>
  <c r="Y408" i="1"/>
  <c r="R409" i="1"/>
  <c r="S409" i="1"/>
  <c r="T409" i="1"/>
  <c r="U409" i="1" s="1"/>
  <c r="V409" i="1"/>
  <c r="W409" i="1" s="1"/>
  <c r="X409" i="1"/>
  <c r="Y409" i="1" s="1"/>
  <c r="R410" i="1"/>
  <c r="S410" i="1"/>
  <c r="T410" i="1"/>
  <c r="U410" i="1" s="1"/>
  <c r="V410" i="1"/>
  <c r="X410" i="1"/>
  <c r="Y410" i="1" s="1"/>
  <c r="R411" i="1"/>
  <c r="S411" i="1"/>
  <c r="T411" i="1"/>
  <c r="U411" i="1" s="1"/>
  <c r="V411" i="1"/>
  <c r="X411" i="1"/>
  <c r="Y411" i="1" s="1"/>
  <c r="R412" i="1"/>
  <c r="S412" i="1"/>
  <c r="T412" i="1"/>
  <c r="U412" i="1" s="1"/>
  <c r="V412" i="1"/>
  <c r="W412" i="1" s="1"/>
  <c r="X412" i="1"/>
  <c r="Y412" i="1" s="1"/>
  <c r="R413" i="1"/>
  <c r="S413" i="1"/>
  <c r="T413" i="1"/>
  <c r="U413" i="1" s="1"/>
  <c r="V413" i="1"/>
  <c r="W413" i="1" s="1"/>
  <c r="X413" i="1"/>
  <c r="Y413" i="1"/>
  <c r="R414" i="1"/>
  <c r="S414" i="1"/>
  <c r="T414" i="1"/>
  <c r="U414" i="1" s="1"/>
  <c r="V414" i="1"/>
  <c r="W414" i="1" s="1"/>
  <c r="X414" i="1"/>
  <c r="Y414" i="1" s="1"/>
  <c r="R415" i="1"/>
  <c r="S415" i="1"/>
  <c r="T415" i="1"/>
  <c r="U415" i="1"/>
  <c r="V415" i="1"/>
  <c r="W415" i="1" s="1"/>
  <c r="X415" i="1"/>
  <c r="Y415" i="1" s="1"/>
  <c r="R416" i="1"/>
  <c r="S416" i="1"/>
  <c r="T416" i="1"/>
  <c r="U416" i="1" s="1"/>
  <c r="V416" i="1"/>
  <c r="X416" i="1"/>
  <c r="Y416" i="1"/>
  <c r="R417" i="1"/>
  <c r="S417" i="1"/>
  <c r="T417" i="1"/>
  <c r="U417" i="1" s="1"/>
  <c r="V417" i="1"/>
  <c r="X417" i="1"/>
  <c r="Y417" i="1" s="1"/>
  <c r="R418" i="1"/>
  <c r="S418" i="1"/>
  <c r="T418" i="1"/>
  <c r="U418" i="1" s="1"/>
  <c r="V418" i="1"/>
  <c r="W418" i="1" s="1"/>
  <c r="X418" i="1"/>
  <c r="Y418" i="1" s="1"/>
  <c r="R419" i="1"/>
  <c r="S419" i="1"/>
  <c r="T419" i="1"/>
  <c r="U419" i="1" s="1"/>
  <c r="V419" i="1"/>
  <c r="W419" i="1" s="1"/>
  <c r="X419" i="1"/>
  <c r="Y419" i="1" s="1"/>
  <c r="R420" i="1"/>
  <c r="S420" i="1"/>
  <c r="T420" i="1"/>
  <c r="U420" i="1" s="1"/>
  <c r="V420" i="1"/>
  <c r="X420" i="1"/>
  <c r="Y420" i="1" s="1"/>
  <c r="R421" i="1"/>
  <c r="S421" i="1"/>
  <c r="T421" i="1"/>
  <c r="U421" i="1" s="1"/>
  <c r="V421" i="1"/>
  <c r="W421" i="1" s="1"/>
  <c r="X421" i="1"/>
  <c r="Y421" i="1" s="1"/>
  <c r="R422" i="1"/>
  <c r="S422" i="1"/>
  <c r="T422" i="1"/>
  <c r="U422" i="1" s="1"/>
  <c r="V422" i="1"/>
  <c r="X422" i="1"/>
  <c r="Y422" i="1" s="1"/>
  <c r="R423" i="1"/>
  <c r="S423" i="1"/>
  <c r="T423" i="1"/>
  <c r="U423" i="1" s="1"/>
  <c r="V423" i="1"/>
  <c r="X423" i="1"/>
  <c r="Y423" i="1" s="1"/>
  <c r="R424" i="1"/>
  <c r="S424" i="1"/>
  <c r="T424" i="1"/>
  <c r="U424" i="1"/>
  <c r="V424" i="1"/>
  <c r="W424" i="1" s="1"/>
  <c r="X424" i="1"/>
  <c r="Y424" i="1" s="1"/>
  <c r="R425" i="1"/>
  <c r="S425" i="1"/>
  <c r="T425" i="1"/>
  <c r="U425" i="1" s="1"/>
  <c r="V425" i="1"/>
  <c r="X425" i="1"/>
  <c r="Y425" i="1" s="1"/>
  <c r="R426" i="1"/>
  <c r="S426" i="1"/>
  <c r="T426" i="1"/>
  <c r="U426" i="1" s="1"/>
  <c r="V426" i="1"/>
  <c r="X426" i="1"/>
  <c r="Y426" i="1"/>
  <c r="R427" i="1"/>
  <c r="S427" i="1"/>
  <c r="T427" i="1"/>
  <c r="U427" i="1" s="1"/>
  <c r="V427" i="1"/>
  <c r="W427" i="1" s="1"/>
  <c r="X427" i="1"/>
  <c r="Y427" i="1" s="1"/>
  <c r="R428" i="1"/>
  <c r="S428" i="1"/>
  <c r="T428" i="1"/>
  <c r="U428" i="1" s="1"/>
  <c r="V428" i="1"/>
  <c r="X428" i="1"/>
  <c r="Y428" i="1" s="1"/>
  <c r="R429" i="1"/>
  <c r="S429" i="1"/>
  <c r="T429" i="1"/>
  <c r="U429" i="1"/>
  <c r="V429" i="1"/>
  <c r="W429" i="1" s="1"/>
  <c r="X429" i="1"/>
  <c r="Y429" i="1" s="1"/>
  <c r="R430" i="1"/>
  <c r="S430" i="1"/>
  <c r="T430" i="1"/>
  <c r="U430" i="1" s="1"/>
  <c r="V430" i="1"/>
  <c r="X430" i="1"/>
  <c r="Y430" i="1" s="1"/>
  <c r="R431" i="1"/>
  <c r="S431" i="1"/>
  <c r="T431" i="1"/>
  <c r="U431" i="1" s="1"/>
  <c r="V431" i="1"/>
  <c r="X431" i="1"/>
  <c r="Y431" i="1"/>
  <c r="R432" i="1"/>
  <c r="S432" i="1"/>
  <c r="T432" i="1"/>
  <c r="U432" i="1" s="1"/>
  <c r="V432" i="1"/>
  <c r="X432" i="1"/>
  <c r="Y432" i="1" s="1"/>
  <c r="R433" i="1"/>
  <c r="S433" i="1"/>
  <c r="T433" i="1"/>
  <c r="U433" i="1" s="1"/>
  <c r="V433" i="1"/>
  <c r="W433" i="1" s="1"/>
  <c r="X433" i="1"/>
  <c r="Y433" i="1" s="1"/>
  <c r="R434" i="1"/>
  <c r="S434" i="1"/>
  <c r="T434" i="1"/>
  <c r="U434" i="1"/>
  <c r="V434" i="1"/>
  <c r="W434" i="1" s="1"/>
  <c r="X434" i="1"/>
  <c r="Y434" i="1" s="1"/>
  <c r="R435" i="1"/>
  <c r="S435" i="1"/>
  <c r="T435" i="1"/>
  <c r="U435" i="1" s="1"/>
  <c r="V435" i="1"/>
  <c r="W435" i="1" s="1"/>
  <c r="X435" i="1"/>
  <c r="Y435" i="1" s="1"/>
  <c r="R436" i="1"/>
  <c r="S436" i="1"/>
  <c r="T436" i="1"/>
  <c r="U436" i="1" s="1"/>
  <c r="V436" i="1"/>
  <c r="W436" i="1" s="1"/>
  <c r="X436" i="1"/>
  <c r="Y436" i="1" s="1"/>
  <c r="R437" i="1"/>
  <c r="S437" i="1"/>
  <c r="T437" i="1"/>
  <c r="U437" i="1" s="1"/>
  <c r="V437" i="1"/>
  <c r="W437" i="1" s="1"/>
  <c r="X437" i="1"/>
  <c r="Y437" i="1" s="1"/>
  <c r="R438" i="1"/>
  <c r="S438" i="1"/>
  <c r="T438" i="1"/>
  <c r="U438" i="1" s="1"/>
  <c r="V438" i="1"/>
  <c r="W438" i="1" s="1"/>
  <c r="X438" i="1"/>
  <c r="Y438" i="1" s="1"/>
  <c r="R439" i="1"/>
  <c r="S439" i="1"/>
  <c r="T439" i="1"/>
  <c r="U439" i="1" s="1"/>
  <c r="V439" i="1"/>
  <c r="W439" i="1" s="1"/>
  <c r="X439" i="1"/>
  <c r="Y439" i="1" s="1"/>
  <c r="R440" i="1"/>
  <c r="S440" i="1"/>
  <c r="T440" i="1"/>
  <c r="U440" i="1" s="1"/>
  <c r="V440" i="1"/>
  <c r="W440" i="1" s="1"/>
  <c r="X440" i="1"/>
  <c r="Y440" i="1" s="1"/>
  <c r="R441" i="1"/>
  <c r="S441" i="1"/>
  <c r="T441" i="1"/>
  <c r="U441" i="1" s="1"/>
  <c r="V441" i="1"/>
  <c r="X441" i="1"/>
  <c r="Y441" i="1" s="1"/>
  <c r="R442" i="1"/>
  <c r="S442" i="1"/>
  <c r="T442" i="1"/>
  <c r="U442" i="1" s="1"/>
  <c r="V442" i="1"/>
  <c r="W442" i="1" s="1"/>
  <c r="X442" i="1"/>
  <c r="Y442" i="1" s="1"/>
  <c r="R443" i="1"/>
  <c r="S443" i="1"/>
  <c r="T443" i="1"/>
  <c r="U443" i="1" s="1"/>
  <c r="V443" i="1"/>
  <c r="X443" i="1"/>
  <c r="Y443" i="1" s="1"/>
  <c r="R444" i="1"/>
  <c r="S444" i="1"/>
  <c r="T444" i="1"/>
  <c r="U444" i="1"/>
  <c r="V444" i="1"/>
  <c r="W444" i="1" s="1"/>
  <c r="X444" i="1"/>
  <c r="Y444" i="1" s="1"/>
  <c r="R445" i="1"/>
  <c r="S445" i="1"/>
  <c r="T445" i="1"/>
  <c r="U445" i="1" s="1"/>
  <c r="V445" i="1"/>
  <c r="W445" i="1" s="1"/>
  <c r="X445" i="1"/>
  <c r="Y445" i="1" s="1"/>
  <c r="R446" i="1"/>
  <c r="S446" i="1"/>
  <c r="T446" i="1"/>
  <c r="U446" i="1" s="1"/>
  <c r="V446" i="1"/>
  <c r="W446" i="1" s="1"/>
  <c r="X446" i="1"/>
  <c r="Y446" i="1"/>
  <c r="R447" i="1"/>
  <c r="S447" i="1"/>
  <c r="T447" i="1"/>
  <c r="U447" i="1" s="1"/>
  <c r="V447" i="1"/>
  <c r="W447" i="1" s="1"/>
  <c r="X447" i="1"/>
  <c r="Y447" i="1" s="1"/>
  <c r="R448" i="1"/>
  <c r="S448" i="1"/>
  <c r="T448" i="1"/>
  <c r="U448" i="1" s="1"/>
  <c r="V448" i="1"/>
  <c r="W448" i="1" s="1"/>
  <c r="X448" i="1"/>
  <c r="Y448" i="1" s="1"/>
  <c r="R449" i="1"/>
  <c r="S449" i="1"/>
  <c r="T449" i="1"/>
  <c r="U449" i="1" s="1"/>
  <c r="V449" i="1"/>
  <c r="W449" i="1" s="1"/>
  <c r="X449" i="1"/>
  <c r="Y449" i="1" s="1"/>
  <c r="R450" i="1"/>
  <c r="S450" i="1"/>
  <c r="T450" i="1"/>
  <c r="U450" i="1" s="1"/>
  <c r="V450" i="1"/>
  <c r="W450" i="1" s="1"/>
  <c r="X450" i="1"/>
  <c r="Y450" i="1" s="1"/>
  <c r="R451" i="1"/>
  <c r="S451" i="1"/>
  <c r="T451" i="1"/>
  <c r="U451" i="1" s="1"/>
  <c r="V451" i="1"/>
  <c r="W451" i="1" s="1"/>
  <c r="X451" i="1"/>
  <c r="Y451" i="1" s="1"/>
  <c r="R452" i="1"/>
  <c r="S452" i="1"/>
  <c r="T452" i="1"/>
  <c r="U452" i="1" s="1"/>
  <c r="V452" i="1"/>
  <c r="W452" i="1" s="1"/>
  <c r="X452" i="1"/>
  <c r="Y452" i="1" s="1"/>
  <c r="R453" i="1"/>
  <c r="S453" i="1"/>
  <c r="T453" i="1"/>
  <c r="U453" i="1" s="1"/>
  <c r="V453" i="1"/>
  <c r="X453" i="1"/>
  <c r="Y453" i="1" s="1"/>
  <c r="R454" i="1"/>
  <c r="S454" i="1"/>
  <c r="T454" i="1"/>
  <c r="U454" i="1" s="1"/>
  <c r="V454" i="1"/>
  <c r="W454" i="1" s="1"/>
  <c r="X454" i="1"/>
  <c r="Y454" i="1" s="1"/>
  <c r="R455" i="1"/>
  <c r="S455" i="1"/>
  <c r="T455" i="1"/>
  <c r="U455" i="1" s="1"/>
  <c r="V455" i="1"/>
  <c r="W455" i="1" s="1"/>
  <c r="X455" i="1"/>
  <c r="Y455" i="1" s="1"/>
  <c r="R456" i="1"/>
  <c r="S456" i="1"/>
  <c r="T456" i="1"/>
  <c r="U456" i="1" s="1"/>
  <c r="V456" i="1"/>
  <c r="X456" i="1"/>
  <c r="Y456" i="1" s="1"/>
  <c r="R457" i="1"/>
  <c r="S457" i="1"/>
  <c r="T457" i="1"/>
  <c r="U457" i="1" s="1"/>
  <c r="V457" i="1"/>
  <c r="W457" i="1" s="1"/>
  <c r="X457" i="1"/>
  <c r="Y457" i="1" s="1"/>
  <c r="R458" i="1"/>
  <c r="S458" i="1"/>
  <c r="T458" i="1"/>
  <c r="U458" i="1" s="1"/>
  <c r="V458" i="1"/>
  <c r="W458" i="1" s="1"/>
  <c r="X458" i="1"/>
  <c r="Y458" i="1" s="1"/>
  <c r="R459" i="1"/>
  <c r="S459" i="1"/>
  <c r="T459" i="1"/>
  <c r="U459" i="1"/>
  <c r="V459" i="1"/>
  <c r="W459" i="1" s="1"/>
  <c r="X459" i="1"/>
  <c r="Y459" i="1" s="1"/>
  <c r="R460" i="1"/>
  <c r="S460" i="1"/>
  <c r="T460" i="1"/>
  <c r="U460" i="1" s="1"/>
  <c r="V460" i="1"/>
  <c r="W460" i="1" s="1"/>
  <c r="X460" i="1"/>
  <c r="Y460" i="1" s="1"/>
  <c r="R461" i="1"/>
  <c r="S461" i="1"/>
  <c r="T461" i="1"/>
  <c r="U461" i="1" s="1"/>
  <c r="V461" i="1"/>
  <c r="W461" i="1" s="1"/>
  <c r="X461" i="1"/>
  <c r="Y461" i="1" s="1"/>
  <c r="R462" i="1"/>
  <c r="S462" i="1"/>
  <c r="T462" i="1"/>
  <c r="U462" i="1" s="1"/>
  <c r="V462" i="1"/>
  <c r="W462" i="1" s="1"/>
  <c r="X462" i="1"/>
  <c r="Y462" i="1" s="1"/>
  <c r="R463" i="1"/>
  <c r="S463" i="1"/>
  <c r="T463" i="1"/>
  <c r="U463" i="1" s="1"/>
  <c r="V463" i="1"/>
  <c r="W463" i="1" s="1"/>
  <c r="X463" i="1"/>
  <c r="Y463" i="1" s="1"/>
  <c r="R464" i="1"/>
  <c r="S464" i="1"/>
  <c r="T464" i="1"/>
  <c r="U464" i="1" s="1"/>
  <c r="V464" i="1"/>
  <c r="X464" i="1"/>
  <c r="Y464" i="1" s="1"/>
  <c r="R465" i="1"/>
  <c r="S465" i="1"/>
  <c r="T465" i="1"/>
  <c r="U465" i="1"/>
  <c r="V465" i="1"/>
  <c r="X465" i="1"/>
  <c r="Y465" i="1" s="1"/>
  <c r="R466" i="1"/>
  <c r="S466" i="1"/>
  <c r="T466" i="1"/>
  <c r="U466" i="1" s="1"/>
  <c r="V466" i="1"/>
  <c r="W466" i="1" s="1"/>
  <c r="X466" i="1"/>
  <c r="Y466" i="1" s="1"/>
  <c r="R467" i="1"/>
  <c r="S467" i="1"/>
  <c r="T467" i="1"/>
  <c r="U467" i="1" s="1"/>
  <c r="V467" i="1"/>
  <c r="W467" i="1" s="1"/>
  <c r="X467" i="1"/>
  <c r="Y467" i="1" s="1"/>
  <c r="R468" i="1"/>
  <c r="S468" i="1"/>
  <c r="T468" i="1"/>
  <c r="U468" i="1" s="1"/>
  <c r="V468" i="1"/>
  <c r="W468" i="1" s="1"/>
  <c r="X468" i="1"/>
  <c r="Y468" i="1" s="1"/>
  <c r="R469" i="1"/>
  <c r="S469" i="1"/>
  <c r="T469" i="1"/>
  <c r="U469" i="1" s="1"/>
  <c r="V469" i="1"/>
  <c r="X469" i="1"/>
  <c r="Y469" i="1" s="1"/>
  <c r="R470" i="1"/>
  <c r="S470" i="1"/>
  <c r="T470" i="1"/>
  <c r="U470" i="1"/>
  <c r="V470" i="1"/>
  <c r="X470" i="1"/>
  <c r="Y470" i="1" s="1"/>
  <c r="R471" i="1"/>
  <c r="S471" i="1"/>
  <c r="T471" i="1"/>
  <c r="U471" i="1" s="1"/>
  <c r="V471" i="1"/>
  <c r="W471" i="1" s="1"/>
  <c r="X471" i="1"/>
  <c r="Y471" i="1" s="1"/>
  <c r="R472" i="1"/>
  <c r="S472" i="1"/>
  <c r="T472" i="1"/>
  <c r="U472" i="1" s="1"/>
  <c r="V472" i="1"/>
  <c r="W472" i="1" s="1"/>
  <c r="X472" i="1"/>
  <c r="Y472" i="1" s="1"/>
  <c r="R473" i="1"/>
  <c r="S473" i="1"/>
  <c r="T473" i="1"/>
  <c r="U473" i="1"/>
  <c r="V473" i="1"/>
  <c r="W473" i="1" s="1"/>
  <c r="X473" i="1"/>
  <c r="Y473" i="1" s="1"/>
  <c r="R474" i="1"/>
  <c r="S474" i="1"/>
  <c r="T474" i="1"/>
  <c r="U474" i="1" s="1"/>
  <c r="V474" i="1"/>
  <c r="W474" i="1" s="1"/>
  <c r="X474" i="1"/>
  <c r="Y474" i="1" s="1"/>
  <c r="R475" i="1"/>
  <c r="S475" i="1"/>
  <c r="T475" i="1"/>
  <c r="U475" i="1" s="1"/>
  <c r="V475" i="1"/>
  <c r="X475" i="1"/>
  <c r="Y475" i="1"/>
  <c r="R476" i="1"/>
  <c r="S476" i="1"/>
  <c r="T476" i="1"/>
  <c r="U476" i="1" s="1"/>
  <c r="V476" i="1"/>
  <c r="W476" i="1" s="1"/>
  <c r="X476" i="1"/>
  <c r="Y476" i="1" s="1"/>
  <c r="R477" i="1"/>
  <c r="S477" i="1"/>
  <c r="T477" i="1"/>
  <c r="U477" i="1" s="1"/>
  <c r="V477" i="1"/>
  <c r="X477" i="1"/>
  <c r="Y477" i="1" s="1"/>
  <c r="R478" i="1"/>
  <c r="S478" i="1"/>
  <c r="T478" i="1"/>
  <c r="U478" i="1" s="1"/>
  <c r="V478" i="1"/>
  <c r="W478" i="1" s="1"/>
  <c r="X478" i="1"/>
  <c r="Y478" i="1" s="1"/>
  <c r="R479" i="1"/>
  <c r="S479" i="1"/>
  <c r="T479" i="1"/>
  <c r="U479" i="1" s="1"/>
  <c r="V479" i="1"/>
  <c r="W479" i="1" s="1"/>
  <c r="X479" i="1"/>
  <c r="Y479" i="1" s="1"/>
  <c r="R480" i="1"/>
  <c r="S480" i="1"/>
  <c r="T480" i="1"/>
  <c r="U480" i="1" s="1"/>
  <c r="V480" i="1"/>
  <c r="W480" i="1" s="1"/>
  <c r="X480" i="1"/>
  <c r="Y480" i="1" s="1"/>
  <c r="R481" i="1"/>
  <c r="S481" i="1"/>
  <c r="T481" i="1"/>
  <c r="U481" i="1" s="1"/>
  <c r="V481" i="1"/>
  <c r="W481" i="1" s="1"/>
  <c r="X481" i="1"/>
  <c r="Y481" i="1" s="1"/>
  <c r="R482" i="1"/>
  <c r="S482" i="1"/>
  <c r="T482" i="1"/>
  <c r="U482" i="1" s="1"/>
  <c r="V482" i="1"/>
  <c r="W482" i="1" s="1"/>
  <c r="X482" i="1"/>
  <c r="Y482" i="1" s="1"/>
  <c r="R483" i="1"/>
  <c r="S483" i="1"/>
  <c r="T483" i="1"/>
  <c r="U483" i="1" s="1"/>
  <c r="V483" i="1"/>
  <c r="W483" i="1" s="1"/>
  <c r="X483" i="1"/>
  <c r="Y483" i="1" s="1"/>
  <c r="R484" i="1"/>
  <c r="S484" i="1"/>
  <c r="T484" i="1"/>
  <c r="U484" i="1" s="1"/>
  <c r="V484" i="1"/>
  <c r="X484" i="1"/>
  <c r="Y484" i="1"/>
  <c r="R485" i="1"/>
  <c r="S485" i="1"/>
  <c r="T485" i="1"/>
  <c r="U485" i="1" s="1"/>
  <c r="V485" i="1"/>
  <c r="W485" i="1" s="1"/>
  <c r="X485" i="1"/>
  <c r="Y485" i="1" s="1"/>
  <c r="R486" i="1"/>
  <c r="S486" i="1"/>
  <c r="T486" i="1"/>
  <c r="U486" i="1" s="1"/>
  <c r="V486" i="1"/>
  <c r="W486" i="1" s="1"/>
  <c r="X486" i="1"/>
  <c r="Y486" i="1" s="1"/>
  <c r="R487" i="1"/>
  <c r="S487" i="1"/>
  <c r="T487" i="1"/>
  <c r="U487" i="1" s="1"/>
  <c r="V487" i="1"/>
  <c r="W487" i="1" s="1"/>
  <c r="X487" i="1"/>
  <c r="Y487" i="1" s="1"/>
  <c r="R488" i="1"/>
  <c r="S488" i="1"/>
  <c r="T488" i="1"/>
  <c r="U488" i="1" s="1"/>
  <c r="V488" i="1"/>
  <c r="W488" i="1" s="1"/>
  <c r="X488" i="1"/>
  <c r="Y488" i="1" s="1"/>
  <c r="R489" i="1"/>
  <c r="S489" i="1"/>
  <c r="T489" i="1"/>
  <c r="U489" i="1" s="1"/>
  <c r="V489" i="1"/>
  <c r="X489" i="1"/>
  <c r="Y489" i="1" s="1"/>
  <c r="R490" i="1"/>
  <c r="S490" i="1"/>
  <c r="T490" i="1"/>
  <c r="U490" i="1" s="1"/>
  <c r="V490" i="1"/>
  <c r="W490" i="1" s="1"/>
  <c r="X490" i="1"/>
  <c r="Y490" i="1" s="1"/>
  <c r="R491" i="1"/>
  <c r="S491" i="1"/>
  <c r="T491" i="1"/>
  <c r="U491" i="1" s="1"/>
  <c r="V491" i="1"/>
  <c r="W491" i="1" s="1"/>
  <c r="X491" i="1"/>
  <c r="Y491" i="1" s="1"/>
  <c r="R492" i="1"/>
  <c r="S492" i="1"/>
  <c r="T492" i="1"/>
  <c r="U492" i="1" s="1"/>
  <c r="V492" i="1"/>
  <c r="W492" i="1" s="1"/>
  <c r="X492" i="1"/>
  <c r="Y492" i="1" s="1"/>
  <c r="R493" i="1"/>
  <c r="S493" i="1"/>
  <c r="T493" i="1"/>
  <c r="U493" i="1" s="1"/>
  <c r="V493" i="1"/>
  <c r="W493" i="1" s="1"/>
  <c r="X493" i="1"/>
  <c r="Y493" i="1" s="1"/>
  <c r="R494" i="1"/>
  <c r="S494" i="1"/>
  <c r="T494" i="1"/>
  <c r="U494" i="1" s="1"/>
  <c r="V494" i="1"/>
  <c r="X494" i="1"/>
  <c r="Y494" i="1" s="1"/>
  <c r="R495" i="1"/>
  <c r="S495" i="1"/>
  <c r="T495" i="1"/>
  <c r="U495" i="1" s="1"/>
  <c r="V495" i="1"/>
  <c r="X495" i="1"/>
  <c r="Y495" i="1" s="1"/>
  <c r="R496" i="1"/>
  <c r="S496" i="1"/>
  <c r="T496" i="1"/>
  <c r="U496" i="1"/>
  <c r="V496" i="1"/>
  <c r="W496" i="1" s="1"/>
  <c r="X496" i="1"/>
  <c r="Y496" i="1" s="1"/>
  <c r="R497" i="1"/>
  <c r="S497" i="1"/>
  <c r="T497" i="1"/>
  <c r="U497" i="1" s="1"/>
  <c r="V497" i="1"/>
  <c r="X497" i="1"/>
  <c r="Y497" i="1" s="1"/>
  <c r="R498" i="1"/>
  <c r="S498" i="1"/>
  <c r="T498" i="1"/>
  <c r="U498" i="1" s="1"/>
  <c r="V498" i="1"/>
  <c r="W498" i="1" s="1"/>
  <c r="X498" i="1"/>
  <c r="Y498" i="1" s="1"/>
  <c r="R499" i="1"/>
  <c r="S499" i="1"/>
  <c r="T499" i="1"/>
  <c r="U499" i="1" s="1"/>
  <c r="V499" i="1"/>
  <c r="X499" i="1"/>
  <c r="Y499" i="1" s="1"/>
  <c r="R500" i="1"/>
  <c r="S500" i="1"/>
  <c r="T500" i="1"/>
  <c r="U500" i="1" s="1"/>
  <c r="V500" i="1"/>
  <c r="W500" i="1" s="1"/>
  <c r="X500" i="1"/>
  <c r="Y500" i="1" s="1"/>
  <c r="R501" i="1"/>
  <c r="S501" i="1"/>
  <c r="T501" i="1"/>
  <c r="U501" i="1" s="1"/>
  <c r="V501" i="1"/>
  <c r="W501" i="1" s="1"/>
  <c r="X501" i="1"/>
  <c r="Y501" i="1" s="1"/>
  <c r="R502" i="1"/>
  <c r="S502" i="1"/>
  <c r="T502" i="1"/>
  <c r="U502" i="1" s="1"/>
  <c r="V502" i="1"/>
  <c r="W502" i="1" s="1"/>
  <c r="X502" i="1"/>
  <c r="Y502" i="1" s="1"/>
  <c r="R503" i="1"/>
  <c r="S503" i="1"/>
  <c r="T503" i="1"/>
  <c r="U503" i="1"/>
  <c r="V503" i="1"/>
  <c r="X503" i="1"/>
  <c r="Y503" i="1" s="1"/>
  <c r="R504" i="1"/>
  <c r="S504" i="1"/>
  <c r="T504" i="1"/>
  <c r="U504" i="1"/>
  <c r="V504" i="1"/>
  <c r="W504" i="1" s="1"/>
  <c r="X504" i="1"/>
  <c r="Y504" i="1" s="1"/>
  <c r="R505" i="1"/>
  <c r="S505" i="1"/>
  <c r="T505" i="1"/>
  <c r="U505" i="1" s="1"/>
  <c r="V505" i="1"/>
  <c r="X505" i="1"/>
  <c r="Y505" i="1" s="1"/>
  <c r="R506" i="1"/>
  <c r="S506" i="1"/>
  <c r="T506" i="1"/>
  <c r="U506" i="1" s="1"/>
  <c r="V506" i="1"/>
  <c r="W506" i="1" s="1"/>
  <c r="X506" i="1"/>
  <c r="Y506" i="1" s="1"/>
  <c r="R507" i="1"/>
  <c r="S507" i="1"/>
  <c r="T507" i="1"/>
  <c r="U507" i="1" s="1"/>
  <c r="V507" i="1"/>
  <c r="X507" i="1"/>
  <c r="Y507" i="1" s="1"/>
  <c r="R508" i="1"/>
  <c r="S508" i="1"/>
  <c r="T508" i="1"/>
  <c r="U508" i="1" s="1"/>
  <c r="V508" i="1"/>
  <c r="W508" i="1" s="1"/>
  <c r="X508" i="1"/>
  <c r="Y508" i="1" s="1"/>
  <c r="R509" i="1"/>
  <c r="S509" i="1"/>
  <c r="T509" i="1"/>
  <c r="U509" i="1"/>
  <c r="V509" i="1"/>
  <c r="W509" i="1" s="1"/>
  <c r="X509" i="1"/>
  <c r="Y509" i="1" s="1"/>
  <c r="R510" i="1"/>
  <c r="S510" i="1"/>
  <c r="T510" i="1"/>
  <c r="U510" i="1" s="1"/>
  <c r="V510" i="1"/>
  <c r="W510" i="1" s="1"/>
  <c r="X510" i="1"/>
  <c r="Y510" i="1" s="1"/>
  <c r="R511" i="1"/>
  <c r="S511" i="1"/>
  <c r="T511" i="1"/>
  <c r="U511" i="1"/>
  <c r="V511" i="1"/>
  <c r="X511" i="1"/>
  <c r="Y511" i="1" s="1"/>
  <c r="R512" i="1"/>
  <c r="S512" i="1"/>
  <c r="T512" i="1"/>
  <c r="U512" i="1"/>
  <c r="V512" i="1"/>
  <c r="W512" i="1" s="1"/>
  <c r="X512" i="1"/>
  <c r="Y512" i="1" s="1"/>
  <c r="R513" i="1"/>
  <c r="S513" i="1"/>
  <c r="T513" i="1"/>
  <c r="U513" i="1" s="1"/>
  <c r="V513" i="1"/>
  <c r="W513" i="1" s="1"/>
  <c r="X513" i="1"/>
  <c r="Y513" i="1" s="1"/>
  <c r="R514" i="1"/>
  <c r="S514" i="1"/>
  <c r="T514" i="1"/>
  <c r="U514" i="1" s="1"/>
  <c r="V514" i="1"/>
  <c r="W514" i="1" s="1"/>
  <c r="X514" i="1"/>
  <c r="Y514" i="1" s="1"/>
  <c r="R515" i="1"/>
  <c r="S515" i="1"/>
  <c r="T515" i="1"/>
  <c r="U515" i="1" s="1"/>
  <c r="V515" i="1"/>
  <c r="W515" i="1" s="1"/>
  <c r="X515" i="1"/>
  <c r="Y515" i="1" s="1"/>
  <c r="R516" i="1"/>
  <c r="S516" i="1"/>
  <c r="T516" i="1"/>
  <c r="U516" i="1" s="1"/>
  <c r="V516" i="1"/>
  <c r="X516" i="1"/>
  <c r="Y516" i="1" s="1"/>
  <c r="R517" i="1"/>
  <c r="S517" i="1"/>
  <c r="T517" i="1"/>
  <c r="U517" i="1" s="1"/>
  <c r="V517" i="1"/>
  <c r="W517" i="1" s="1"/>
  <c r="X517" i="1"/>
  <c r="Y517" i="1" s="1"/>
  <c r="R518" i="1"/>
  <c r="S518" i="1"/>
  <c r="T518" i="1"/>
  <c r="U518" i="1" s="1"/>
  <c r="V518" i="1"/>
  <c r="X518" i="1"/>
  <c r="Y518" i="1"/>
  <c r="R519" i="1"/>
  <c r="S519" i="1"/>
  <c r="T519" i="1"/>
  <c r="U519" i="1" s="1"/>
  <c r="V519" i="1"/>
  <c r="W519" i="1" s="1"/>
  <c r="X519" i="1"/>
  <c r="Y519" i="1"/>
  <c r="R520" i="1"/>
  <c r="S520" i="1"/>
  <c r="T520" i="1"/>
  <c r="U520" i="1" s="1"/>
  <c r="V520" i="1"/>
  <c r="W520" i="1" s="1"/>
  <c r="X520" i="1"/>
  <c r="Y520" i="1" s="1"/>
  <c r="R521" i="1"/>
  <c r="S521" i="1"/>
  <c r="T521" i="1"/>
  <c r="U521" i="1" s="1"/>
  <c r="V521" i="1"/>
  <c r="W521" i="1" s="1"/>
  <c r="X521" i="1"/>
  <c r="Y521" i="1" s="1"/>
  <c r="R522" i="1"/>
  <c r="S522" i="1"/>
  <c r="T522" i="1"/>
  <c r="U522" i="1" s="1"/>
  <c r="V522" i="1"/>
  <c r="W522" i="1" s="1"/>
  <c r="X522" i="1"/>
  <c r="Y522" i="1" s="1"/>
  <c r="R523" i="1"/>
  <c r="S523" i="1"/>
  <c r="T523" i="1"/>
  <c r="U523" i="1"/>
  <c r="V523" i="1"/>
  <c r="X523" i="1"/>
  <c r="Y523" i="1" s="1"/>
  <c r="R524" i="1"/>
  <c r="S524" i="1"/>
  <c r="T524" i="1"/>
  <c r="U524" i="1" s="1"/>
  <c r="V524" i="1"/>
  <c r="W524" i="1" s="1"/>
  <c r="X524" i="1"/>
  <c r="Y524" i="1" s="1"/>
  <c r="R525" i="1"/>
  <c r="S525" i="1"/>
  <c r="T525" i="1"/>
  <c r="U525" i="1" s="1"/>
  <c r="V525" i="1"/>
  <c r="W525" i="1" s="1"/>
  <c r="X525" i="1"/>
  <c r="Y525" i="1" s="1"/>
  <c r="R526" i="1"/>
  <c r="S526" i="1"/>
  <c r="T526" i="1"/>
  <c r="U526" i="1" s="1"/>
  <c r="V526" i="1"/>
  <c r="W526" i="1" s="1"/>
  <c r="X526" i="1"/>
  <c r="Y526" i="1" s="1"/>
  <c r="R527" i="1"/>
  <c r="S527" i="1"/>
  <c r="T527" i="1"/>
  <c r="U527" i="1" s="1"/>
  <c r="V527" i="1"/>
  <c r="X527" i="1"/>
  <c r="Y527" i="1"/>
  <c r="R528" i="1"/>
  <c r="S528" i="1"/>
  <c r="T528" i="1"/>
  <c r="U528" i="1" s="1"/>
  <c r="V528" i="1"/>
  <c r="W528" i="1" s="1"/>
  <c r="X528" i="1"/>
  <c r="Y528" i="1" s="1"/>
  <c r="R529" i="1"/>
  <c r="S529" i="1"/>
  <c r="T529" i="1"/>
  <c r="U529" i="1" s="1"/>
  <c r="V529" i="1"/>
  <c r="W529" i="1" s="1"/>
  <c r="X529" i="1"/>
  <c r="Y529" i="1" s="1"/>
  <c r="R530" i="1"/>
  <c r="S530" i="1"/>
  <c r="T530" i="1"/>
  <c r="U530" i="1" s="1"/>
  <c r="V530" i="1"/>
  <c r="W530" i="1" s="1"/>
  <c r="X530" i="1"/>
  <c r="Y530" i="1" s="1"/>
  <c r="R531" i="1"/>
  <c r="S531" i="1"/>
  <c r="T531" i="1"/>
  <c r="U531" i="1" s="1"/>
  <c r="V531" i="1"/>
  <c r="W531" i="1" s="1"/>
  <c r="X531" i="1"/>
  <c r="Y531" i="1" s="1"/>
  <c r="R532" i="1"/>
  <c r="S532" i="1"/>
  <c r="T532" i="1"/>
  <c r="U532" i="1" s="1"/>
  <c r="V532" i="1"/>
  <c r="W532" i="1" s="1"/>
  <c r="X532" i="1"/>
  <c r="Y532" i="1" s="1"/>
  <c r="R533" i="1"/>
  <c r="S533" i="1"/>
  <c r="T533" i="1"/>
  <c r="U533" i="1" s="1"/>
  <c r="V533" i="1"/>
  <c r="W533" i="1" s="1"/>
  <c r="X533" i="1"/>
  <c r="Y533" i="1" s="1"/>
  <c r="R534" i="1"/>
  <c r="S534" i="1"/>
  <c r="T534" i="1"/>
  <c r="U534" i="1" s="1"/>
  <c r="V534" i="1"/>
  <c r="X534" i="1"/>
  <c r="Y534" i="1" s="1"/>
  <c r="S535" i="1"/>
  <c r="T535" i="1"/>
  <c r="U535" i="1" s="1"/>
  <c r="V535" i="1"/>
  <c r="W535" i="1" s="1"/>
  <c r="X535" i="1"/>
  <c r="Y535" i="1" s="1"/>
  <c r="R536" i="1"/>
  <c r="S536" i="1"/>
  <c r="T536" i="1"/>
  <c r="U536" i="1" s="1"/>
  <c r="V536" i="1"/>
  <c r="W536" i="1" s="1"/>
  <c r="X536" i="1"/>
  <c r="Y536" i="1" s="1"/>
  <c r="R537" i="1"/>
  <c r="S537" i="1"/>
  <c r="T537" i="1"/>
  <c r="U537" i="1" s="1"/>
  <c r="V537" i="1"/>
  <c r="W537" i="1" s="1"/>
  <c r="X537" i="1"/>
  <c r="Y537" i="1" s="1"/>
  <c r="R538" i="1"/>
  <c r="S538" i="1"/>
  <c r="T538" i="1"/>
  <c r="U538" i="1"/>
  <c r="V538" i="1"/>
  <c r="W538" i="1" s="1"/>
  <c r="X538" i="1"/>
  <c r="Y538" i="1" s="1"/>
  <c r="R539" i="1"/>
  <c r="S539" i="1"/>
  <c r="T539" i="1"/>
  <c r="U539" i="1" s="1"/>
  <c r="V539" i="1"/>
  <c r="W539" i="1" s="1"/>
  <c r="X539" i="1"/>
  <c r="Y539" i="1" s="1"/>
  <c r="R540" i="1"/>
  <c r="S540" i="1"/>
  <c r="T540" i="1"/>
  <c r="U540" i="1" s="1"/>
  <c r="V540" i="1"/>
  <c r="W540" i="1" s="1"/>
  <c r="X540" i="1"/>
  <c r="Y540" i="1" s="1"/>
  <c r="R541" i="1"/>
  <c r="S541" i="1"/>
  <c r="T541" i="1"/>
  <c r="U541" i="1" s="1"/>
  <c r="V541" i="1"/>
  <c r="X541" i="1"/>
  <c r="Y541" i="1" s="1"/>
  <c r="R542" i="1"/>
  <c r="S542" i="1"/>
  <c r="T542" i="1"/>
  <c r="U542" i="1" s="1"/>
  <c r="V542" i="1"/>
  <c r="W542" i="1" s="1"/>
  <c r="X542" i="1"/>
  <c r="Y542" i="1"/>
  <c r="R543" i="1"/>
  <c r="S543" i="1"/>
  <c r="T543" i="1"/>
  <c r="U543" i="1" s="1"/>
  <c r="V543" i="1"/>
  <c r="W543" i="1" s="1"/>
  <c r="X543" i="1"/>
  <c r="Y543" i="1"/>
  <c r="R544" i="1"/>
  <c r="S544" i="1"/>
  <c r="T544" i="1"/>
  <c r="U544" i="1" s="1"/>
  <c r="V544" i="1"/>
  <c r="W544" i="1" s="1"/>
  <c r="X544" i="1"/>
  <c r="Y544" i="1" s="1"/>
  <c r="R545" i="1"/>
  <c r="S545" i="1"/>
  <c r="T545" i="1"/>
  <c r="U545" i="1" s="1"/>
  <c r="V545" i="1"/>
  <c r="W545" i="1" s="1"/>
  <c r="X545" i="1"/>
  <c r="Y545" i="1" s="1"/>
  <c r="R546" i="1"/>
  <c r="S546" i="1"/>
  <c r="T546" i="1"/>
  <c r="U546" i="1" s="1"/>
  <c r="V546" i="1"/>
  <c r="W546" i="1" s="1"/>
  <c r="X546" i="1"/>
  <c r="Y546" i="1" s="1"/>
  <c r="R547" i="1"/>
  <c r="S547" i="1"/>
  <c r="T547" i="1"/>
  <c r="U547" i="1" s="1"/>
  <c r="V547" i="1"/>
  <c r="W547" i="1" s="1"/>
  <c r="X547" i="1"/>
  <c r="Y547" i="1" s="1"/>
  <c r="R548" i="1"/>
  <c r="S548" i="1"/>
  <c r="T548" i="1"/>
  <c r="U548" i="1" s="1"/>
  <c r="V548" i="1"/>
  <c r="W548" i="1" s="1"/>
  <c r="X548" i="1"/>
  <c r="Y548" i="1" s="1"/>
  <c r="R549" i="1"/>
  <c r="S549" i="1"/>
  <c r="T549" i="1"/>
  <c r="U549" i="1" s="1"/>
  <c r="V549" i="1"/>
  <c r="X549" i="1"/>
  <c r="Y549" i="1" s="1"/>
  <c r="R550" i="1"/>
  <c r="S550" i="1"/>
  <c r="T550" i="1"/>
  <c r="U550" i="1" s="1"/>
  <c r="V550" i="1"/>
  <c r="W550" i="1" s="1"/>
  <c r="X550" i="1"/>
  <c r="Y550" i="1" s="1"/>
  <c r="R551" i="1"/>
  <c r="S551" i="1"/>
  <c r="T551" i="1"/>
  <c r="U551" i="1" s="1"/>
  <c r="V551" i="1"/>
  <c r="W551" i="1" s="1"/>
  <c r="X551" i="1"/>
  <c r="Y551" i="1" s="1"/>
  <c r="R552" i="1"/>
  <c r="S552" i="1"/>
  <c r="T552" i="1"/>
  <c r="U552" i="1" s="1"/>
  <c r="V552" i="1"/>
  <c r="W552" i="1" s="1"/>
  <c r="X552" i="1"/>
  <c r="Y552" i="1" s="1"/>
  <c r="R553" i="1"/>
  <c r="S553" i="1"/>
  <c r="T553" i="1"/>
  <c r="U553" i="1" s="1"/>
  <c r="V553" i="1"/>
  <c r="W553" i="1" s="1"/>
  <c r="X553" i="1"/>
  <c r="Y553" i="1" s="1"/>
  <c r="R554" i="1"/>
  <c r="S554" i="1"/>
  <c r="T554" i="1"/>
  <c r="U554" i="1" s="1"/>
  <c r="V554" i="1"/>
  <c r="W554" i="1" s="1"/>
  <c r="X554" i="1"/>
  <c r="Y554" i="1" s="1"/>
  <c r="R555" i="1"/>
  <c r="S555" i="1"/>
  <c r="T555" i="1"/>
  <c r="U555" i="1" s="1"/>
  <c r="V555" i="1"/>
  <c r="W555" i="1" s="1"/>
  <c r="X555" i="1"/>
  <c r="Y555" i="1" s="1"/>
  <c r="R556" i="1"/>
  <c r="S556" i="1"/>
  <c r="T556" i="1"/>
  <c r="U556" i="1" s="1"/>
  <c r="V556" i="1"/>
  <c r="W556" i="1" s="1"/>
  <c r="X556" i="1"/>
  <c r="Y556" i="1" s="1"/>
  <c r="R557" i="1"/>
  <c r="S557" i="1"/>
  <c r="T557" i="1"/>
  <c r="U557" i="1" s="1"/>
  <c r="V557" i="1"/>
  <c r="X557" i="1"/>
  <c r="Y557" i="1"/>
  <c r="R558" i="1"/>
  <c r="S558" i="1"/>
  <c r="T558" i="1"/>
  <c r="U558" i="1" s="1"/>
  <c r="V558" i="1"/>
  <c r="W558" i="1" s="1"/>
  <c r="X558" i="1"/>
  <c r="Y558" i="1" s="1"/>
  <c r="R559" i="1"/>
  <c r="S559" i="1"/>
  <c r="T559" i="1"/>
  <c r="U559" i="1" s="1"/>
  <c r="V559" i="1"/>
  <c r="W559" i="1" s="1"/>
  <c r="X559" i="1"/>
  <c r="Y559" i="1" s="1"/>
  <c r="R560" i="1"/>
  <c r="S560" i="1"/>
  <c r="T560" i="1"/>
  <c r="U560" i="1" s="1"/>
  <c r="V560" i="1"/>
  <c r="W560" i="1" s="1"/>
  <c r="X560" i="1"/>
  <c r="Y560" i="1" s="1"/>
  <c r="R561" i="1"/>
  <c r="S561" i="1"/>
  <c r="T561" i="1"/>
  <c r="U561" i="1" s="1"/>
  <c r="V561" i="1"/>
  <c r="W561" i="1" s="1"/>
  <c r="X561" i="1"/>
  <c r="Y561" i="1" s="1"/>
  <c r="R562" i="1"/>
  <c r="S562" i="1"/>
  <c r="T562" i="1"/>
  <c r="U562" i="1" s="1"/>
  <c r="V562" i="1"/>
  <c r="X562" i="1"/>
  <c r="Y562" i="1" s="1"/>
  <c r="R563" i="1"/>
  <c r="S563" i="1"/>
  <c r="T563" i="1"/>
  <c r="U563" i="1" s="1"/>
  <c r="V563" i="1"/>
  <c r="W563" i="1" s="1"/>
  <c r="X563" i="1"/>
  <c r="Y563" i="1" s="1"/>
  <c r="R564" i="1"/>
  <c r="S564" i="1"/>
  <c r="T564" i="1"/>
  <c r="U564" i="1" s="1"/>
  <c r="V564" i="1"/>
  <c r="W564" i="1" s="1"/>
  <c r="X564" i="1"/>
  <c r="Y564" i="1" s="1"/>
  <c r="R565" i="1"/>
  <c r="S565" i="1"/>
  <c r="T565" i="1"/>
  <c r="U565" i="1" s="1"/>
  <c r="V565" i="1"/>
  <c r="W565" i="1" s="1"/>
  <c r="X565" i="1"/>
  <c r="Y565" i="1" s="1"/>
  <c r="R566" i="1"/>
  <c r="S566" i="1"/>
  <c r="T566" i="1"/>
  <c r="U566" i="1" s="1"/>
  <c r="V566" i="1"/>
  <c r="W566" i="1" s="1"/>
  <c r="X566" i="1"/>
  <c r="Y566" i="1" s="1"/>
  <c r="R567" i="1"/>
  <c r="S567" i="1"/>
  <c r="T567" i="1"/>
  <c r="U567" i="1" s="1"/>
  <c r="V567" i="1"/>
  <c r="W567" i="1" s="1"/>
  <c r="X567" i="1"/>
  <c r="Y567" i="1" s="1"/>
  <c r="R568" i="1"/>
  <c r="S568" i="1"/>
  <c r="T568" i="1"/>
  <c r="U568" i="1" s="1"/>
  <c r="V568" i="1"/>
  <c r="X568" i="1"/>
  <c r="Y568" i="1" s="1"/>
  <c r="R569" i="1"/>
  <c r="S569" i="1"/>
  <c r="T569" i="1"/>
  <c r="U569" i="1" s="1"/>
  <c r="V569" i="1"/>
  <c r="W569" i="1" s="1"/>
  <c r="X569" i="1"/>
  <c r="Y569" i="1" s="1"/>
  <c r="R570" i="1"/>
  <c r="S570" i="1"/>
  <c r="T570" i="1"/>
  <c r="U570" i="1"/>
  <c r="V570" i="1"/>
  <c r="W570" i="1" s="1"/>
  <c r="X570" i="1"/>
  <c r="Y570" i="1" s="1"/>
  <c r="R571" i="1"/>
  <c r="S571" i="1"/>
  <c r="T571" i="1"/>
  <c r="U571" i="1" s="1"/>
  <c r="V571" i="1"/>
  <c r="W571" i="1" s="1"/>
  <c r="X571" i="1"/>
  <c r="Y571" i="1" s="1"/>
  <c r="R572" i="1"/>
  <c r="S572" i="1"/>
  <c r="T572" i="1"/>
  <c r="U572" i="1" s="1"/>
  <c r="V572" i="1"/>
  <c r="W572" i="1" s="1"/>
  <c r="X572" i="1"/>
  <c r="Y572" i="1" s="1"/>
  <c r="R573" i="1"/>
  <c r="S573" i="1"/>
  <c r="T573" i="1"/>
  <c r="U573" i="1" s="1"/>
  <c r="V573" i="1"/>
  <c r="W573" i="1" s="1"/>
  <c r="X573" i="1"/>
  <c r="Y573" i="1" s="1"/>
  <c r="R574" i="1"/>
  <c r="S574" i="1"/>
  <c r="T574" i="1"/>
  <c r="U574" i="1" s="1"/>
  <c r="V574" i="1"/>
  <c r="W574" i="1" s="1"/>
  <c r="X574" i="1"/>
  <c r="Y574" i="1" s="1"/>
  <c r="R575" i="1"/>
  <c r="S575" i="1"/>
  <c r="T575" i="1"/>
  <c r="U575" i="1" s="1"/>
  <c r="V575" i="1"/>
  <c r="W575" i="1" s="1"/>
  <c r="X575" i="1"/>
  <c r="Y575" i="1" s="1"/>
  <c r="R576" i="1"/>
  <c r="S576" i="1"/>
  <c r="T576" i="1"/>
  <c r="U576" i="1" s="1"/>
  <c r="V576" i="1"/>
  <c r="X576" i="1"/>
  <c r="Y576" i="1" s="1"/>
  <c r="R577" i="1"/>
  <c r="S577" i="1"/>
  <c r="T577" i="1"/>
  <c r="U577" i="1" s="1"/>
  <c r="V577" i="1"/>
  <c r="X577" i="1"/>
  <c r="Y577" i="1" s="1"/>
  <c r="R578" i="1"/>
  <c r="S578" i="1"/>
  <c r="T578" i="1"/>
  <c r="U578" i="1" s="1"/>
  <c r="V578" i="1"/>
  <c r="W578" i="1" s="1"/>
  <c r="X578" i="1"/>
  <c r="Y578" i="1" s="1"/>
  <c r="R579" i="1"/>
  <c r="S579" i="1"/>
  <c r="T579" i="1"/>
  <c r="U579" i="1" s="1"/>
  <c r="V579" i="1"/>
  <c r="X579" i="1"/>
  <c r="Y579" i="1"/>
  <c r="R580" i="1"/>
  <c r="S580" i="1"/>
  <c r="T580" i="1"/>
  <c r="U580" i="1" s="1"/>
  <c r="V580" i="1"/>
  <c r="W580" i="1" s="1"/>
  <c r="X580" i="1"/>
  <c r="Y580" i="1" s="1"/>
  <c r="R581" i="1"/>
  <c r="S581" i="1"/>
  <c r="T581" i="1"/>
  <c r="U581" i="1" s="1"/>
  <c r="V581" i="1"/>
  <c r="W581" i="1" s="1"/>
  <c r="X581" i="1"/>
  <c r="Y581" i="1" s="1"/>
  <c r="R582" i="1"/>
  <c r="S582" i="1"/>
  <c r="T582" i="1"/>
  <c r="U582" i="1" s="1"/>
  <c r="V582" i="1"/>
  <c r="X582" i="1"/>
  <c r="Y582" i="1"/>
  <c r="R583" i="1"/>
  <c r="S583" i="1"/>
  <c r="T583" i="1"/>
  <c r="U583" i="1" s="1"/>
  <c r="V583" i="1"/>
  <c r="W583" i="1" s="1"/>
  <c r="X583" i="1"/>
  <c r="Y583" i="1" s="1"/>
  <c r="R584" i="1"/>
  <c r="S584" i="1"/>
  <c r="T584" i="1"/>
  <c r="U584" i="1"/>
  <c r="V584" i="1"/>
  <c r="X584" i="1"/>
  <c r="Y584" i="1"/>
  <c r="R585" i="1"/>
  <c r="S585" i="1"/>
  <c r="T585" i="1"/>
  <c r="U585" i="1" s="1"/>
  <c r="V585" i="1"/>
  <c r="W585" i="1" s="1"/>
  <c r="X585" i="1"/>
  <c r="Y585" i="1" s="1"/>
  <c r="R586" i="1"/>
  <c r="S586" i="1"/>
  <c r="T586" i="1"/>
  <c r="U586" i="1" s="1"/>
  <c r="V586" i="1"/>
  <c r="W586" i="1" s="1"/>
  <c r="X586" i="1"/>
  <c r="Y586" i="1"/>
  <c r="R587" i="1"/>
  <c r="S587" i="1"/>
  <c r="T587" i="1"/>
  <c r="U587" i="1" s="1"/>
  <c r="V587" i="1"/>
  <c r="W587" i="1" s="1"/>
  <c r="X587" i="1"/>
  <c r="Y587" i="1" s="1"/>
  <c r="R588" i="1"/>
  <c r="S588" i="1"/>
  <c r="T588" i="1"/>
  <c r="U588" i="1"/>
  <c r="V588" i="1"/>
  <c r="W588" i="1" s="1"/>
  <c r="X588" i="1"/>
  <c r="Y588" i="1" s="1"/>
  <c r="R589" i="1"/>
  <c r="S589" i="1"/>
  <c r="T589" i="1"/>
  <c r="U589" i="1" s="1"/>
  <c r="V589" i="1"/>
  <c r="X589" i="1"/>
  <c r="Y589" i="1" s="1"/>
  <c r="R590" i="1"/>
  <c r="S590" i="1"/>
  <c r="T590" i="1"/>
  <c r="U590" i="1" s="1"/>
  <c r="V590" i="1"/>
  <c r="W590" i="1" s="1"/>
  <c r="X590" i="1"/>
  <c r="Y590" i="1" s="1"/>
  <c r="R591" i="1"/>
  <c r="S591" i="1"/>
  <c r="T591" i="1"/>
  <c r="U591" i="1" s="1"/>
  <c r="V591" i="1"/>
  <c r="X591" i="1"/>
  <c r="Y591" i="1" s="1"/>
  <c r="R592" i="1"/>
  <c r="S592" i="1"/>
  <c r="T592" i="1"/>
  <c r="U592" i="1" s="1"/>
  <c r="V592" i="1"/>
  <c r="W592" i="1" s="1"/>
  <c r="X592" i="1"/>
  <c r="Y592" i="1"/>
  <c r="R593" i="1"/>
  <c r="S593" i="1"/>
  <c r="T593" i="1"/>
  <c r="U593" i="1" s="1"/>
  <c r="V593" i="1"/>
  <c r="W593" i="1" s="1"/>
  <c r="X593" i="1"/>
  <c r="Y593" i="1" s="1"/>
  <c r="R594" i="1"/>
  <c r="S594" i="1"/>
  <c r="T594" i="1"/>
  <c r="U594" i="1" s="1"/>
  <c r="V594" i="1"/>
  <c r="W594" i="1" s="1"/>
  <c r="X594" i="1"/>
  <c r="Y594" i="1" s="1"/>
  <c r="R595" i="1"/>
  <c r="S595" i="1"/>
  <c r="T595" i="1"/>
  <c r="U595" i="1" s="1"/>
  <c r="V595" i="1"/>
  <c r="X595" i="1"/>
  <c r="Y595" i="1" s="1"/>
  <c r="R596" i="1"/>
  <c r="S596" i="1"/>
  <c r="T596" i="1"/>
  <c r="U596" i="1" s="1"/>
  <c r="V596" i="1"/>
  <c r="W596" i="1" s="1"/>
  <c r="X596" i="1"/>
  <c r="Y596" i="1" s="1"/>
  <c r="R597" i="1"/>
  <c r="S597" i="1"/>
  <c r="T597" i="1"/>
  <c r="U597" i="1"/>
  <c r="V597" i="1"/>
  <c r="X597" i="1"/>
  <c r="Y597" i="1" s="1"/>
  <c r="R598" i="1"/>
  <c r="S598" i="1"/>
  <c r="T598" i="1"/>
  <c r="U598" i="1" s="1"/>
  <c r="V598" i="1"/>
  <c r="X598" i="1"/>
  <c r="Y598" i="1" s="1"/>
  <c r="R599" i="1"/>
  <c r="S599" i="1"/>
  <c r="T599" i="1"/>
  <c r="U599" i="1" s="1"/>
  <c r="V599" i="1"/>
  <c r="X599" i="1"/>
  <c r="Y599" i="1" s="1"/>
  <c r="R600" i="1"/>
  <c r="S600" i="1"/>
  <c r="T600" i="1"/>
  <c r="U600" i="1"/>
  <c r="V600" i="1"/>
  <c r="X600" i="1"/>
  <c r="Y600" i="1"/>
  <c r="R601" i="1"/>
  <c r="S601" i="1"/>
  <c r="T601" i="1"/>
  <c r="U601" i="1" s="1"/>
  <c r="V601" i="1"/>
  <c r="X601" i="1"/>
  <c r="Y601" i="1" s="1"/>
  <c r="R602" i="1"/>
  <c r="S602" i="1"/>
  <c r="T602" i="1"/>
  <c r="U602" i="1" s="1"/>
  <c r="V602" i="1"/>
  <c r="W602" i="1" s="1"/>
  <c r="X602" i="1"/>
  <c r="Y602" i="1" s="1"/>
  <c r="R603" i="1"/>
  <c r="S603" i="1"/>
  <c r="T603" i="1"/>
  <c r="U603" i="1" s="1"/>
  <c r="V603" i="1"/>
  <c r="W603" i="1" s="1"/>
  <c r="X603" i="1"/>
  <c r="Y603" i="1" s="1"/>
  <c r="R604" i="1"/>
  <c r="S604" i="1"/>
  <c r="T604" i="1"/>
  <c r="U604" i="1" s="1"/>
  <c r="V604" i="1"/>
  <c r="W604" i="1" s="1"/>
  <c r="X604" i="1"/>
  <c r="Y604" i="1" s="1"/>
  <c r="R605" i="1"/>
  <c r="S605" i="1"/>
  <c r="T605" i="1"/>
  <c r="U605" i="1" s="1"/>
  <c r="V605" i="1"/>
  <c r="W605" i="1" s="1"/>
  <c r="X605" i="1"/>
  <c r="Y605" i="1" s="1"/>
  <c r="R606" i="1"/>
  <c r="S606" i="1"/>
  <c r="T606" i="1"/>
  <c r="U606" i="1" s="1"/>
  <c r="V606" i="1"/>
  <c r="W606" i="1" s="1"/>
  <c r="X606" i="1"/>
  <c r="Y606" i="1" s="1"/>
  <c r="R607" i="1"/>
  <c r="S607" i="1"/>
  <c r="T607" i="1"/>
  <c r="U607" i="1" s="1"/>
  <c r="V607" i="1"/>
  <c r="W607" i="1" s="1"/>
  <c r="X607" i="1"/>
  <c r="Y607" i="1" s="1"/>
  <c r="R608" i="1"/>
  <c r="S608" i="1"/>
  <c r="T608" i="1"/>
  <c r="U608" i="1"/>
  <c r="V608" i="1"/>
  <c r="W608" i="1" s="1"/>
  <c r="X608" i="1"/>
  <c r="Y608" i="1" s="1"/>
  <c r="R609" i="1"/>
  <c r="S609" i="1"/>
  <c r="T609" i="1"/>
  <c r="U609" i="1" s="1"/>
  <c r="V609" i="1"/>
  <c r="W609" i="1" s="1"/>
  <c r="X609" i="1"/>
  <c r="Y609" i="1"/>
  <c r="R610" i="1"/>
  <c r="S610" i="1"/>
  <c r="T610" i="1"/>
  <c r="U610" i="1" s="1"/>
  <c r="V610" i="1"/>
  <c r="W610" i="1" s="1"/>
  <c r="X610" i="1"/>
  <c r="Y610" i="1" s="1"/>
  <c r="R611" i="1"/>
  <c r="S611" i="1"/>
  <c r="T611" i="1"/>
  <c r="U611" i="1" s="1"/>
  <c r="V611" i="1"/>
  <c r="X611" i="1"/>
  <c r="Y611" i="1"/>
  <c r="R612" i="1"/>
  <c r="S612" i="1"/>
  <c r="T612" i="1"/>
  <c r="U612" i="1" s="1"/>
  <c r="V612" i="1"/>
  <c r="W612" i="1" s="1"/>
  <c r="X612" i="1"/>
  <c r="Y612" i="1" s="1"/>
  <c r="R613" i="1"/>
  <c r="S613" i="1"/>
  <c r="T613" i="1"/>
  <c r="U613" i="1" s="1"/>
  <c r="V613" i="1"/>
  <c r="X613" i="1"/>
  <c r="Y613" i="1" s="1"/>
  <c r="R614" i="1"/>
  <c r="S614" i="1"/>
  <c r="T614" i="1"/>
  <c r="U614" i="1" s="1"/>
  <c r="V614" i="1"/>
  <c r="W614" i="1" s="1"/>
  <c r="X614" i="1"/>
  <c r="Y614" i="1" s="1"/>
  <c r="R615" i="1"/>
  <c r="S615" i="1"/>
  <c r="T615" i="1"/>
  <c r="U615" i="1" s="1"/>
  <c r="V615" i="1"/>
  <c r="W615" i="1" s="1"/>
  <c r="X615" i="1"/>
  <c r="Y615" i="1" s="1"/>
  <c r="R616" i="1"/>
  <c r="S616" i="1"/>
  <c r="T616" i="1"/>
  <c r="U616" i="1" s="1"/>
  <c r="V616" i="1"/>
  <c r="W616" i="1" s="1"/>
  <c r="X616" i="1"/>
  <c r="Y616" i="1" s="1"/>
  <c r="R617" i="1"/>
  <c r="S617" i="1"/>
  <c r="T617" i="1"/>
  <c r="U617" i="1" s="1"/>
  <c r="V617" i="1"/>
  <c r="W617" i="1" s="1"/>
  <c r="X617" i="1"/>
  <c r="Y617" i="1" s="1"/>
  <c r="R618" i="1"/>
  <c r="S618" i="1"/>
  <c r="T618" i="1"/>
  <c r="U618" i="1" s="1"/>
  <c r="V618" i="1"/>
  <c r="W618" i="1" s="1"/>
  <c r="X618" i="1"/>
  <c r="Y618" i="1" s="1"/>
  <c r="R619" i="1"/>
  <c r="S619" i="1"/>
  <c r="T619" i="1"/>
  <c r="U619" i="1"/>
  <c r="V619" i="1"/>
  <c r="W619" i="1" s="1"/>
  <c r="X619" i="1"/>
  <c r="Y619" i="1" s="1"/>
  <c r="R620" i="1"/>
  <c r="S620" i="1"/>
  <c r="T620" i="1"/>
  <c r="U620" i="1" s="1"/>
  <c r="V620" i="1"/>
  <c r="W620" i="1" s="1"/>
  <c r="X620" i="1"/>
  <c r="Y620" i="1" s="1"/>
  <c r="R621" i="1"/>
  <c r="S621" i="1"/>
  <c r="T621" i="1"/>
  <c r="U621" i="1"/>
  <c r="V621" i="1"/>
  <c r="X621" i="1"/>
  <c r="Y621" i="1" s="1"/>
  <c r="R622" i="1"/>
  <c r="S622" i="1"/>
  <c r="T622" i="1"/>
  <c r="U622" i="1" s="1"/>
  <c r="V622" i="1"/>
  <c r="X622" i="1"/>
  <c r="Y622" i="1" s="1"/>
  <c r="R623" i="1"/>
  <c r="S623" i="1"/>
  <c r="T623" i="1"/>
  <c r="U623" i="1" s="1"/>
  <c r="V623" i="1"/>
  <c r="W623" i="1" s="1"/>
  <c r="X623" i="1"/>
  <c r="Y623" i="1" s="1"/>
  <c r="R624" i="1"/>
  <c r="S624" i="1"/>
  <c r="T624" i="1"/>
  <c r="U624" i="1" s="1"/>
  <c r="V624" i="1"/>
  <c r="W624" i="1" s="1"/>
  <c r="X624" i="1"/>
  <c r="Y624" i="1" s="1"/>
  <c r="R625" i="1"/>
  <c r="S625" i="1"/>
  <c r="T625" i="1"/>
  <c r="U625" i="1" s="1"/>
  <c r="V625" i="1"/>
  <c r="W625" i="1" s="1"/>
  <c r="X625" i="1"/>
  <c r="Y625" i="1" s="1"/>
  <c r="R626" i="1"/>
  <c r="S626" i="1"/>
  <c r="T626" i="1"/>
  <c r="U626" i="1" s="1"/>
  <c r="V626" i="1"/>
  <c r="W626" i="1" s="1"/>
  <c r="X626" i="1"/>
  <c r="Y626" i="1" s="1"/>
  <c r="R627" i="1"/>
  <c r="S627" i="1"/>
  <c r="T627" i="1"/>
  <c r="U627" i="1" s="1"/>
  <c r="V627" i="1"/>
  <c r="W627" i="1" s="1"/>
  <c r="X627" i="1"/>
  <c r="Y627" i="1" s="1"/>
  <c r="R628" i="1"/>
  <c r="S628" i="1"/>
  <c r="T628" i="1"/>
  <c r="U628" i="1" s="1"/>
  <c r="V628" i="1"/>
  <c r="W628" i="1" s="1"/>
  <c r="X628" i="1"/>
  <c r="Y628" i="1" s="1"/>
  <c r="R629" i="1"/>
  <c r="S629" i="1"/>
  <c r="T629" i="1"/>
  <c r="U629" i="1" s="1"/>
  <c r="V629" i="1"/>
  <c r="W629" i="1" s="1"/>
  <c r="X629" i="1"/>
  <c r="Y629" i="1" s="1"/>
  <c r="R630" i="1"/>
  <c r="S630" i="1"/>
  <c r="T630" i="1"/>
  <c r="U630" i="1" s="1"/>
  <c r="V630" i="1"/>
  <c r="W630" i="1" s="1"/>
  <c r="X630" i="1"/>
  <c r="Y630" i="1"/>
  <c r="R631" i="1"/>
  <c r="S631" i="1"/>
  <c r="T631" i="1"/>
  <c r="U631" i="1" s="1"/>
  <c r="V631" i="1"/>
  <c r="W631" i="1" s="1"/>
  <c r="X631" i="1"/>
  <c r="Y631" i="1" s="1"/>
  <c r="R632" i="1"/>
  <c r="S632" i="1"/>
  <c r="T632" i="1"/>
  <c r="U632" i="1" s="1"/>
  <c r="V632" i="1"/>
  <c r="W632" i="1" s="1"/>
  <c r="X632" i="1"/>
  <c r="Y632" i="1" s="1"/>
  <c r="R633" i="1"/>
  <c r="S633" i="1"/>
  <c r="T633" i="1"/>
  <c r="U633" i="1" s="1"/>
  <c r="V633" i="1"/>
  <c r="X633" i="1"/>
  <c r="Y633" i="1" s="1"/>
  <c r="R634" i="1"/>
  <c r="S634" i="1"/>
  <c r="T634" i="1"/>
  <c r="U634" i="1" s="1"/>
  <c r="V634" i="1"/>
  <c r="X634" i="1"/>
  <c r="Y634" i="1" s="1"/>
  <c r="R635" i="1"/>
  <c r="S635" i="1"/>
  <c r="T635" i="1"/>
  <c r="U635" i="1" s="1"/>
  <c r="V635" i="1"/>
  <c r="W635" i="1" s="1"/>
  <c r="X635" i="1"/>
  <c r="Y635" i="1"/>
  <c r="R636" i="1"/>
  <c r="S636" i="1"/>
  <c r="T636" i="1"/>
  <c r="U636" i="1" s="1"/>
  <c r="V636" i="1"/>
  <c r="W636" i="1" s="1"/>
  <c r="X636" i="1"/>
  <c r="Y636" i="1"/>
  <c r="R637" i="1"/>
  <c r="S637" i="1"/>
  <c r="T637" i="1"/>
  <c r="U637" i="1" s="1"/>
  <c r="V637" i="1"/>
  <c r="W637" i="1" s="1"/>
  <c r="X637" i="1"/>
  <c r="Y637" i="1" s="1"/>
  <c r="R638" i="1"/>
  <c r="S638" i="1"/>
  <c r="T638" i="1"/>
  <c r="U638" i="1"/>
  <c r="V638" i="1"/>
  <c r="W638" i="1" s="1"/>
  <c r="X638" i="1"/>
  <c r="Y638" i="1" s="1"/>
  <c r="R639" i="1"/>
  <c r="S639" i="1"/>
  <c r="T639" i="1"/>
  <c r="U639" i="1" s="1"/>
  <c r="V639" i="1"/>
  <c r="W639" i="1" s="1"/>
  <c r="X639" i="1"/>
  <c r="Y639" i="1" s="1"/>
  <c r="R640" i="1"/>
  <c r="S640" i="1"/>
  <c r="T640" i="1"/>
  <c r="U640" i="1" s="1"/>
  <c r="V640" i="1"/>
  <c r="X640" i="1"/>
  <c r="Y640" i="1" s="1"/>
  <c r="R641" i="1"/>
  <c r="S641" i="1"/>
  <c r="T641" i="1"/>
  <c r="U641" i="1" s="1"/>
  <c r="V641" i="1"/>
  <c r="W641" i="1" s="1"/>
  <c r="X641" i="1"/>
  <c r="Y641" i="1" s="1"/>
  <c r="R642" i="1"/>
  <c r="S642" i="1"/>
  <c r="T642" i="1"/>
  <c r="U642" i="1" s="1"/>
  <c r="V642" i="1"/>
  <c r="X642" i="1"/>
  <c r="Y642" i="1"/>
  <c r="R643" i="1"/>
  <c r="S643" i="1"/>
  <c r="T643" i="1"/>
  <c r="U643" i="1"/>
  <c r="V643" i="1"/>
  <c r="W643" i="1" s="1"/>
  <c r="X643" i="1"/>
  <c r="Y643" i="1"/>
  <c r="R644" i="1"/>
  <c r="S644" i="1"/>
  <c r="T644" i="1"/>
  <c r="U644" i="1" s="1"/>
  <c r="V644" i="1"/>
  <c r="X644" i="1"/>
  <c r="Y644" i="1" s="1"/>
  <c r="R645" i="1"/>
  <c r="S645" i="1"/>
  <c r="T645" i="1"/>
  <c r="U645" i="1" s="1"/>
  <c r="V645" i="1"/>
  <c r="W645" i="1" s="1"/>
  <c r="X645" i="1"/>
  <c r="Y645" i="1" s="1"/>
  <c r="R646" i="1"/>
  <c r="S646" i="1"/>
  <c r="T646" i="1"/>
  <c r="U646" i="1" s="1"/>
  <c r="V646" i="1"/>
  <c r="X646" i="1"/>
  <c r="Y646" i="1" s="1"/>
  <c r="S647" i="1"/>
  <c r="T647" i="1"/>
  <c r="U647" i="1" s="1"/>
  <c r="V647" i="1"/>
  <c r="W647" i="1" s="1"/>
  <c r="X647" i="1"/>
  <c r="Y647" i="1" s="1"/>
  <c r="R648" i="1"/>
  <c r="S648" i="1"/>
  <c r="T648" i="1"/>
  <c r="U648" i="1" s="1"/>
  <c r="V648" i="1"/>
  <c r="W648" i="1" s="1"/>
  <c r="X648" i="1"/>
  <c r="Y648" i="1" s="1"/>
  <c r="R649" i="1"/>
  <c r="S649" i="1"/>
  <c r="T649" i="1"/>
  <c r="U649" i="1" s="1"/>
  <c r="V649" i="1"/>
  <c r="W649" i="1" s="1"/>
  <c r="X649" i="1"/>
  <c r="Y649" i="1" s="1"/>
  <c r="R650" i="1"/>
  <c r="S650" i="1"/>
  <c r="T650" i="1"/>
  <c r="U650" i="1" s="1"/>
  <c r="V650" i="1"/>
  <c r="W650" i="1" s="1"/>
  <c r="X650" i="1"/>
  <c r="Y650" i="1" s="1"/>
  <c r="R651" i="1"/>
  <c r="S651" i="1"/>
  <c r="T651" i="1"/>
  <c r="U651" i="1" s="1"/>
  <c r="V651" i="1"/>
  <c r="W651" i="1" s="1"/>
  <c r="X651" i="1"/>
  <c r="Y651" i="1" s="1"/>
  <c r="R652" i="1"/>
  <c r="S652" i="1"/>
  <c r="T652" i="1"/>
  <c r="U652" i="1" s="1"/>
  <c r="V652" i="1"/>
  <c r="W652" i="1" s="1"/>
  <c r="X652" i="1"/>
  <c r="Y652" i="1" s="1"/>
  <c r="R653" i="1"/>
  <c r="S653" i="1"/>
  <c r="T653" i="1"/>
  <c r="U653" i="1" s="1"/>
  <c r="V653" i="1"/>
  <c r="X653" i="1"/>
  <c r="Y653" i="1" s="1"/>
  <c r="R654" i="1"/>
  <c r="S654" i="1"/>
  <c r="T654" i="1"/>
  <c r="U654" i="1"/>
  <c r="V654" i="1"/>
  <c r="W654" i="1" s="1"/>
  <c r="X654" i="1"/>
  <c r="Y654" i="1" s="1"/>
  <c r="R655" i="1"/>
  <c r="S655" i="1"/>
  <c r="T655" i="1"/>
  <c r="U655" i="1"/>
  <c r="V655" i="1"/>
  <c r="X655" i="1"/>
  <c r="Y655" i="1" s="1"/>
  <c r="R656" i="1"/>
  <c r="S656" i="1"/>
  <c r="T656" i="1"/>
  <c r="U656" i="1" s="1"/>
  <c r="V656" i="1"/>
  <c r="W656" i="1" s="1"/>
  <c r="X656" i="1"/>
  <c r="Y656" i="1"/>
  <c r="R657" i="1"/>
  <c r="S657" i="1"/>
  <c r="T657" i="1"/>
  <c r="U657" i="1" s="1"/>
  <c r="V657" i="1"/>
  <c r="X657" i="1"/>
  <c r="Y657" i="1" s="1"/>
  <c r="R658" i="1"/>
  <c r="S658" i="1"/>
  <c r="T658" i="1"/>
  <c r="U658" i="1" s="1"/>
  <c r="V658" i="1"/>
  <c r="W658" i="1" s="1"/>
  <c r="X658" i="1"/>
  <c r="Y658" i="1" s="1"/>
  <c r="R659" i="1"/>
  <c r="S659" i="1"/>
  <c r="T659" i="1"/>
  <c r="U659" i="1" s="1"/>
  <c r="V659" i="1"/>
  <c r="W659" i="1" s="1"/>
  <c r="X659" i="1"/>
  <c r="Y659" i="1" s="1"/>
  <c r="R660" i="1"/>
  <c r="S660" i="1"/>
  <c r="T660" i="1"/>
  <c r="U660" i="1" s="1"/>
  <c r="V660" i="1"/>
  <c r="W660" i="1" s="1"/>
  <c r="X660" i="1"/>
  <c r="Y660" i="1" s="1"/>
  <c r="R661" i="1"/>
  <c r="S661" i="1"/>
  <c r="T661" i="1"/>
  <c r="U661" i="1" s="1"/>
  <c r="V661" i="1"/>
  <c r="W661" i="1" s="1"/>
  <c r="X661" i="1"/>
  <c r="Y661" i="1" s="1"/>
  <c r="R662" i="1"/>
  <c r="S662" i="1"/>
  <c r="T662" i="1"/>
  <c r="U662" i="1"/>
  <c r="V662" i="1"/>
  <c r="W662" i="1" s="1"/>
  <c r="X662" i="1"/>
  <c r="Y662" i="1" s="1"/>
  <c r="R663" i="1"/>
  <c r="S663" i="1"/>
  <c r="T663" i="1"/>
  <c r="U663" i="1" s="1"/>
  <c r="V663" i="1"/>
  <c r="W663" i="1" s="1"/>
  <c r="X663" i="1"/>
  <c r="Y663" i="1" s="1"/>
  <c r="R664" i="1"/>
  <c r="S664" i="1"/>
  <c r="T664" i="1"/>
  <c r="U664" i="1" s="1"/>
  <c r="V664" i="1"/>
  <c r="W664" i="1" s="1"/>
  <c r="X664" i="1"/>
  <c r="Y664" i="1"/>
  <c r="R665" i="1"/>
  <c r="S665" i="1"/>
  <c r="T665" i="1"/>
  <c r="U665" i="1" s="1"/>
  <c r="V665" i="1"/>
  <c r="W665" i="1" s="1"/>
  <c r="X665" i="1"/>
  <c r="Y665" i="1" s="1"/>
  <c r="R666" i="1"/>
  <c r="S666" i="1"/>
  <c r="T666" i="1"/>
  <c r="U666" i="1" s="1"/>
  <c r="V666" i="1"/>
  <c r="X666" i="1"/>
  <c r="Y666" i="1" s="1"/>
  <c r="R667" i="1"/>
  <c r="S667" i="1"/>
  <c r="T667" i="1"/>
  <c r="U667" i="1"/>
  <c r="V667" i="1"/>
  <c r="W667" i="1" s="1"/>
  <c r="X667" i="1"/>
  <c r="Y667" i="1" s="1"/>
  <c r="R668" i="1"/>
  <c r="S668" i="1"/>
  <c r="T668" i="1"/>
  <c r="U668" i="1" s="1"/>
  <c r="V668" i="1"/>
  <c r="W668" i="1" s="1"/>
  <c r="X668" i="1"/>
  <c r="Y668" i="1" s="1"/>
  <c r="R669" i="1"/>
  <c r="S669" i="1"/>
  <c r="T669" i="1"/>
  <c r="U669" i="1" s="1"/>
  <c r="V669" i="1"/>
  <c r="W669" i="1" s="1"/>
  <c r="X669" i="1"/>
  <c r="Y669" i="1" s="1"/>
  <c r="R670" i="1"/>
  <c r="S670" i="1"/>
  <c r="T670" i="1"/>
  <c r="U670" i="1" s="1"/>
  <c r="V670" i="1"/>
  <c r="X670" i="1"/>
  <c r="Y670" i="1" s="1"/>
  <c r="R671" i="1"/>
  <c r="S671" i="1"/>
  <c r="T671" i="1"/>
  <c r="U671" i="1"/>
  <c r="V671" i="1"/>
  <c r="W671" i="1" s="1"/>
  <c r="X671" i="1"/>
  <c r="Y671" i="1" s="1"/>
  <c r="R672" i="1"/>
  <c r="S672" i="1"/>
  <c r="T672" i="1"/>
  <c r="U672" i="1" s="1"/>
  <c r="V672" i="1"/>
  <c r="W672" i="1" s="1"/>
  <c r="X672" i="1"/>
  <c r="Y672" i="1" s="1"/>
  <c r="R673" i="1"/>
  <c r="S673" i="1"/>
  <c r="T673" i="1"/>
  <c r="U673" i="1" s="1"/>
  <c r="V673" i="1"/>
  <c r="X673" i="1"/>
  <c r="Y673" i="1" s="1"/>
  <c r="R674" i="1"/>
  <c r="S674" i="1"/>
  <c r="T674" i="1"/>
  <c r="U674" i="1" s="1"/>
  <c r="V674" i="1"/>
  <c r="X674" i="1"/>
  <c r="Y674" i="1" s="1"/>
  <c r="R675" i="1"/>
  <c r="S675" i="1"/>
  <c r="T675" i="1"/>
  <c r="U675" i="1" s="1"/>
  <c r="V675" i="1"/>
  <c r="X675" i="1"/>
  <c r="Y675" i="1" s="1"/>
  <c r="R676" i="1"/>
  <c r="S676" i="1"/>
  <c r="T676" i="1"/>
  <c r="U676" i="1" s="1"/>
  <c r="V676" i="1"/>
  <c r="W676" i="1" s="1"/>
  <c r="X676" i="1"/>
  <c r="Y676" i="1" s="1"/>
  <c r="R677" i="1"/>
  <c r="S677" i="1"/>
  <c r="T677" i="1"/>
  <c r="U677" i="1" s="1"/>
  <c r="V677" i="1"/>
  <c r="W677" i="1" s="1"/>
  <c r="X677" i="1"/>
  <c r="Y677" i="1" s="1"/>
  <c r="R678" i="1"/>
  <c r="S678" i="1"/>
  <c r="T678" i="1"/>
  <c r="U678" i="1"/>
  <c r="V678" i="1"/>
  <c r="W678" i="1" s="1"/>
  <c r="X678" i="1"/>
  <c r="Y678" i="1" s="1"/>
  <c r="R679" i="1"/>
  <c r="S679" i="1"/>
  <c r="T679" i="1"/>
  <c r="U679" i="1" s="1"/>
  <c r="V679" i="1"/>
  <c r="W679" i="1" s="1"/>
  <c r="X679" i="1"/>
  <c r="Y679" i="1" s="1"/>
  <c r="R680" i="1"/>
  <c r="S680" i="1"/>
  <c r="T680" i="1"/>
  <c r="U680" i="1" s="1"/>
  <c r="V680" i="1"/>
  <c r="W680" i="1" s="1"/>
  <c r="X680" i="1"/>
  <c r="Y680" i="1"/>
  <c r="R681" i="1"/>
  <c r="S681" i="1"/>
  <c r="T681" i="1"/>
  <c r="U681" i="1" s="1"/>
  <c r="V681" i="1"/>
  <c r="W681" i="1" s="1"/>
  <c r="X681" i="1"/>
  <c r="Y681" i="1" s="1"/>
  <c r="R682" i="1"/>
  <c r="S682" i="1"/>
  <c r="T682" i="1"/>
  <c r="U682" i="1"/>
  <c r="V682" i="1"/>
  <c r="X682" i="1"/>
  <c r="Y682" i="1" s="1"/>
  <c r="R683" i="1"/>
  <c r="S683" i="1"/>
  <c r="T683" i="1"/>
  <c r="U683" i="1" s="1"/>
  <c r="V683" i="1"/>
  <c r="X683" i="1"/>
  <c r="Y683" i="1" s="1"/>
  <c r="R684" i="1"/>
  <c r="S684" i="1"/>
  <c r="T684" i="1"/>
  <c r="U684" i="1" s="1"/>
  <c r="V684" i="1"/>
  <c r="W684" i="1" s="1"/>
  <c r="X684" i="1"/>
  <c r="Y684" i="1" s="1"/>
  <c r="S685" i="1"/>
  <c r="T685" i="1"/>
  <c r="U685" i="1" s="1"/>
  <c r="V685" i="1"/>
  <c r="W685" i="1" s="1"/>
  <c r="X685" i="1"/>
  <c r="Y685" i="1" s="1"/>
  <c r="R686" i="1"/>
  <c r="S686" i="1"/>
  <c r="T686" i="1"/>
  <c r="U686" i="1" s="1"/>
  <c r="V686" i="1"/>
  <c r="W686" i="1" s="1"/>
  <c r="X686" i="1"/>
  <c r="Y686" i="1" s="1"/>
  <c r="R687" i="1"/>
  <c r="S687" i="1"/>
  <c r="T687" i="1"/>
  <c r="U687" i="1" s="1"/>
  <c r="V687" i="1"/>
  <c r="W687" i="1" s="1"/>
  <c r="X687" i="1"/>
  <c r="Y687" i="1"/>
  <c r="R688" i="1"/>
  <c r="S688" i="1"/>
  <c r="T688" i="1"/>
  <c r="U688" i="1" s="1"/>
  <c r="V688" i="1"/>
  <c r="W688" i="1" s="1"/>
  <c r="X688" i="1"/>
  <c r="Y688" i="1" s="1"/>
  <c r="R689" i="1"/>
  <c r="S689" i="1"/>
  <c r="T689" i="1"/>
  <c r="U689" i="1" s="1"/>
  <c r="V689" i="1"/>
  <c r="W689" i="1" s="1"/>
  <c r="X689" i="1"/>
  <c r="Y689" i="1" s="1"/>
  <c r="R690" i="1"/>
  <c r="S690" i="1"/>
  <c r="T690" i="1"/>
  <c r="U690" i="1" s="1"/>
  <c r="V690" i="1"/>
  <c r="W690" i="1" s="1"/>
  <c r="X690" i="1"/>
  <c r="Y690" i="1" s="1"/>
  <c r="R691" i="1"/>
  <c r="S691" i="1"/>
  <c r="T691" i="1"/>
  <c r="U691" i="1" s="1"/>
  <c r="V691" i="1"/>
  <c r="X691" i="1"/>
  <c r="Y691" i="1" s="1"/>
  <c r="R692" i="1"/>
  <c r="S692" i="1"/>
  <c r="T692" i="1"/>
  <c r="U692" i="1" s="1"/>
  <c r="V692" i="1"/>
  <c r="W692" i="1" s="1"/>
  <c r="X692" i="1"/>
  <c r="Y692" i="1" s="1"/>
  <c r="R693" i="1"/>
  <c r="S693" i="1"/>
  <c r="T693" i="1"/>
  <c r="U693" i="1" s="1"/>
  <c r="V693" i="1"/>
  <c r="W693" i="1" s="1"/>
  <c r="X693" i="1"/>
  <c r="Y693" i="1" s="1"/>
  <c r="R694" i="1"/>
  <c r="S694" i="1"/>
  <c r="T694" i="1"/>
  <c r="U694" i="1" s="1"/>
  <c r="V694" i="1"/>
  <c r="W694" i="1" s="1"/>
  <c r="X694" i="1"/>
  <c r="Y694" i="1" s="1"/>
  <c r="R695" i="1"/>
  <c r="S695" i="1"/>
  <c r="T695" i="1"/>
  <c r="U695" i="1" s="1"/>
  <c r="V695" i="1"/>
  <c r="W695" i="1" s="1"/>
  <c r="X695" i="1"/>
  <c r="Y695" i="1"/>
  <c r="R696" i="1"/>
  <c r="S696" i="1"/>
  <c r="T696" i="1"/>
  <c r="U696" i="1" s="1"/>
  <c r="V696" i="1"/>
  <c r="W696" i="1" s="1"/>
  <c r="X696" i="1"/>
  <c r="Y696" i="1"/>
  <c r="R697" i="1"/>
  <c r="S697" i="1"/>
  <c r="T697" i="1"/>
  <c r="U697" i="1" s="1"/>
  <c r="V697" i="1"/>
  <c r="W697" i="1" s="1"/>
  <c r="X697" i="1"/>
  <c r="Y697" i="1" s="1"/>
  <c r="R698" i="1"/>
  <c r="S698" i="1"/>
  <c r="T698" i="1"/>
  <c r="U698" i="1" s="1"/>
  <c r="V698" i="1"/>
  <c r="W698" i="1" s="1"/>
  <c r="X698" i="1"/>
  <c r="Y698" i="1" s="1"/>
  <c r="S699" i="1"/>
  <c r="T699" i="1"/>
  <c r="U699" i="1" s="1"/>
  <c r="V699" i="1"/>
  <c r="W699" i="1" s="1"/>
  <c r="X699" i="1"/>
  <c r="Y699" i="1"/>
  <c r="R700" i="1"/>
  <c r="S700" i="1"/>
  <c r="T700" i="1"/>
  <c r="U700" i="1" s="1"/>
  <c r="V700" i="1"/>
  <c r="W700" i="1" s="1"/>
  <c r="X700" i="1"/>
  <c r="Y700" i="1" s="1"/>
  <c r="R701" i="1"/>
  <c r="S701" i="1"/>
  <c r="T701" i="1"/>
  <c r="U701" i="1" s="1"/>
  <c r="V701" i="1"/>
  <c r="W701" i="1" s="1"/>
  <c r="X701" i="1"/>
  <c r="Y701" i="1"/>
  <c r="R702" i="1"/>
  <c r="S702" i="1"/>
  <c r="T702" i="1"/>
  <c r="U702" i="1"/>
  <c r="V702" i="1"/>
  <c r="X702" i="1"/>
  <c r="Y702" i="1" s="1"/>
  <c r="R703" i="1"/>
  <c r="S703" i="1"/>
  <c r="T703" i="1"/>
  <c r="U703" i="1" s="1"/>
  <c r="V703" i="1"/>
  <c r="W703" i="1" s="1"/>
  <c r="X703" i="1"/>
  <c r="Y703" i="1" s="1"/>
  <c r="R704" i="1"/>
  <c r="S704" i="1"/>
  <c r="T704" i="1"/>
  <c r="U704" i="1" s="1"/>
  <c r="V704" i="1"/>
  <c r="X704" i="1"/>
  <c r="Y704" i="1" s="1"/>
  <c r="R705" i="1"/>
  <c r="S705" i="1"/>
  <c r="T705" i="1"/>
  <c r="U705" i="1" s="1"/>
  <c r="V705" i="1"/>
  <c r="X705" i="1"/>
  <c r="Y705" i="1" s="1"/>
  <c r="R706" i="1"/>
  <c r="S706" i="1"/>
  <c r="T706" i="1"/>
  <c r="U706" i="1" s="1"/>
  <c r="V706" i="1"/>
  <c r="W706" i="1" s="1"/>
  <c r="X706" i="1"/>
  <c r="Y706" i="1" s="1"/>
  <c r="R707" i="1"/>
  <c r="S707" i="1"/>
  <c r="T707" i="1"/>
  <c r="U707" i="1" s="1"/>
  <c r="V707" i="1"/>
  <c r="X707" i="1"/>
  <c r="Y707" i="1" s="1"/>
  <c r="R708" i="1"/>
  <c r="S708" i="1"/>
  <c r="T708" i="1"/>
  <c r="U708" i="1" s="1"/>
  <c r="V708" i="1"/>
  <c r="W708" i="1" s="1"/>
  <c r="X708" i="1"/>
  <c r="Y708" i="1" s="1"/>
  <c r="R709" i="1"/>
  <c r="S709" i="1"/>
  <c r="T709" i="1"/>
  <c r="U709" i="1"/>
  <c r="V709" i="1"/>
  <c r="W709" i="1" s="1"/>
  <c r="X709" i="1"/>
  <c r="Y709" i="1" s="1"/>
  <c r="R710" i="1"/>
  <c r="S710" i="1"/>
  <c r="T710" i="1"/>
  <c r="U710" i="1" s="1"/>
  <c r="V710" i="1"/>
  <c r="X710" i="1"/>
  <c r="Y710" i="1" s="1"/>
  <c r="R711" i="1"/>
  <c r="S711" i="1"/>
  <c r="T711" i="1"/>
  <c r="U711" i="1" s="1"/>
  <c r="V711" i="1"/>
  <c r="W711" i="1" s="1"/>
  <c r="X711" i="1"/>
  <c r="Y711" i="1" s="1"/>
  <c r="R712" i="1"/>
  <c r="S712" i="1"/>
  <c r="T712" i="1"/>
  <c r="U712" i="1" s="1"/>
  <c r="V712" i="1"/>
  <c r="W712" i="1" s="1"/>
  <c r="X712" i="1"/>
  <c r="Y712" i="1" s="1"/>
  <c r="R713" i="1"/>
  <c r="S713" i="1"/>
  <c r="T713" i="1"/>
  <c r="U713" i="1" s="1"/>
  <c r="V713" i="1"/>
  <c r="W713" i="1" s="1"/>
  <c r="X713" i="1"/>
  <c r="Y713" i="1" s="1"/>
  <c r="R714" i="1"/>
  <c r="S714" i="1"/>
  <c r="T714" i="1"/>
  <c r="U714" i="1" s="1"/>
  <c r="V714" i="1"/>
  <c r="W714" i="1" s="1"/>
  <c r="X714" i="1"/>
  <c r="Y714" i="1" s="1"/>
  <c r="R715" i="1"/>
  <c r="S715" i="1"/>
  <c r="T715" i="1"/>
  <c r="U715" i="1" s="1"/>
  <c r="V715" i="1"/>
  <c r="W715" i="1" s="1"/>
  <c r="X715" i="1"/>
  <c r="Y715" i="1" s="1"/>
  <c r="R716" i="1"/>
  <c r="S716" i="1"/>
  <c r="T716" i="1"/>
  <c r="U716" i="1" s="1"/>
  <c r="V716" i="1"/>
  <c r="W716" i="1" s="1"/>
  <c r="X716" i="1"/>
  <c r="Y716" i="1" s="1"/>
  <c r="R717" i="1"/>
  <c r="S717" i="1"/>
  <c r="T717" i="1"/>
  <c r="U717" i="1"/>
  <c r="V717" i="1"/>
  <c r="W717" i="1" s="1"/>
  <c r="X717" i="1"/>
  <c r="Y717" i="1" s="1"/>
  <c r="S718" i="1"/>
  <c r="T718" i="1"/>
  <c r="U718" i="1" s="1"/>
  <c r="V718" i="1"/>
  <c r="W718" i="1" s="1"/>
  <c r="X718" i="1"/>
  <c r="Y718" i="1" s="1"/>
  <c r="R719" i="1"/>
  <c r="S719" i="1"/>
  <c r="T719" i="1"/>
  <c r="U719" i="1"/>
  <c r="V719" i="1"/>
  <c r="W719" i="1" s="1"/>
  <c r="X719" i="1"/>
  <c r="Y719" i="1" s="1"/>
  <c r="R720" i="1"/>
  <c r="S720" i="1"/>
  <c r="T720" i="1"/>
  <c r="U720" i="1" s="1"/>
  <c r="V720" i="1"/>
  <c r="W720" i="1" s="1"/>
  <c r="X720" i="1"/>
  <c r="Y720" i="1" s="1"/>
  <c r="R721" i="1"/>
  <c r="S721" i="1"/>
  <c r="T721" i="1"/>
  <c r="U721" i="1" s="1"/>
  <c r="V721" i="1"/>
  <c r="W721" i="1" s="1"/>
  <c r="X721" i="1"/>
  <c r="Y721" i="1" s="1"/>
  <c r="R722" i="1"/>
  <c r="S722" i="1"/>
  <c r="T722" i="1"/>
  <c r="U722" i="1"/>
  <c r="V722" i="1"/>
  <c r="W722" i="1" s="1"/>
  <c r="X722" i="1"/>
  <c r="Y722" i="1" s="1"/>
  <c r="R723" i="1"/>
  <c r="S723" i="1"/>
  <c r="T723" i="1"/>
  <c r="U723" i="1" s="1"/>
  <c r="V723" i="1"/>
  <c r="W723" i="1" s="1"/>
  <c r="X723" i="1"/>
  <c r="Y723" i="1" s="1"/>
  <c r="R724" i="1"/>
  <c r="S724" i="1"/>
  <c r="T724" i="1"/>
  <c r="U724" i="1" s="1"/>
  <c r="V724" i="1"/>
  <c r="X724" i="1"/>
  <c r="Y724" i="1" s="1"/>
  <c r="R725" i="1"/>
  <c r="S725" i="1"/>
  <c r="T725" i="1"/>
  <c r="U725" i="1"/>
  <c r="V725" i="1"/>
  <c r="W725" i="1" s="1"/>
  <c r="X725" i="1"/>
  <c r="Y725" i="1" s="1"/>
  <c r="R726" i="1"/>
  <c r="S726" i="1"/>
  <c r="T726" i="1"/>
  <c r="U726" i="1" s="1"/>
  <c r="V726" i="1"/>
  <c r="W726" i="1" s="1"/>
  <c r="X726" i="1"/>
  <c r="Y726" i="1"/>
  <c r="R727" i="1"/>
  <c r="S727" i="1"/>
  <c r="T727" i="1"/>
  <c r="U727" i="1" s="1"/>
  <c r="V727" i="1"/>
  <c r="X727" i="1"/>
  <c r="Y727" i="1" s="1"/>
  <c r="R728" i="1"/>
  <c r="S728" i="1"/>
  <c r="T728" i="1"/>
  <c r="U728" i="1" s="1"/>
  <c r="V728" i="1"/>
  <c r="W728" i="1" s="1"/>
  <c r="X728" i="1"/>
  <c r="Y728" i="1" s="1"/>
  <c r="S729" i="1"/>
  <c r="T729" i="1"/>
  <c r="U729" i="1" s="1"/>
  <c r="V729" i="1"/>
  <c r="W729" i="1" s="1"/>
  <c r="X729" i="1"/>
  <c r="Y729" i="1" s="1"/>
  <c r="R730" i="1"/>
  <c r="S730" i="1"/>
  <c r="T730" i="1"/>
  <c r="U730" i="1"/>
  <c r="V730" i="1"/>
  <c r="W730" i="1" s="1"/>
  <c r="X730" i="1"/>
  <c r="Y730" i="1" s="1"/>
  <c r="R731" i="1"/>
  <c r="S731" i="1"/>
  <c r="T731" i="1"/>
  <c r="U731" i="1" s="1"/>
  <c r="V731" i="1"/>
  <c r="W731" i="1" s="1"/>
  <c r="X731" i="1"/>
  <c r="Y731" i="1" s="1"/>
  <c r="R732" i="1"/>
  <c r="S732" i="1"/>
  <c r="T732" i="1"/>
  <c r="U732" i="1" s="1"/>
  <c r="V732" i="1"/>
  <c r="W732" i="1" s="1"/>
  <c r="X732" i="1"/>
  <c r="Y732" i="1" s="1"/>
  <c r="R733" i="1"/>
  <c r="S733" i="1"/>
  <c r="T733" i="1"/>
  <c r="U733" i="1" s="1"/>
  <c r="V733" i="1"/>
  <c r="W733" i="1" s="1"/>
  <c r="X733" i="1"/>
  <c r="Y733" i="1" s="1"/>
  <c r="R734" i="1"/>
  <c r="S734" i="1"/>
  <c r="T734" i="1"/>
  <c r="U734" i="1" s="1"/>
  <c r="V734" i="1"/>
  <c r="W734" i="1" s="1"/>
  <c r="X734" i="1"/>
  <c r="Y734" i="1" s="1"/>
  <c r="S735" i="1"/>
  <c r="T735" i="1"/>
  <c r="U735" i="1" s="1"/>
  <c r="V735" i="1"/>
  <c r="W735" i="1" s="1"/>
  <c r="X735" i="1"/>
  <c r="Y735" i="1"/>
  <c r="R736" i="1"/>
  <c r="S736" i="1"/>
  <c r="T736" i="1"/>
  <c r="U736" i="1" s="1"/>
  <c r="V736" i="1"/>
  <c r="W736" i="1" s="1"/>
  <c r="X736" i="1"/>
  <c r="Y736" i="1"/>
  <c r="R737" i="1"/>
  <c r="S737" i="1"/>
  <c r="T737" i="1"/>
  <c r="U737" i="1" s="1"/>
  <c r="V737" i="1"/>
  <c r="W737" i="1" s="1"/>
  <c r="X737" i="1"/>
  <c r="Y737" i="1" s="1"/>
  <c r="R738" i="1"/>
  <c r="S738" i="1"/>
  <c r="T738" i="1"/>
  <c r="U738" i="1" s="1"/>
  <c r="V738" i="1"/>
  <c r="W738" i="1" s="1"/>
  <c r="X738" i="1"/>
  <c r="Y738" i="1" s="1"/>
  <c r="R739" i="1"/>
  <c r="S739" i="1"/>
  <c r="T739" i="1"/>
  <c r="U739" i="1" s="1"/>
  <c r="V739" i="1"/>
  <c r="W739" i="1" s="1"/>
  <c r="X739" i="1"/>
  <c r="Y739" i="1" s="1"/>
  <c r="R740" i="1"/>
  <c r="S740" i="1"/>
  <c r="T740" i="1"/>
  <c r="U740" i="1" s="1"/>
  <c r="V740" i="1"/>
  <c r="W740" i="1" s="1"/>
  <c r="X740" i="1"/>
  <c r="Y740" i="1" s="1"/>
  <c r="S741" i="1"/>
  <c r="T741" i="1"/>
  <c r="U741" i="1" s="1"/>
  <c r="V741" i="1"/>
  <c r="W741" i="1" s="1"/>
  <c r="X741" i="1"/>
  <c r="Y741" i="1" s="1"/>
  <c r="R742" i="1"/>
  <c r="S742" i="1"/>
  <c r="T742" i="1"/>
  <c r="U742" i="1" s="1"/>
  <c r="V742" i="1"/>
  <c r="W742" i="1" s="1"/>
  <c r="X742" i="1"/>
  <c r="Y742" i="1" s="1"/>
  <c r="R743" i="1"/>
  <c r="S743" i="1"/>
  <c r="T743" i="1"/>
  <c r="U743" i="1" s="1"/>
  <c r="V743" i="1"/>
  <c r="W743" i="1" s="1"/>
  <c r="X743" i="1"/>
  <c r="Y743" i="1" s="1"/>
  <c r="R744" i="1"/>
  <c r="S744" i="1"/>
  <c r="T744" i="1"/>
  <c r="U744" i="1" s="1"/>
  <c r="V744" i="1"/>
  <c r="W744" i="1" s="1"/>
  <c r="X744" i="1"/>
  <c r="Y744" i="1" s="1"/>
  <c r="R745" i="1"/>
  <c r="S745" i="1"/>
  <c r="T745" i="1"/>
  <c r="U745" i="1" s="1"/>
  <c r="V745" i="1"/>
  <c r="W745" i="1" s="1"/>
  <c r="X745" i="1"/>
  <c r="Y745" i="1" s="1"/>
  <c r="R746" i="1"/>
  <c r="S746" i="1"/>
  <c r="T746" i="1"/>
  <c r="U746" i="1" s="1"/>
  <c r="V746" i="1"/>
  <c r="W746" i="1" s="1"/>
  <c r="X746" i="1"/>
  <c r="Y746" i="1" s="1"/>
  <c r="R747" i="1"/>
  <c r="S747" i="1"/>
  <c r="T747" i="1"/>
  <c r="U747" i="1"/>
  <c r="V747" i="1"/>
  <c r="W747" i="1" s="1"/>
  <c r="X747" i="1"/>
  <c r="Y747" i="1"/>
  <c r="R748" i="1"/>
  <c r="S748" i="1"/>
  <c r="T748" i="1"/>
  <c r="U748" i="1" s="1"/>
  <c r="V748" i="1"/>
  <c r="W748" i="1" s="1"/>
  <c r="X748" i="1"/>
  <c r="Y748" i="1" s="1"/>
  <c r="R749" i="1"/>
  <c r="S749" i="1"/>
  <c r="T749" i="1"/>
  <c r="U749" i="1" s="1"/>
  <c r="V749" i="1"/>
  <c r="W749" i="1" s="1"/>
  <c r="X749" i="1"/>
  <c r="Y749" i="1" s="1"/>
  <c r="R750" i="1"/>
  <c r="S750" i="1"/>
  <c r="T750" i="1"/>
  <c r="U750" i="1" s="1"/>
  <c r="V750" i="1"/>
  <c r="W750" i="1" s="1"/>
  <c r="X750" i="1"/>
  <c r="Y750" i="1" s="1"/>
  <c r="R751" i="1"/>
  <c r="S751" i="1"/>
  <c r="T751" i="1"/>
  <c r="U751" i="1" s="1"/>
  <c r="V751" i="1"/>
  <c r="W751" i="1" s="1"/>
  <c r="X751" i="1"/>
  <c r="Y751" i="1" s="1"/>
  <c r="R752" i="1"/>
  <c r="S752" i="1"/>
  <c r="T752" i="1"/>
  <c r="U752" i="1" s="1"/>
  <c r="V752" i="1"/>
  <c r="W752" i="1" s="1"/>
  <c r="X752" i="1"/>
  <c r="Y752" i="1"/>
  <c r="R753" i="1"/>
  <c r="S753" i="1"/>
  <c r="T753" i="1"/>
  <c r="U753" i="1" s="1"/>
  <c r="V753" i="1"/>
  <c r="W753" i="1" s="1"/>
  <c r="X753" i="1"/>
  <c r="Y753" i="1" s="1"/>
  <c r="R754" i="1"/>
  <c r="S754" i="1"/>
  <c r="T754" i="1"/>
  <c r="U754" i="1" s="1"/>
  <c r="V754" i="1"/>
  <c r="X754" i="1"/>
  <c r="Y754" i="1" s="1"/>
  <c r="R755" i="1"/>
  <c r="S755" i="1"/>
  <c r="T755" i="1"/>
  <c r="U755" i="1" s="1"/>
  <c r="V755" i="1"/>
  <c r="W755" i="1" s="1"/>
  <c r="X755" i="1"/>
  <c r="Y755" i="1" s="1"/>
  <c r="R756" i="1"/>
  <c r="S756" i="1"/>
  <c r="T756" i="1"/>
  <c r="U756" i="1" s="1"/>
  <c r="V756" i="1"/>
  <c r="W756" i="1" s="1"/>
  <c r="X756" i="1"/>
  <c r="Y756" i="1" s="1"/>
  <c r="R757" i="1"/>
  <c r="S757" i="1"/>
  <c r="T757" i="1"/>
  <c r="U757" i="1" s="1"/>
  <c r="V757" i="1"/>
  <c r="W757" i="1" s="1"/>
  <c r="X757" i="1"/>
  <c r="Y757" i="1" s="1"/>
  <c r="R758" i="1"/>
  <c r="S758" i="1"/>
  <c r="T758" i="1"/>
  <c r="U758" i="1" s="1"/>
  <c r="V758" i="1"/>
  <c r="W758" i="1" s="1"/>
  <c r="X758" i="1"/>
  <c r="Y758" i="1" s="1"/>
  <c r="R759" i="1"/>
  <c r="S759" i="1"/>
  <c r="T759" i="1"/>
  <c r="U759" i="1" s="1"/>
  <c r="V759" i="1"/>
  <c r="W759" i="1" s="1"/>
  <c r="X759" i="1"/>
  <c r="Y759" i="1" s="1"/>
  <c r="R760" i="1"/>
  <c r="S760" i="1"/>
  <c r="T760" i="1"/>
  <c r="U760" i="1" s="1"/>
  <c r="V760" i="1"/>
  <c r="W760" i="1" s="1"/>
  <c r="X760" i="1"/>
  <c r="Y760" i="1" s="1"/>
  <c r="R761" i="1"/>
  <c r="S761" i="1"/>
  <c r="T761" i="1"/>
  <c r="U761" i="1" s="1"/>
  <c r="V761" i="1"/>
  <c r="W761" i="1" s="1"/>
  <c r="X761" i="1"/>
  <c r="Y761" i="1" s="1"/>
  <c r="S762" i="1"/>
  <c r="T762" i="1"/>
  <c r="U762" i="1" s="1"/>
  <c r="V762" i="1"/>
  <c r="W762" i="1" s="1"/>
  <c r="X762" i="1"/>
  <c r="Y762" i="1"/>
  <c r="R763" i="1"/>
  <c r="S763" i="1"/>
  <c r="T763" i="1"/>
  <c r="U763" i="1" s="1"/>
  <c r="V763" i="1"/>
  <c r="W763" i="1" s="1"/>
  <c r="X763" i="1"/>
  <c r="Y763" i="1"/>
  <c r="R764" i="1"/>
  <c r="S764" i="1"/>
  <c r="T764" i="1"/>
  <c r="U764" i="1" s="1"/>
  <c r="V764" i="1"/>
  <c r="W764" i="1" s="1"/>
  <c r="X764" i="1"/>
  <c r="Y764" i="1" s="1"/>
  <c r="R765" i="1"/>
  <c r="S765" i="1"/>
  <c r="T765" i="1"/>
  <c r="U765" i="1" s="1"/>
  <c r="V765" i="1"/>
  <c r="W765" i="1" s="1"/>
  <c r="X765" i="1"/>
  <c r="Y765" i="1" s="1"/>
  <c r="R766" i="1"/>
  <c r="S766" i="1"/>
  <c r="T766" i="1"/>
  <c r="U766" i="1" s="1"/>
  <c r="V766" i="1"/>
  <c r="W766" i="1" s="1"/>
  <c r="X766" i="1"/>
  <c r="Y766" i="1" s="1"/>
  <c r="R767" i="1"/>
  <c r="S767" i="1"/>
  <c r="T767" i="1"/>
  <c r="U767" i="1" s="1"/>
  <c r="V767" i="1"/>
  <c r="W767" i="1" s="1"/>
  <c r="X767" i="1"/>
  <c r="Y767" i="1" s="1"/>
  <c r="R768" i="1"/>
  <c r="S768" i="1"/>
  <c r="T768" i="1"/>
  <c r="U768" i="1" s="1"/>
  <c r="V768" i="1"/>
  <c r="W768" i="1" s="1"/>
  <c r="X768" i="1"/>
  <c r="Y768" i="1" s="1"/>
  <c r="R769" i="1"/>
  <c r="S769" i="1"/>
  <c r="T769" i="1"/>
  <c r="U769" i="1" s="1"/>
  <c r="V769" i="1"/>
  <c r="W769" i="1" s="1"/>
  <c r="X769" i="1"/>
  <c r="Y769" i="1" s="1"/>
  <c r="R770" i="1"/>
  <c r="S770" i="1"/>
  <c r="T770" i="1"/>
  <c r="U770" i="1" s="1"/>
  <c r="V770" i="1"/>
  <c r="W770" i="1" s="1"/>
  <c r="X770" i="1"/>
  <c r="Y770" i="1" s="1"/>
  <c r="R771" i="1"/>
  <c r="S771" i="1"/>
  <c r="T771" i="1"/>
  <c r="U771" i="1" s="1"/>
  <c r="V771" i="1"/>
  <c r="X771" i="1"/>
  <c r="Y771" i="1"/>
  <c r="R772" i="1"/>
  <c r="S772" i="1"/>
  <c r="T772" i="1"/>
  <c r="U772" i="1" s="1"/>
  <c r="V772" i="1"/>
  <c r="W772" i="1" s="1"/>
  <c r="X772" i="1"/>
  <c r="Y772" i="1"/>
  <c r="R773" i="1"/>
  <c r="S773" i="1"/>
  <c r="T773" i="1"/>
  <c r="U773" i="1" s="1"/>
  <c r="V773" i="1"/>
  <c r="W773" i="1" s="1"/>
  <c r="X773" i="1"/>
  <c r="Y773" i="1" s="1"/>
  <c r="R774" i="1"/>
  <c r="S774" i="1"/>
  <c r="T774" i="1"/>
  <c r="U774" i="1" s="1"/>
  <c r="V774" i="1"/>
  <c r="X774" i="1"/>
  <c r="Y774" i="1"/>
  <c r="R775" i="1"/>
  <c r="S775" i="1"/>
  <c r="T775" i="1"/>
  <c r="U775" i="1" s="1"/>
  <c r="V775" i="1"/>
  <c r="W775" i="1" s="1"/>
  <c r="X775" i="1"/>
  <c r="Y775" i="1" s="1"/>
  <c r="R776" i="1"/>
  <c r="S776" i="1"/>
  <c r="T776" i="1"/>
  <c r="U776" i="1" s="1"/>
  <c r="V776" i="1"/>
  <c r="W776" i="1" s="1"/>
  <c r="X776" i="1"/>
  <c r="Y776" i="1" s="1"/>
  <c r="R777" i="1"/>
  <c r="S777" i="1"/>
  <c r="T777" i="1"/>
  <c r="U777" i="1" s="1"/>
  <c r="V777" i="1"/>
  <c r="W777" i="1" s="1"/>
  <c r="X777" i="1"/>
  <c r="Y777" i="1" s="1"/>
  <c r="R778" i="1"/>
  <c r="S778" i="1"/>
  <c r="T778" i="1"/>
  <c r="U778" i="1" s="1"/>
  <c r="V778" i="1"/>
  <c r="W778" i="1" s="1"/>
  <c r="X778" i="1"/>
  <c r="Y778" i="1" s="1"/>
  <c r="R779" i="1"/>
  <c r="S779" i="1"/>
  <c r="T779" i="1"/>
  <c r="U779" i="1" s="1"/>
  <c r="V779" i="1"/>
  <c r="W779" i="1" s="1"/>
  <c r="X779" i="1"/>
  <c r="Y779" i="1" s="1"/>
  <c r="R780" i="1"/>
  <c r="S780" i="1"/>
  <c r="T780" i="1"/>
  <c r="U780" i="1" s="1"/>
  <c r="V780" i="1"/>
  <c r="W780" i="1" s="1"/>
  <c r="X780" i="1"/>
  <c r="Y780" i="1" s="1"/>
  <c r="R781" i="1"/>
  <c r="S781" i="1"/>
  <c r="T781" i="1"/>
  <c r="U781" i="1" s="1"/>
  <c r="V781" i="1"/>
  <c r="W781" i="1" s="1"/>
  <c r="X781" i="1"/>
  <c r="Y781" i="1" s="1"/>
  <c r="R782" i="1"/>
  <c r="S782" i="1"/>
  <c r="T782" i="1"/>
  <c r="U782" i="1" s="1"/>
  <c r="V782" i="1"/>
  <c r="W782" i="1" s="1"/>
  <c r="X782" i="1"/>
  <c r="Y782" i="1"/>
  <c r="R783" i="1"/>
  <c r="S783" i="1"/>
  <c r="T783" i="1"/>
  <c r="U783" i="1" s="1"/>
  <c r="V783" i="1"/>
  <c r="W783" i="1" s="1"/>
  <c r="X783" i="1"/>
  <c r="Y783" i="1" s="1"/>
  <c r="R784" i="1"/>
  <c r="S784" i="1"/>
  <c r="T784" i="1"/>
  <c r="U784" i="1" s="1"/>
  <c r="V784" i="1"/>
  <c r="W784" i="1" s="1"/>
  <c r="X784" i="1"/>
  <c r="Y784" i="1" s="1"/>
  <c r="R785" i="1"/>
  <c r="S785" i="1"/>
  <c r="T785" i="1"/>
  <c r="U785" i="1" s="1"/>
  <c r="V785" i="1"/>
  <c r="W785" i="1" s="1"/>
  <c r="X785" i="1"/>
  <c r="Y785" i="1" s="1"/>
  <c r="R786" i="1"/>
  <c r="S786" i="1"/>
  <c r="T786" i="1"/>
  <c r="U786" i="1"/>
  <c r="V786" i="1"/>
  <c r="W786" i="1" s="1"/>
  <c r="X786" i="1"/>
  <c r="Y786" i="1"/>
  <c r="R787" i="1"/>
  <c r="S787" i="1"/>
  <c r="T787" i="1"/>
  <c r="U787" i="1" s="1"/>
  <c r="V787" i="1"/>
  <c r="W787" i="1" s="1"/>
  <c r="X787" i="1"/>
  <c r="Y787" i="1" s="1"/>
  <c r="R788" i="1"/>
  <c r="S788" i="1"/>
  <c r="T788" i="1"/>
  <c r="U788" i="1" s="1"/>
  <c r="V788" i="1"/>
  <c r="W788" i="1" s="1"/>
  <c r="X788" i="1"/>
  <c r="Y788" i="1" s="1"/>
  <c r="R789" i="1"/>
  <c r="S789" i="1"/>
  <c r="T789" i="1"/>
  <c r="U789" i="1" s="1"/>
  <c r="V789" i="1"/>
  <c r="W789" i="1" s="1"/>
  <c r="X789" i="1"/>
  <c r="Y789" i="1" s="1"/>
  <c r="R790" i="1"/>
  <c r="S790" i="1"/>
  <c r="T790" i="1"/>
  <c r="U790" i="1" s="1"/>
  <c r="V790" i="1"/>
  <c r="W790" i="1" s="1"/>
  <c r="X790" i="1"/>
  <c r="Y790" i="1" s="1"/>
  <c r="R791" i="1"/>
  <c r="S791" i="1"/>
  <c r="T791" i="1"/>
  <c r="U791" i="1" s="1"/>
  <c r="V791" i="1"/>
  <c r="W791" i="1" s="1"/>
  <c r="X791" i="1"/>
  <c r="Y791" i="1" s="1"/>
  <c r="R792" i="1"/>
  <c r="S792" i="1"/>
  <c r="T792" i="1"/>
  <c r="U792" i="1" s="1"/>
  <c r="V792" i="1"/>
  <c r="W792" i="1" s="1"/>
  <c r="X792" i="1"/>
  <c r="Y792" i="1" s="1"/>
  <c r="R793" i="1"/>
  <c r="S793" i="1"/>
  <c r="T793" i="1"/>
  <c r="U793" i="1" s="1"/>
  <c r="V793" i="1"/>
  <c r="W793" i="1" s="1"/>
  <c r="X793" i="1"/>
  <c r="Y793" i="1" s="1"/>
  <c r="R794" i="1"/>
  <c r="S794" i="1"/>
  <c r="T794" i="1"/>
  <c r="U794" i="1" s="1"/>
  <c r="V794" i="1"/>
  <c r="W794" i="1" s="1"/>
  <c r="X794" i="1"/>
  <c r="Y794" i="1" s="1"/>
  <c r="R795" i="1"/>
  <c r="S795" i="1"/>
  <c r="T795" i="1"/>
  <c r="U795" i="1"/>
  <c r="V795" i="1"/>
  <c r="W795" i="1" s="1"/>
  <c r="X795" i="1"/>
  <c r="Y795" i="1" s="1"/>
  <c r="R796" i="1"/>
  <c r="S796" i="1"/>
  <c r="T796" i="1"/>
  <c r="U796" i="1" s="1"/>
  <c r="V796" i="1"/>
  <c r="W796" i="1" s="1"/>
  <c r="X796" i="1"/>
  <c r="Y796" i="1" s="1"/>
  <c r="R797" i="1"/>
  <c r="S797" i="1"/>
  <c r="T797" i="1"/>
  <c r="U797" i="1" s="1"/>
  <c r="V797" i="1"/>
  <c r="W797" i="1" s="1"/>
  <c r="X797" i="1"/>
  <c r="Y797" i="1" s="1"/>
  <c r="R798" i="1"/>
  <c r="S798" i="1"/>
  <c r="T798" i="1"/>
  <c r="U798" i="1" s="1"/>
  <c r="V798" i="1"/>
  <c r="W798" i="1" s="1"/>
  <c r="X798" i="1"/>
  <c r="Y798" i="1" s="1"/>
  <c r="R799" i="1"/>
  <c r="S799" i="1"/>
  <c r="T799" i="1"/>
  <c r="U799" i="1" s="1"/>
  <c r="V799" i="1"/>
  <c r="W799" i="1" s="1"/>
  <c r="X799" i="1"/>
  <c r="Y799" i="1"/>
  <c r="R800" i="1"/>
  <c r="S800" i="1"/>
  <c r="T800" i="1"/>
  <c r="U800" i="1" s="1"/>
  <c r="V800" i="1"/>
  <c r="W800" i="1" s="1"/>
  <c r="X800" i="1"/>
  <c r="Y800" i="1" s="1"/>
  <c r="R801" i="1"/>
  <c r="S801" i="1"/>
  <c r="T801" i="1"/>
  <c r="U801" i="1" s="1"/>
  <c r="V801" i="1"/>
  <c r="W801" i="1" s="1"/>
  <c r="X801" i="1"/>
  <c r="Y801" i="1" s="1"/>
  <c r="S802" i="1"/>
  <c r="T802" i="1"/>
  <c r="U802" i="1" s="1"/>
  <c r="V802" i="1"/>
  <c r="W802" i="1" s="1"/>
  <c r="X802" i="1"/>
  <c r="Y802" i="1"/>
  <c r="R803" i="1"/>
  <c r="S803" i="1"/>
  <c r="T803" i="1"/>
  <c r="U803" i="1" s="1"/>
  <c r="V803" i="1"/>
  <c r="X803" i="1"/>
  <c r="Y803" i="1" s="1"/>
  <c r="R804" i="1"/>
  <c r="S804" i="1"/>
  <c r="T804" i="1"/>
  <c r="U804" i="1" s="1"/>
  <c r="V804" i="1"/>
  <c r="W804" i="1" s="1"/>
  <c r="X804" i="1"/>
  <c r="Y804" i="1" s="1"/>
  <c r="R805" i="1"/>
  <c r="S805" i="1"/>
  <c r="T805" i="1"/>
  <c r="U805" i="1" s="1"/>
  <c r="V805" i="1"/>
  <c r="W805" i="1" s="1"/>
  <c r="X805" i="1"/>
  <c r="Y805" i="1" s="1"/>
  <c r="R806" i="1"/>
  <c r="S806" i="1"/>
  <c r="T806" i="1"/>
  <c r="U806" i="1" s="1"/>
  <c r="V806" i="1"/>
  <c r="W806" i="1" s="1"/>
  <c r="X806" i="1"/>
  <c r="Y806" i="1" s="1"/>
  <c r="R807" i="1"/>
  <c r="S807" i="1"/>
  <c r="T807" i="1"/>
  <c r="U807" i="1" s="1"/>
  <c r="V807" i="1"/>
  <c r="W807" i="1" s="1"/>
  <c r="X807" i="1"/>
  <c r="Y807" i="1" s="1"/>
  <c r="R808" i="1"/>
  <c r="S808" i="1"/>
  <c r="T808" i="1"/>
  <c r="U808" i="1" s="1"/>
  <c r="V808" i="1"/>
  <c r="W808" i="1" s="1"/>
  <c r="X808" i="1"/>
  <c r="Y808" i="1" s="1"/>
  <c r="R809" i="1"/>
  <c r="S809" i="1"/>
  <c r="T809" i="1"/>
  <c r="U809" i="1" s="1"/>
  <c r="V809" i="1"/>
  <c r="W809" i="1" s="1"/>
  <c r="X809" i="1"/>
  <c r="Y809" i="1" s="1"/>
  <c r="R810" i="1"/>
  <c r="S810" i="1"/>
  <c r="T810" i="1"/>
  <c r="U810" i="1" s="1"/>
  <c r="V810" i="1"/>
  <c r="W810" i="1" s="1"/>
  <c r="X810" i="1"/>
  <c r="Y810" i="1" s="1"/>
  <c r="R811" i="1"/>
  <c r="S811" i="1"/>
  <c r="T811" i="1"/>
  <c r="U811" i="1"/>
  <c r="V811" i="1"/>
  <c r="W811" i="1" s="1"/>
  <c r="X811" i="1"/>
  <c r="Y811" i="1" s="1"/>
  <c r="R812" i="1"/>
  <c r="S812" i="1"/>
  <c r="T812" i="1"/>
  <c r="U812" i="1" s="1"/>
  <c r="V812" i="1"/>
  <c r="W812" i="1" s="1"/>
  <c r="X812" i="1"/>
  <c r="Y812" i="1" s="1"/>
  <c r="S813" i="1"/>
  <c r="T813" i="1"/>
  <c r="U813" i="1" s="1"/>
  <c r="V813" i="1"/>
  <c r="W813" i="1" s="1"/>
  <c r="X813" i="1"/>
  <c r="Y813" i="1"/>
  <c r="R814" i="1"/>
  <c r="S814" i="1"/>
  <c r="T814" i="1"/>
  <c r="U814" i="1" s="1"/>
  <c r="V814" i="1"/>
  <c r="W814" i="1" s="1"/>
  <c r="X814" i="1"/>
  <c r="Y814" i="1" s="1"/>
  <c r="R815" i="1"/>
  <c r="S815" i="1"/>
  <c r="T815" i="1"/>
  <c r="U815" i="1" s="1"/>
  <c r="V815" i="1"/>
  <c r="W815" i="1" s="1"/>
  <c r="X815" i="1"/>
  <c r="Y815" i="1" s="1"/>
  <c r="R816" i="1"/>
  <c r="S816" i="1"/>
  <c r="T816" i="1"/>
  <c r="U816" i="1" s="1"/>
  <c r="V816" i="1"/>
  <c r="X816" i="1"/>
  <c r="Y816" i="1" s="1"/>
  <c r="R817" i="1"/>
  <c r="S817" i="1"/>
  <c r="T817" i="1"/>
  <c r="U817" i="1" s="1"/>
  <c r="V817" i="1"/>
  <c r="W817" i="1" s="1"/>
  <c r="X817" i="1"/>
  <c r="Y817" i="1" s="1"/>
  <c r="R818" i="1"/>
  <c r="S818" i="1"/>
  <c r="T818" i="1"/>
  <c r="U818" i="1" s="1"/>
  <c r="V818" i="1"/>
  <c r="W818" i="1" s="1"/>
  <c r="X818" i="1"/>
  <c r="Y818" i="1" s="1"/>
  <c r="R819" i="1"/>
  <c r="S819" i="1"/>
  <c r="T819" i="1"/>
  <c r="U819" i="1" s="1"/>
  <c r="V819" i="1"/>
  <c r="W819" i="1" s="1"/>
  <c r="X819" i="1"/>
  <c r="Y819" i="1" s="1"/>
  <c r="R820" i="1"/>
  <c r="S820" i="1"/>
  <c r="T820" i="1"/>
  <c r="U820" i="1" s="1"/>
  <c r="V820" i="1"/>
  <c r="W820" i="1" s="1"/>
  <c r="X820" i="1"/>
  <c r="Y820" i="1" s="1"/>
  <c r="R821" i="1"/>
  <c r="S821" i="1"/>
  <c r="T821" i="1"/>
  <c r="U821" i="1" s="1"/>
  <c r="V821" i="1"/>
  <c r="W821" i="1" s="1"/>
  <c r="X821" i="1"/>
  <c r="Y821" i="1" s="1"/>
  <c r="R822" i="1"/>
  <c r="S822" i="1"/>
  <c r="T822" i="1"/>
  <c r="U822" i="1" s="1"/>
  <c r="V822" i="1"/>
  <c r="W822" i="1" s="1"/>
  <c r="X822" i="1"/>
  <c r="Y822" i="1" s="1"/>
  <c r="R823" i="1"/>
  <c r="S823" i="1"/>
  <c r="T823" i="1"/>
  <c r="U823" i="1" s="1"/>
  <c r="V823" i="1"/>
  <c r="W823" i="1" s="1"/>
  <c r="X823" i="1"/>
  <c r="Y823" i="1" s="1"/>
  <c r="R824" i="1"/>
  <c r="S824" i="1"/>
  <c r="T824" i="1"/>
  <c r="U824" i="1" s="1"/>
  <c r="V824" i="1"/>
  <c r="X824" i="1"/>
  <c r="Y824" i="1" s="1"/>
  <c r="R825" i="1"/>
  <c r="S825" i="1"/>
  <c r="T825" i="1"/>
  <c r="U825" i="1" s="1"/>
  <c r="V825" i="1"/>
  <c r="W825" i="1" s="1"/>
  <c r="X825" i="1"/>
  <c r="Y825" i="1" s="1"/>
  <c r="R826" i="1"/>
  <c r="S826" i="1"/>
  <c r="T826" i="1"/>
  <c r="U826" i="1"/>
  <c r="V826" i="1"/>
  <c r="W826" i="1" s="1"/>
  <c r="X826" i="1"/>
  <c r="Y826" i="1" s="1"/>
  <c r="R827" i="1"/>
  <c r="S827" i="1"/>
  <c r="T827" i="1"/>
  <c r="U827" i="1" s="1"/>
  <c r="V827" i="1"/>
  <c r="X827" i="1"/>
  <c r="Y827" i="1" s="1"/>
  <c r="R828" i="1"/>
  <c r="S828" i="1"/>
  <c r="T828" i="1"/>
  <c r="U828" i="1" s="1"/>
  <c r="V828" i="1"/>
  <c r="W828" i="1" s="1"/>
  <c r="X828" i="1"/>
  <c r="Y828" i="1" s="1"/>
  <c r="R829" i="1"/>
  <c r="S829" i="1"/>
  <c r="T829" i="1"/>
  <c r="U829" i="1" s="1"/>
  <c r="V829" i="1"/>
  <c r="W829" i="1" s="1"/>
  <c r="X829" i="1"/>
  <c r="Y829" i="1" s="1"/>
  <c r="R830" i="1"/>
  <c r="S830" i="1"/>
  <c r="T830" i="1"/>
  <c r="U830" i="1" s="1"/>
  <c r="V830" i="1"/>
  <c r="W830" i="1" s="1"/>
  <c r="X830" i="1"/>
  <c r="Y830" i="1" s="1"/>
  <c r="R831" i="1"/>
  <c r="S831" i="1"/>
  <c r="T831" i="1"/>
  <c r="U831" i="1"/>
  <c r="V831" i="1"/>
  <c r="W831" i="1" s="1"/>
  <c r="X831" i="1"/>
  <c r="Y831" i="1" s="1"/>
  <c r="S832" i="1"/>
  <c r="T832" i="1"/>
  <c r="U832" i="1" s="1"/>
  <c r="V832" i="1"/>
  <c r="W832" i="1" s="1"/>
  <c r="X832" i="1"/>
  <c r="Y832" i="1" s="1"/>
  <c r="R833" i="1"/>
  <c r="S833" i="1"/>
  <c r="T833" i="1"/>
  <c r="U833" i="1" s="1"/>
  <c r="V833" i="1"/>
  <c r="W833" i="1" s="1"/>
  <c r="X833" i="1"/>
  <c r="Y833" i="1" s="1"/>
  <c r="R834" i="1"/>
  <c r="S834" i="1"/>
  <c r="T834" i="1"/>
  <c r="U834" i="1" s="1"/>
  <c r="V834" i="1"/>
  <c r="W834" i="1" s="1"/>
  <c r="X834" i="1"/>
  <c r="Y834" i="1" s="1"/>
  <c r="R835" i="1"/>
  <c r="S835" i="1"/>
  <c r="T835" i="1"/>
  <c r="U835" i="1" s="1"/>
  <c r="V835" i="1"/>
  <c r="W835" i="1" s="1"/>
  <c r="X835" i="1"/>
  <c r="Y835" i="1" s="1"/>
  <c r="R836" i="1"/>
  <c r="S836" i="1"/>
  <c r="T836" i="1"/>
  <c r="U836" i="1" s="1"/>
  <c r="V836" i="1"/>
  <c r="W836" i="1" s="1"/>
  <c r="X836" i="1"/>
  <c r="Y836" i="1" s="1"/>
  <c r="R837" i="1"/>
  <c r="S837" i="1"/>
  <c r="T837" i="1"/>
  <c r="U837" i="1"/>
  <c r="V837" i="1"/>
  <c r="W837" i="1" s="1"/>
  <c r="X837" i="1"/>
  <c r="Y837" i="1" s="1"/>
  <c r="R838" i="1"/>
  <c r="S838" i="1"/>
  <c r="T838" i="1"/>
  <c r="U838" i="1"/>
  <c r="V838" i="1"/>
  <c r="X838" i="1"/>
  <c r="Y838" i="1" s="1"/>
  <c r="R839" i="1"/>
  <c r="S839" i="1"/>
  <c r="T839" i="1"/>
  <c r="U839" i="1" s="1"/>
  <c r="V839" i="1"/>
  <c r="W839" i="1" s="1"/>
  <c r="X839" i="1"/>
  <c r="Y839" i="1"/>
  <c r="R840" i="1"/>
  <c r="S840" i="1"/>
  <c r="T840" i="1"/>
  <c r="U840" i="1" s="1"/>
  <c r="V840" i="1"/>
  <c r="W840" i="1" s="1"/>
  <c r="X840" i="1"/>
  <c r="Y840" i="1" s="1"/>
  <c r="R841" i="1"/>
  <c r="S841" i="1"/>
  <c r="T841" i="1"/>
  <c r="U841" i="1"/>
  <c r="V841" i="1"/>
  <c r="W841" i="1" s="1"/>
  <c r="X841" i="1"/>
  <c r="Y841" i="1" s="1"/>
  <c r="R842" i="1"/>
  <c r="S842" i="1"/>
  <c r="T842" i="1"/>
  <c r="U842" i="1" s="1"/>
  <c r="V842" i="1"/>
  <c r="W842" i="1" s="1"/>
  <c r="X842" i="1"/>
  <c r="Y842" i="1" s="1"/>
  <c r="R843" i="1"/>
  <c r="S843" i="1"/>
  <c r="T843" i="1"/>
  <c r="U843" i="1" s="1"/>
  <c r="V843" i="1"/>
  <c r="W843" i="1" s="1"/>
  <c r="X843" i="1"/>
  <c r="Y843" i="1" s="1"/>
  <c r="R844" i="1"/>
  <c r="S844" i="1"/>
  <c r="T844" i="1"/>
  <c r="U844" i="1" s="1"/>
  <c r="V844" i="1"/>
  <c r="W844" i="1" s="1"/>
  <c r="X844" i="1"/>
  <c r="Y844" i="1" s="1"/>
  <c r="R845" i="1"/>
  <c r="S845" i="1"/>
  <c r="T845" i="1"/>
  <c r="U845" i="1" s="1"/>
  <c r="V845" i="1"/>
  <c r="W845" i="1" s="1"/>
  <c r="X845" i="1"/>
  <c r="Y845" i="1" s="1"/>
  <c r="R846" i="1"/>
  <c r="S846" i="1"/>
  <c r="T846" i="1"/>
  <c r="U846" i="1" s="1"/>
  <c r="V846" i="1"/>
  <c r="W846" i="1" s="1"/>
  <c r="X846" i="1"/>
  <c r="Y846" i="1"/>
  <c r="R847" i="1"/>
  <c r="S847" i="1"/>
  <c r="T847" i="1"/>
  <c r="U847" i="1" s="1"/>
  <c r="V847" i="1"/>
  <c r="W847" i="1" s="1"/>
  <c r="X847" i="1"/>
  <c r="Y847" i="1" s="1"/>
  <c r="R848" i="1"/>
  <c r="S848" i="1"/>
  <c r="T848" i="1"/>
  <c r="U848" i="1"/>
  <c r="V848" i="1"/>
  <c r="W848" i="1" s="1"/>
  <c r="X848" i="1"/>
  <c r="Y848" i="1"/>
  <c r="R849" i="1"/>
  <c r="S849" i="1"/>
  <c r="T849" i="1"/>
  <c r="U849" i="1" s="1"/>
  <c r="V849" i="1"/>
  <c r="W849" i="1" s="1"/>
  <c r="X849" i="1"/>
  <c r="Y849" i="1" s="1"/>
  <c r="R850" i="1"/>
  <c r="S850" i="1"/>
  <c r="T850" i="1"/>
  <c r="U850" i="1" s="1"/>
  <c r="V850" i="1"/>
  <c r="W850" i="1" s="1"/>
  <c r="X850" i="1"/>
  <c r="Y850" i="1" s="1"/>
  <c r="R851" i="1"/>
  <c r="S851" i="1"/>
  <c r="T851" i="1"/>
  <c r="U851" i="1"/>
  <c r="V851" i="1"/>
  <c r="X851" i="1"/>
  <c r="Y851" i="1" s="1"/>
  <c r="R852" i="1"/>
  <c r="S852" i="1"/>
  <c r="T852" i="1"/>
  <c r="U852" i="1"/>
  <c r="V852" i="1"/>
  <c r="W852" i="1" s="1"/>
  <c r="X852" i="1"/>
  <c r="Y852" i="1" s="1"/>
  <c r="R853" i="1"/>
  <c r="S853" i="1"/>
  <c r="T853" i="1"/>
  <c r="U853" i="1" s="1"/>
  <c r="V853" i="1"/>
  <c r="X853" i="1"/>
  <c r="Y853" i="1"/>
  <c r="R854" i="1"/>
  <c r="S854" i="1"/>
  <c r="T854" i="1"/>
  <c r="U854" i="1" s="1"/>
  <c r="V854" i="1"/>
  <c r="W854" i="1" s="1"/>
  <c r="X854" i="1"/>
  <c r="Y854" i="1" s="1"/>
  <c r="R855" i="1"/>
  <c r="S855" i="1"/>
  <c r="T855" i="1"/>
  <c r="U855" i="1"/>
  <c r="V855" i="1"/>
  <c r="W855" i="1" s="1"/>
  <c r="X855" i="1"/>
  <c r="Y855" i="1" s="1"/>
  <c r="R856" i="1"/>
  <c r="S856" i="1"/>
  <c r="T856" i="1"/>
  <c r="U856" i="1" s="1"/>
  <c r="V856" i="1"/>
  <c r="W856" i="1" s="1"/>
  <c r="X856" i="1"/>
  <c r="Y856" i="1" s="1"/>
  <c r="R857" i="1"/>
  <c r="S857" i="1"/>
  <c r="T857" i="1"/>
  <c r="U857" i="1" s="1"/>
  <c r="V857" i="1"/>
  <c r="W857" i="1" s="1"/>
  <c r="X857" i="1"/>
  <c r="Y857" i="1" s="1"/>
  <c r="R858" i="1"/>
  <c r="S858" i="1"/>
  <c r="T858" i="1"/>
  <c r="U858" i="1" s="1"/>
  <c r="V858" i="1"/>
  <c r="W858" i="1" s="1"/>
  <c r="X858" i="1"/>
  <c r="Y858" i="1" s="1"/>
  <c r="R859" i="1"/>
  <c r="S859" i="1"/>
  <c r="T859" i="1"/>
  <c r="U859" i="1" s="1"/>
  <c r="V859" i="1"/>
  <c r="W859" i="1" s="1"/>
  <c r="X859" i="1"/>
  <c r="Y859" i="1" s="1"/>
  <c r="R860" i="1"/>
  <c r="S860" i="1"/>
  <c r="T860" i="1"/>
  <c r="U860" i="1"/>
  <c r="V860" i="1"/>
  <c r="W860" i="1" s="1"/>
  <c r="X860" i="1"/>
  <c r="Y860" i="1" s="1"/>
  <c r="R861" i="1"/>
  <c r="S861" i="1"/>
  <c r="T861" i="1"/>
  <c r="U861" i="1" s="1"/>
  <c r="V861" i="1"/>
  <c r="W861" i="1" s="1"/>
  <c r="X861" i="1"/>
  <c r="Y861" i="1" s="1"/>
  <c r="S862" i="1"/>
  <c r="T862" i="1"/>
  <c r="U862" i="1" s="1"/>
  <c r="V862" i="1"/>
  <c r="W862" i="1" s="1"/>
  <c r="X862" i="1"/>
  <c r="Y862" i="1" s="1"/>
  <c r="R863" i="1"/>
  <c r="S863" i="1"/>
  <c r="T863" i="1"/>
  <c r="U863" i="1" s="1"/>
  <c r="V863" i="1"/>
  <c r="X863" i="1"/>
  <c r="Y863" i="1"/>
  <c r="R864" i="1"/>
  <c r="S864" i="1"/>
  <c r="T864" i="1"/>
  <c r="U864" i="1" s="1"/>
  <c r="V864" i="1"/>
  <c r="W864" i="1" s="1"/>
  <c r="X864" i="1"/>
  <c r="Y864" i="1" s="1"/>
  <c r="R865" i="1"/>
  <c r="S865" i="1"/>
  <c r="T865" i="1"/>
  <c r="U865" i="1"/>
  <c r="V865" i="1"/>
  <c r="W865" i="1" s="1"/>
  <c r="X865" i="1"/>
  <c r="Y865" i="1" s="1"/>
  <c r="R866" i="1"/>
  <c r="S866" i="1"/>
  <c r="T866" i="1"/>
  <c r="U866" i="1" s="1"/>
  <c r="V866" i="1"/>
  <c r="W866" i="1" s="1"/>
  <c r="X866" i="1"/>
  <c r="Y866" i="1" s="1"/>
  <c r="R867" i="1"/>
  <c r="S867" i="1"/>
  <c r="T867" i="1"/>
  <c r="U867" i="1"/>
  <c r="V867" i="1"/>
  <c r="W867" i="1" s="1"/>
  <c r="X867" i="1"/>
  <c r="Y867" i="1" s="1"/>
  <c r="R868" i="1"/>
  <c r="S868" i="1"/>
  <c r="T868" i="1"/>
  <c r="U868" i="1" s="1"/>
  <c r="V868" i="1"/>
  <c r="W868" i="1" s="1"/>
  <c r="X868" i="1"/>
  <c r="Y868" i="1" s="1"/>
  <c r="R869" i="1"/>
  <c r="S869" i="1"/>
  <c r="T869" i="1"/>
  <c r="U869" i="1" s="1"/>
  <c r="V869" i="1"/>
  <c r="W869" i="1" s="1"/>
  <c r="X869" i="1"/>
  <c r="Y869" i="1"/>
  <c r="R870" i="1"/>
  <c r="S870" i="1"/>
  <c r="T870" i="1"/>
  <c r="U870" i="1" s="1"/>
  <c r="V870" i="1"/>
  <c r="W870" i="1" s="1"/>
  <c r="X870" i="1"/>
  <c r="Y870" i="1" s="1"/>
  <c r="R871" i="1"/>
  <c r="S871" i="1"/>
  <c r="T871" i="1"/>
  <c r="U871" i="1"/>
  <c r="V871" i="1"/>
  <c r="W871" i="1" s="1"/>
  <c r="X871" i="1"/>
  <c r="Y871" i="1" s="1"/>
  <c r="R872" i="1"/>
  <c r="S872" i="1"/>
  <c r="T872" i="1"/>
  <c r="U872" i="1" s="1"/>
  <c r="V872" i="1"/>
  <c r="W872" i="1" s="1"/>
  <c r="X872" i="1"/>
  <c r="Y872" i="1" s="1"/>
  <c r="R873" i="1"/>
  <c r="S873" i="1"/>
  <c r="T873" i="1"/>
  <c r="U873" i="1" s="1"/>
  <c r="V873" i="1"/>
  <c r="X873" i="1"/>
  <c r="Y873" i="1" s="1"/>
  <c r="R874" i="1"/>
  <c r="S874" i="1"/>
  <c r="T874" i="1"/>
  <c r="U874" i="1" s="1"/>
  <c r="V874" i="1"/>
  <c r="W874" i="1" s="1"/>
  <c r="X874" i="1"/>
  <c r="Y874" i="1" s="1"/>
  <c r="R875" i="1"/>
  <c r="S875" i="1"/>
  <c r="T875" i="1"/>
  <c r="U875" i="1" s="1"/>
  <c r="V875" i="1"/>
  <c r="W875" i="1" s="1"/>
  <c r="X875" i="1"/>
  <c r="Y875" i="1" s="1"/>
  <c r="R876" i="1"/>
  <c r="S876" i="1"/>
  <c r="T876" i="1"/>
  <c r="U876" i="1" s="1"/>
  <c r="V876" i="1"/>
  <c r="X876" i="1"/>
  <c r="Y876" i="1" s="1"/>
  <c r="R877" i="1"/>
  <c r="S877" i="1"/>
  <c r="T877" i="1"/>
  <c r="U877" i="1" s="1"/>
  <c r="V877" i="1"/>
  <c r="X877" i="1"/>
  <c r="Y877" i="1" s="1"/>
  <c r="R878" i="1"/>
  <c r="S878" i="1"/>
  <c r="T878" i="1"/>
  <c r="U878" i="1" s="1"/>
  <c r="V878" i="1"/>
  <c r="X878" i="1"/>
  <c r="Y878" i="1" s="1"/>
  <c r="R879" i="1"/>
  <c r="S879" i="1"/>
  <c r="T879" i="1"/>
  <c r="U879" i="1" s="1"/>
  <c r="V879" i="1"/>
  <c r="W879" i="1" s="1"/>
  <c r="X879" i="1"/>
  <c r="Y879" i="1" s="1"/>
  <c r="R880" i="1"/>
  <c r="S880" i="1"/>
  <c r="T880" i="1"/>
  <c r="U880" i="1" s="1"/>
  <c r="V880" i="1"/>
  <c r="W880" i="1" s="1"/>
  <c r="X880" i="1"/>
  <c r="Y880" i="1" s="1"/>
  <c r="R881" i="1"/>
  <c r="S881" i="1"/>
  <c r="T881" i="1"/>
  <c r="U881" i="1" s="1"/>
  <c r="V881" i="1"/>
  <c r="W881" i="1" s="1"/>
  <c r="X881" i="1"/>
  <c r="Y881" i="1"/>
  <c r="R882" i="1"/>
  <c r="S882" i="1"/>
  <c r="T882" i="1"/>
  <c r="U882" i="1" s="1"/>
  <c r="V882" i="1"/>
  <c r="W882" i="1" s="1"/>
  <c r="X882" i="1"/>
  <c r="Y882" i="1" s="1"/>
  <c r="R883" i="1"/>
  <c r="S883" i="1"/>
  <c r="T883" i="1"/>
  <c r="U883" i="1"/>
  <c r="V883" i="1"/>
  <c r="W883" i="1" s="1"/>
  <c r="X883" i="1"/>
  <c r="Y883" i="1" s="1"/>
  <c r="R884" i="1"/>
  <c r="S884" i="1"/>
  <c r="T884" i="1"/>
  <c r="U884" i="1" s="1"/>
  <c r="V884" i="1"/>
  <c r="W884" i="1" s="1"/>
  <c r="X884" i="1"/>
  <c r="Y884" i="1" s="1"/>
  <c r="R885" i="1"/>
  <c r="S885" i="1"/>
  <c r="T885" i="1"/>
  <c r="U885" i="1"/>
  <c r="V885" i="1"/>
  <c r="X885" i="1"/>
  <c r="Y885" i="1"/>
  <c r="S886" i="1"/>
  <c r="T886" i="1"/>
  <c r="U886" i="1" s="1"/>
  <c r="V886" i="1"/>
  <c r="W886" i="1" s="1"/>
  <c r="X886" i="1"/>
  <c r="Y886" i="1"/>
  <c r="R887" i="1"/>
  <c r="S887" i="1"/>
  <c r="T887" i="1"/>
  <c r="U887" i="1" s="1"/>
  <c r="V887" i="1"/>
  <c r="W887" i="1" s="1"/>
  <c r="X887" i="1"/>
  <c r="Y887" i="1" s="1"/>
  <c r="R888" i="1"/>
  <c r="S888" i="1"/>
  <c r="T888" i="1"/>
  <c r="U888" i="1" s="1"/>
  <c r="V888" i="1"/>
  <c r="W888" i="1" s="1"/>
  <c r="X888" i="1"/>
  <c r="Y888" i="1" s="1"/>
  <c r="R889" i="1"/>
  <c r="S889" i="1"/>
  <c r="T889" i="1"/>
  <c r="U889" i="1" s="1"/>
  <c r="V889" i="1"/>
  <c r="W889" i="1" s="1"/>
  <c r="X889" i="1"/>
  <c r="Y889" i="1" s="1"/>
  <c r="R890" i="1"/>
  <c r="S890" i="1"/>
  <c r="T890" i="1"/>
  <c r="U890" i="1" s="1"/>
  <c r="V890" i="1"/>
  <c r="W890" i="1" s="1"/>
  <c r="X890" i="1"/>
  <c r="Y890" i="1" s="1"/>
  <c r="R891" i="1"/>
  <c r="S891" i="1"/>
  <c r="T891" i="1"/>
  <c r="U891" i="1"/>
  <c r="V891" i="1"/>
  <c r="W891" i="1" s="1"/>
  <c r="X891" i="1"/>
  <c r="Y891" i="1" s="1"/>
  <c r="R892" i="1"/>
  <c r="S892" i="1"/>
  <c r="T892" i="1"/>
  <c r="U892" i="1" s="1"/>
  <c r="V892" i="1"/>
  <c r="W892" i="1" s="1"/>
  <c r="X892" i="1"/>
  <c r="Y892" i="1" s="1"/>
  <c r="R893" i="1"/>
  <c r="S893" i="1"/>
  <c r="T893" i="1"/>
  <c r="U893" i="1" s="1"/>
  <c r="V893" i="1"/>
  <c r="W893" i="1" s="1"/>
  <c r="X893" i="1"/>
  <c r="Y893" i="1" s="1"/>
  <c r="R894" i="1"/>
  <c r="S894" i="1"/>
  <c r="T894" i="1"/>
  <c r="U894" i="1" s="1"/>
  <c r="V894" i="1"/>
  <c r="W894" i="1" s="1"/>
  <c r="X894" i="1"/>
  <c r="Y894" i="1"/>
  <c r="R895" i="1"/>
  <c r="S895" i="1"/>
  <c r="T895" i="1"/>
  <c r="U895" i="1" s="1"/>
  <c r="V895" i="1"/>
  <c r="X895" i="1"/>
  <c r="Y895" i="1" s="1"/>
  <c r="R896" i="1"/>
  <c r="S896" i="1"/>
  <c r="T896" i="1"/>
  <c r="U896" i="1" s="1"/>
  <c r="V896" i="1"/>
  <c r="W896" i="1" s="1"/>
  <c r="X896" i="1"/>
  <c r="Y896" i="1" s="1"/>
  <c r="S897" i="1"/>
  <c r="T897" i="1"/>
  <c r="U897" i="1" s="1"/>
  <c r="V897" i="1"/>
  <c r="W897" i="1" s="1"/>
  <c r="X897" i="1"/>
  <c r="Y897" i="1" s="1"/>
  <c r="R898" i="1"/>
  <c r="S898" i="1"/>
  <c r="T898" i="1"/>
  <c r="U898" i="1" s="1"/>
  <c r="V898" i="1"/>
  <c r="W898" i="1" s="1"/>
  <c r="X898" i="1"/>
  <c r="Y898" i="1" s="1"/>
  <c r="R899" i="1"/>
  <c r="S899" i="1"/>
  <c r="T899" i="1"/>
  <c r="U899" i="1" s="1"/>
  <c r="V899" i="1"/>
  <c r="W899" i="1" s="1"/>
  <c r="X899" i="1"/>
  <c r="Y899" i="1" s="1"/>
  <c r="R900" i="1"/>
  <c r="S900" i="1"/>
  <c r="T900" i="1"/>
  <c r="U900" i="1" s="1"/>
  <c r="V900" i="1"/>
  <c r="W900" i="1" s="1"/>
  <c r="X900" i="1"/>
  <c r="Y900" i="1"/>
  <c r="R901" i="1"/>
  <c r="S901" i="1"/>
  <c r="T901" i="1"/>
  <c r="U901" i="1" s="1"/>
  <c r="V901" i="1"/>
  <c r="W901" i="1" s="1"/>
  <c r="X901" i="1"/>
  <c r="Y901" i="1" s="1"/>
  <c r="R902" i="1"/>
  <c r="S902" i="1"/>
  <c r="T902" i="1"/>
  <c r="U902" i="1" s="1"/>
  <c r="V902" i="1"/>
  <c r="W902" i="1" s="1"/>
  <c r="X902" i="1"/>
  <c r="Y902" i="1" s="1"/>
  <c r="R903" i="1"/>
  <c r="S903" i="1"/>
  <c r="T903" i="1"/>
  <c r="U903" i="1"/>
  <c r="V903" i="1"/>
  <c r="W903" i="1" s="1"/>
  <c r="X903" i="1"/>
  <c r="Y903" i="1" s="1"/>
  <c r="R904" i="1"/>
  <c r="S904" i="1"/>
  <c r="T904" i="1"/>
  <c r="U904" i="1" s="1"/>
  <c r="V904" i="1"/>
  <c r="W904" i="1" s="1"/>
  <c r="X904" i="1"/>
  <c r="Y904" i="1" s="1"/>
  <c r="R905" i="1"/>
  <c r="S905" i="1"/>
  <c r="T905" i="1"/>
  <c r="U905" i="1" s="1"/>
  <c r="V905" i="1"/>
  <c r="W905" i="1" s="1"/>
  <c r="X905" i="1"/>
  <c r="Y905" i="1"/>
  <c r="R906" i="1"/>
  <c r="S906" i="1"/>
  <c r="T906" i="1"/>
  <c r="U906" i="1" s="1"/>
  <c r="V906" i="1"/>
  <c r="W906" i="1" s="1"/>
  <c r="X906" i="1"/>
  <c r="Y906" i="1"/>
  <c r="R907" i="1"/>
  <c r="S907" i="1"/>
  <c r="T907" i="1"/>
  <c r="U907" i="1" s="1"/>
  <c r="V907" i="1"/>
  <c r="W907" i="1" s="1"/>
  <c r="X907" i="1"/>
  <c r="Y907" i="1" s="1"/>
  <c r="R908" i="1"/>
  <c r="S908" i="1"/>
  <c r="T908" i="1"/>
  <c r="U908" i="1"/>
  <c r="V908" i="1"/>
  <c r="W908" i="1" s="1"/>
  <c r="X908" i="1"/>
  <c r="Y908" i="1" s="1"/>
  <c r="R909" i="1"/>
  <c r="S909" i="1"/>
  <c r="T909" i="1"/>
  <c r="U909" i="1" s="1"/>
  <c r="V909" i="1"/>
  <c r="W909" i="1" s="1"/>
  <c r="X909" i="1"/>
  <c r="Y909" i="1" s="1"/>
  <c r="R910" i="1"/>
  <c r="S910" i="1"/>
  <c r="T910" i="1"/>
  <c r="U910" i="1" s="1"/>
  <c r="V910" i="1"/>
  <c r="W910" i="1" s="1"/>
  <c r="X910" i="1"/>
  <c r="Y910" i="1" s="1"/>
  <c r="R911" i="1"/>
  <c r="S911" i="1"/>
  <c r="T911" i="1"/>
  <c r="U911" i="1" s="1"/>
  <c r="V911" i="1"/>
  <c r="X911" i="1"/>
  <c r="Y911" i="1" s="1"/>
  <c r="R912" i="1"/>
  <c r="S912" i="1"/>
  <c r="T912" i="1"/>
  <c r="U912" i="1" s="1"/>
  <c r="V912" i="1"/>
  <c r="W912" i="1" s="1"/>
  <c r="X912" i="1"/>
  <c r="Y912" i="1" s="1"/>
  <c r="R913" i="1"/>
  <c r="S913" i="1"/>
  <c r="T913" i="1"/>
  <c r="U913" i="1" s="1"/>
  <c r="V913" i="1"/>
  <c r="W913" i="1" s="1"/>
  <c r="X913" i="1"/>
  <c r="Y913" i="1" s="1"/>
  <c r="R914" i="1"/>
  <c r="S914" i="1"/>
  <c r="T914" i="1"/>
  <c r="U914" i="1" s="1"/>
  <c r="V914" i="1"/>
  <c r="W914" i="1" s="1"/>
  <c r="X914" i="1"/>
  <c r="Y914" i="1" s="1"/>
  <c r="R915" i="1"/>
  <c r="S915" i="1"/>
  <c r="T915" i="1"/>
  <c r="U915" i="1"/>
  <c r="V915" i="1"/>
  <c r="W915" i="1" s="1"/>
  <c r="X915" i="1"/>
  <c r="Y915" i="1" s="1"/>
  <c r="R916" i="1"/>
  <c r="S916" i="1"/>
  <c r="T916" i="1"/>
  <c r="U916" i="1" s="1"/>
  <c r="V916" i="1"/>
  <c r="W916" i="1" s="1"/>
  <c r="X916" i="1"/>
  <c r="Y916" i="1"/>
  <c r="R917" i="1"/>
  <c r="S917" i="1"/>
  <c r="T917" i="1"/>
  <c r="U917" i="1" s="1"/>
  <c r="V917" i="1"/>
  <c r="W917" i="1" s="1"/>
  <c r="X917" i="1"/>
  <c r="Y917" i="1"/>
  <c r="R918" i="1"/>
  <c r="S918" i="1"/>
  <c r="T918" i="1"/>
  <c r="U918" i="1" s="1"/>
  <c r="V918" i="1"/>
  <c r="W918" i="1" s="1"/>
  <c r="X918" i="1"/>
  <c r="Y918" i="1" s="1"/>
  <c r="R919" i="1"/>
  <c r="S919" i="1"/>
  <c r="T919" i="1"/>
  <c r="U919" i="1" s="1"/>
  <c r="V919" i="1"/>
  <c r="W919" i="1" s="1"/>
  <c r="X919" i="1"/>
  <c r="Y919" i="1" s="1"/>
  <c r="R920" i="1"/>
  <c r="S920" i="1"/>
  <c r="T920" i="1"/>
  <c r="U920" i="1" s="1"/>
  <c r="V920" i="1"/>
  <c r="W920" i="1" s="1"/>
  <c r="X920" i="1"/>
  <c r="Y920" i="1" s="1"/>
  <c r="R921" i="1"/>
  <c r="S921" i="1"/>
  <c r="T921" i="1"/>
  <c r="U921" i="1" s="1"/>
  <c r="V921" i="1"/>
  <c r="W921" i="1" s="1"/>
  <c r="X921" i="1"/>
  <c r="Y921" i="1"/>
  <c r="R922" i="1"/>
  <c r="S922" i="1"/>
  <c r="T922" i="1"/>
  <c r="U922" i="1" s="1"/>
  <c r="V922" i="1"/>
  <c r="W922" i="1" s="1"/>
  <c r="X922" i="1"/>
  <c r="Y922" i="1" s="1"/>
  <c r="R923" i="1"/>
  <c r="S923" i="1"/>
  <c r="T923" i="1"/>
  <c r="U923" i="1" s="1"/>
  <c r="V923" i="1"/>
  <c r="W923" i="1" s="1"/>
  <c r="X923" i="1"/>
  <c r="Y923" i="1" s="1"/>
  <c r="R924" i="1"/>
  <c r="S924" i="1"/>
  <c r="T924" i="1"/>
  <c r="U924" i="1" s="1"/>
  <c r="V924" i="1"/>
  <c r="W924" i="1" s="1"/>
  <c r="X924" i="1"/>
  <c r="Y924" i="1" s="1"/>
  <c r="R925" i="1"/>
  <c r="S925" i="1"/>
  <c r="T925" i="1"/>
  <c r="U925" i="1" s="1"/>
  <c r="V925" i="1"/>
  <c r="W925" i="1" s="1"/>
  <c r="X925" i="1"/>
  <c r="Y925" i="1"/>
  <c r="R926" i="1"/>
  <c r="S926" i="1"/>
  <c r="T926" i="1"/>
  <c r="U926" i="1" s="1"/>
  <c r="V926" i="1"/>
  <c r="W926" i="1" s="1"/>
  <c r="X926" i="1"/>
  <c r="Y926" i="1" s="1"/>
  <c r="R927" i="1"/>
  <c r="S927" i="1"/>
  <c r="T927" i="1"/>
  <c r="U927" i="1" s="1"/>
  <c r="V927" i="1"/>
  <c r="W927" i="1" s="1"/>
  <c r="X927" i="1"/>
  <c r="Y927" i="1"/>
  <c r="R928" i="1"/>
  <c r="S928" i="1"/>
  <c r="T928" i="1"/>
  <c r="U928" i="1" s="1"/>
  <c r="V928" i="1"/>
  <c r="X928" i="1"/>
  <c r="Y928" i="1" s="1"/>
  <c r="R929" i="1"/>
  <c r="S929" i="1"/>
  <c r="T929" i="1"/>
  <c r="U929" i="1" s="1"/>
  <c r="V929" i="1"/>
  <c r="W929" i="1" s="1"/>
  <c r="X929" i="1"/>
  <c r="Y929" i="1" s="1"/>
  <c r="S930" i="1"/>
  <c r="T930" i="1"/>
  <c r="U930" i="1" s="1"/>
  <c r="V930" i="1"/>
  <c r="W930" i="1" s="1"/>
  <c r="X930" i="1"/>
  <c r="Y930" i="1" s="1"/>
  <c r="R931" i="1"/>
  <c r="S931" i="1"/>
  <c r="T931" i="1"/>
  <c r="U931" i="1"/>
  <c r="V931" i="1"/>
  <c r="W931" i="1" s="1"/>
  <c r="X931" i="1"/>
  <c r="Y931" i="1" s="1"/>
  <c r="R932" i="1"/>
  <c r="S932" i="1"/>
  <c r="T932" i="1"/>
  <c r="U932" i="1" s="1"/>
  <c r="V932" i="1"/>
  <c r="W932" i="1" s="1"/>
  <c r="X932" i="1"/>
  <c r="Y932" i="1"/>
  <c r="R933" i="1"/>
  <c r="S933" i="1"/>
  <c r="T933" i="1"/>
  <c r="U933" i="1" s="1"/>
  <c r="V933" i="1"/>
  <c r="W933" i="1" s="1"/>
  <c r="X933" i="1"/>
  <c r="Y933" i="1" s="1"/>
  <c r="R934" i="1"/>
  <c r="S934" i="1"/>
  <c r="T934" i="1"/>
  <c r="U934" i="1"/>
  <c r="V934" i="1"/>
  <c r="W934" i="1" s="1"/>
  <c r="X934" i="1"/>
  <c r="Y934" i="1" s="1"/>
  <c r="R935" i="1"/>
  <c r="S935" i="1"/>
  <c r="T935" i="1"/>
  <c r="U935" i="1" s="1"/>
  <c r="V935" i="1"/>
  <c r="X935" i="1"/>
  <c r="Y935" i="1"/>
  <c r="R936" i="1"/>
  <c r="S936" i="1"/>
  <c r="T936" i="1"/>
  <c r="U936" i="1" s="1"/>
  <c r="V936" i="1"/>
  <c r="W936" i="1" s="1"/>
  <c r="X936" i="1"/>
  <c r="Y936" i="1" s="1"/>
  <c r="R937" i="1"/>
  <c r="S937" i="1"/>
  <c r="T937" i="1"/>
  <c r="U937" i="1" s="1"/>
  <c r="V937" i="1"/>
  <c r="W937" i="1" s="1"/>
  <c r="X937" i="1"/>
  <c r="Y937" i="1" s="1"/>
  <c r="R938" i="1"/>
  <c r="S938" i="1"/>
  <c r="T938" i="1"/>
  <c r="U938" i="1" s="1"/>
  <c r="V938" i="1"/>
  <c r="W938" i="1" s="1"/>
  <c r="X938" i="1"/>
  <c r="Y938" i="1"/>
  <c r="R939" i="1"/>
  <c r="S939" i="1"/>
  <c r="T939" i="1"/>
  <c r="U939" i="1"/>
  <c r="V939" i="1"/>
  <c r="W939" i="1" s="1"/>
  <c r="X939" i="1"/>
  <c r="Y939" i="1" s="1"/>
  <c r="R940" i="1"/>
  <c r="S940" i="1"/>
  <c r="T940" i="1"/>
  <c r="U940" i="1" s="1"/>
  <c r="V940" i="1"/>
  <c r="X940" i="1"/>
  <c r="Y940" i="1" s="1"/>
  <c r="R941" i="1"/>
  <c r="S941" i="1"/>
  <c r="T941" i="1"/>
  <c r="U941" i="1" s="1"/>
  <c r="V941" i="1"/>
  <c r="W941" i="1" s="1"/>
  <c r="X941" i="1"/>
  <c r="Y941" i="1" s="1"/>
  <c r="R942" i="1"/>
  <c r="S942" i="1"/>
  <c r="T942" i="1"/>
  <c r="U942" i="1"/>
  <c r="V942" i="1"/>
  <c r="W942" i="1" s="1"/>
  <c r="X942" i="1"/>
  <c r="Y942" i="1" s="1"/>
  <c r="R943" i="1"/>
  <c r="S943" i="1"/>
  <c r="T943" i="1"/>
  <c r="U943" i="1"/>
  <c r="V943" i="1"/>
  <c r="W943" i="1" s="1"/>
  <c r="X943" i="1"/>
  <c r="Y943" i="1" s="1"/>
  <c r="R944" i="1"/>
  <c r="S944" i="1"/>
  <c r="T944" i="1"/>
  <c r="U944" i="1" s="1"/>
  <c r="V944" i="1"/>
  <c r="W944" i="1" s="1"/>
  <c r="X944" i="1"/>
  <c r="Y944" i="1" s="1"/>
  <c r="R945" i="1"/>
  <c r="S945" i="1"/>
  <c r="T945" i="1"/>
  <c r="U945" i="1" s="1"/>
  <c r="V945" i="1"/>
  <c r="W945" i="1" s="1"/>
  <c r="X945" i="1"/>
  <c r="Y945" i="1" s="1"/>
  <c r="R946" i="1"/>
  <c r="S946" i="1"/>
  <c r="T946" i="1"/>
  <c r="U946" i="1" s="1"/>
  <c r="V946" i="1"/>
  <c r="W946" i="1" s="1"/>
  <c r="X946" i="1"/>
  <c r="Y946" i="1" s="1"/>
  <c r="R947" i="1"/>
  <c r="S947" i="1"/>
  <c r="T947" i="1"/>
  <c r="U947" i="1" s="1"/>
  <c r="V947" i="1"/>
  <c r="W947" i="1" s="1"/>
  <c r="X947" i="1"/>
  <c r="Y947" i="1" s="1"/>
  <c r="R948" i="1"/>
  <c r="S948" i="1"/>
  <c r="T948" i="1"/>
  <c r="U948" i="1" s="1"/>
  <c r="V948" i="1"/>
  <c r="W948" i="1" s="1"/>
  <c r="X948" i="1"/>
  <c r="Y948" i="1" s="1"/>
  <c r="S949" i="1"/>
  <c r="T949" i="1"/>
  <c r="U949" i="1" s="1"/>
  <c r="V949" i="1"/>
  <c r="W949" i="1" s="1"/>
  <c r="X949" i="1"/>
  <c r="Y949" i="1" s="1"/>
  <c r="R950" i="1"/>
  <c r="S950" i="1"/>
  <c r="T950" i="1"/>
  <c r="U950" i="1"/>
  <c r="V950" i="1"/>
  <c r="W950" i="1" s="1"/>
  <c r="X950" i="1"/>
  <c r="Y950" i="1"/>
  <c r="R951" i="1"/>
  <c r="S951" i="1"/>
  <c r="T951" i="1"/>
  <c r="U951" i="1" s="1"/>
  <c r="V951" i="1"/>
  <c r="W951" i="1" s="1"/>
  <c r="X951" i="1"/>
  <c r="Y951" i="1" s="1"/>
  <c r="S952" i="1"/>
  <c r="T952" i="1"/>
  <c r="U952" i="1"/>
  <c r="V952" i="1"/>
  <c r="W952" i="1" s="1"/>
  <c r="X952" i="1"/>
  <c r="Y952" i="1" s="1"/>
  <c r="R953" i="1"/>
  <c r="S953" i="1"/>
  <c r="T953" i="1"/>
  <c r="U953" i="1" s="1"/>
  <c r="V953" i="1"/>
  <c r="W953" i="1" s="1"/>
  <c r="X953" i="1"/>
  <c r="Y953" i="1" s="1"/>
  <c r="R954" i="1"/>
  <c r="S954" i="1"/>
  <c r="T954" i="1"/>
  <c r="U954" i="1" s="1"/>
  <c r="V954" i="1"/>
  <c r="W954" i="1" s="1"/>
  <c r="X954" i="1"/>
  <c r="Y954" i="1" s="1"/>
  <c r="R955" i="1"/>
  <c r="S955" i="1"/>
  <c r="T955" i="1"/>
  <c r="U955" i="1" s="1"/>
  <c r="V955" i="1"/>
  <c r="W955" i="1" s="1"/>
  <c r="X955" i="1"/>
  <c r="Y955" i="1" s="1"/>
  <c r="R956" i="1"/>
  <c r="S956" i="1"/>
  <c r="T956" i="1"/>
  <c r="U956" i="1"/>
  <c r="V956" i="1"/>
  <c r="W956" i="1" s="1"/>
  <c r="X956" i="1"/>
  <c r="Y956" i="1" s="1"/>
  <c r="R957" i="1"/>
  <c r="S957" i="1"/>
  <c r="T957" i="1"/>
  <c r="U957" i="1" s="1"/>
  <c r="V957" i="1"/>
  <c r="W957" i="1" s="1"/>
  <c r="X957" i="1"/>
  <c r="Y957" i="1" s="1"/>
  <c r="R958" i="1"/>
  <c r="S958" i="1"/>
  <c r="T958" i="1"/>
  <c r="U958" i="1" s="1"/>
  <c r="V958" i="1"/>
  <c r="W958" i="1" s="1"/>
  <c r="X958" i="1"/>
  <c r="Y958" i="1"/>
  <c r="R959" i="1"/>
  <c r="S959" i="1"/>
  <c r="T959" i="1"/>
  <c r="U959" i="1" s="1"/>
  <c r="V959" i="1"/>
  <c r="W959" i="1" s="1"/>
  <c r="X959" i="1"/>
  <c r="Y959" i="1" s="1"/>
  <c r="R960" i="1"/>
  <c r="S960" i="1"/>
  <c r="T960" i="1"/>
  <c r="U960" i="1"/>
  <c r="V960" i="1"/>
  <c r="W960" i="1" s="1"/>
  <c r="X960" i="1"/>
  <c r="Y960" i="1" s="1"/>
  <c r="R961" i="1"/>
  <c r="S961" i="1"/>
  <c r="T961" i="1"/>
  <c r="U961" i="1" s="1"/>
  <c r="V961" i="1"/>
  <c r="W961" i="1" s="1"/>
  <c r="X961" i="1"/>
  <c r="Y961" i="1" s="1"/>
  <c r="R962" i="1"/>
  <c r="S962" i="1"/>
  <c r="T962" i="1"/>
  <c r="U962" i="1"/>
  <c r="V962" i="1"/>
  <c r="W962" i="1" s="1"/>
  <c r="X962" i="1"/>
  <c r="Y962" i="1"/>
  <c r="S963" i="1"/>
  <c r="T963" i="1"/>
  <c r="U963" i="1" s="1"/>
  <c r="V963" i="1"/>
  <c r="W963" i="1" s="1"/>
  <c r="X963" i="1"/>
  <c r="Y963" i="1" s="1"/>
  <c r="R964" i="1"/>
  <c r="S964" i="1"/>
  <c r="T964" i="1"/>
  <c r="U964" i="1" s="1"/>
  <c r="V964" i="1"/>
  <c r="X964" i="1"/>
  <c r="Y964" i="1" s="1"/>
  <c r="R965" i="1"/>
  <c r="S965" i="1"/>
  <c r="T965" i="1"/>
  <c r="U965" i="1" s="1"/>
  <c r="V965" i="1"/>
  <c r="W965" i="1" s="1"/>
  <c r="X965" i="1"/>
  <c r="Y965" i="1" s="1"/>
  <c r="R966" i="1"/>
  <c r="S966" i="1"/>
  <c r="T966" i="1"/>
  <c r="U966" i="1" s="1"/>
  <c r="V966" i="1"/>
  <c r="W966" i="1" s="1"/>
  <c r="X966" i="1"/>
  <c r="Y966" i="1" s="1"/>
  <c r="R967" i="1"/>
  <c r="S967" i="1"/>
  <c r="T967" i="1"/>
  <c r="U967" i="1" s="1"/>
  <c r="V967" i="1"/>
  <c r="W967" i="1" s="1"/>
  <c r="X967" i="1"/>
  <c r="Y967" i="1" s="1"/>
  <c r="R968" i="1"/>
  <c r="S968" i="1"/>
  <c r="T968" i="1"/>
  <c r="U968" i="1" s="1"/>
  <c r="V968" i="1"/>
  <c r="W968" i="1" s="1"/>
  <c r="X968" i="1"/>
  <c r="Y968" i="1" s="1"/>
  <c r="R969" i="1"/>
  <c r="S969" i="1"/>
  <c r="T969" i="1"/>
  <c r="U969" i="1" s="1"/>
  <c r="V969" i="1"/>
  <c r="W969" i="1" s="1"/>
  <c r="X969" i="1"/>
  <c r="Y969" i="1" s="1"/>
  <c r="R970" i="1"/>
  <c r="S970" i="1"/>
  <c r="T970" i="1"/>
  <c r="U970" i="1" s="1"/>
  <c r="V970" i="1"/>
  <c r="W970" i="1" s="1"/>
  <c r="X970" i="1"/>
  <c r="Y970" i="1" s="1"/>
  <c r="R971" i="1"/>
  <c r="S971" i="1"/>
  <c r="T971" i="1"/>
  <c r="U971" i="1" s="1"/>
  <c r="V971" i="1"/>
  <c r="W971" i="1" s="1"/>
  <c r="X971" i="1"/>
  <c r="Y971" i="1" s="1"/>
  <c r="R972" i="1"/>
  <c r="S972" i="1"/>
  <c r="T972" i="1"/>
  <c r="U972" i="1" s="1"/>
  <c r="V972" i="1"/>
  <c r="W972" i="1" s="1"/>
  <c r="X972" i="1"/>
  <c r="Y972" i="1" s="1"/>
  <c r="R973" i="1"/>
  <c r="S973" i="1"/>
  <c r="T973" i="1"/>
  <c r="U973" i="1" s="1"/>
  <c r="V973" i="1"/>
  <c r="W973" i="1" s="1"/>
  <c r="X973" i="1"/>
  <c r="Y973" i="1" s="1"/>
  <c r="S974" i="1"/>
  <c r="T974" i="1"/>
  <c r="U974" i="1" s="1"/>
  <c r="V974" i="1"/>
  <c r="W974" i="1" s="1"/>
  <c r="X974" i="1"/>
  <c r="Y974" i="1" s="1"/>
  <c r="R975" i="1"/>
  <c r="S975" i="1"/>
  <c r="T975" i="1"/>
  <c r="U975" i="1" s="1"/>
  <c r="V975" i="1"/>
  <c r="W975" i="1" s="1"/>
  <c r="X975" i="1"/>
  <c r="Y975" i="1" s="1"/>
  <c r="R976" i="1"/>
  <c r="S976" i="1"/>
  <c r="T976" i="1"/>
  <c r="U976" i="1" s="1"/>
  <c r="V976" i="1"/>
  <c r="W976" i="1" s="1"/>
  <c r="X976" i="1"/>
  <c r="Y976" i="1" s="1"/>
  <c r="S977" i="1"/>
  <c r="T977" i="1"/>
  <c r="U977" i="1" s="1"/>
  <c r="V977" i="1"/>
  <c r="W977" i="1" s="1"/>
  <c r="X977" i="1"/>
  <c r="Y977" i="1" s="1"/>
  <c r="R978" i="1"/>
  <c r="S978" i="1"/>
  <c r="T978" i="1"/>
  <c r="U978" i="1" s="1"/>
  <c r="V978" i="1"/>
  <c r="X978" i="1"/>
  <c r="Y978" i="1" s="1"/>
  <c r="R979" i="1"/>
  <c r="S979" i="1"/>
  <c r="T979" i="1"/>
  <c r="U979" i="1"/>
  <c r="V979" i="1"/>
  <c r="W979" i="1" s="1"/>
  <c r="X979" i="1"/>
  <c r="Y979" i="1" s="1"/>
  <c r="R980" i="1"/>
  <c r="S980" i="1"/>
  <c r="T980" i="1"/>
  <c r="U980" i="1" s="1"/>
  <c r="V980" i="1"/>
  <c r="X980" i="1"/>
  <c r="Y980" i="1" s="1"/>
  <c r="R981" i="1"/>
  <c r="S981" i="1"/>
  <c r="T981" i="1"/>
  <c r="U981" i="1" s="1"/>
  <c r="V981" i="1"/>
  <c r="W981" i="1" s="1"/>
  <c r="X981" i="1"/>
  <c r="Y981" i="1"/>
  <c r="R982" i="1"/>
  <c r="S982" i="1"/>
  <c r="T982" i="1"/>
  <c r="U982" i="1" s="1"/>
  <c r="V982" i="1"/>
  <c r="X982" i="1"/>
  <c r="Y982" i="1" s="1"/>
  <c r="R983" i="1"/>
  <c r="S983" i="1"/>
  <c r="T983" i="1"/>
  <c r="U983" i="1"/>
  <c r="V983" i="1"/>
  <c r="W983" i="1" s="1"/>
  <c r="X983" i="1"/>
  <c r="Y983" i="1" s="1"/>
  <c r="R984" i="1"/>
  <c r="S984" i="1"/>
  <c r="T984" i="1"/>
  <c r="U984" i="1" s="1"/>
  <c r="V984" i="1"/>
  <c r="W984" i="1" s="1"/>
  <c r="X984" i="1"/>
  <c r="Y984" i="1" s="1"/>
  <c r="R985" i="1"/>
  <c r="S985" i="1"/>
  <c r="T985" i="1"/>
  <c r="U985" i="1" s="1"/>
  <c r="V985" i="1"/>
  <c r="W985" i="1" s="1"/>
  <c r="X985" i="1"/>
  <c r="Y985" i="1"/>
  <c r="R986" i="1"/>
  <c r="S986" i="1"/>
  <c r="T986" i="1"/>
  <c r="U986" i="1"/>
  <c r="V986" i="1"/>
  <c r="W986" i="1" s="1"/>
  <c r="X986" i="1"/>
  <c r="Y986" i="1" s="1"/>
  <c r="R987" i="1"/>
  <c r="S987" i="1"/>
  <c r="T987" i="1"/>
  <c r="U987" i="1" s="1"/>
  <c r="V987" i="1"/>
  <c r="W987" i="1" s="1"/>
  <c r="X987" i="1"/>
  <c r="Y987" i="1" s="1"/>
  <c r="R988" i="1"/>
  <c r="S988" i="1"/>
  <c r="T988" i="1"/>
  <c r="U988" i="1" s="1"/>
  <c r="V988" i="1"/>
  <c r="W988" i="1" s="1"/>
  <c r="X988" i="1"/>
  <c r="Y988" i="1" s="1"/>
  <c r="R989" i="1"/>
  <c r="S989" i="1"/>
  <c r="T989" i="1"/>
  <c r="U989" i="1" s="1"/>
  <c r="V989" i="1"/>
  <c r="W989" i="1" s="1"/>
  <c r="X989" i="1"/>
  <c r="Y989" i="1" s="1"/>
  <c r="R990" i="1"/>
  <c r="S990" i="1"/>
  <c r="T990" i="1"/>
  <c r="U990" i="1" s="1"/>
  <c r="V990" i="1"/>
  <c r="W990" i="1" s="1"/>
  <c r="X990" i="1"/>
  <c r="Y990" i="1" s="1"/>
  <c r="R991" i="1"/>
  <c r="S991" i="1"/>
  <c r="T991" i="1"/>
  <c r="U991" i="1" s="1"/>
  <c r="V991" i="1"/>
  <c r="X991" i="1"/>
  <c r="Y991" i="1"/>
  <c r="R992" i="1"/>
  <c r="S992" i="1"/>
  <c r="T992" i="1"/>
  <c r="U992" i="1" s="1"/>
  <c r="V992" i="1"/>
  <c r="W992" i="1" s="1"/>
  <c r="X992" i="1"/>
  <c r="Y992" i="1"/>
  <c r="S993" i="1"/>
  <c r="T993" i="1"/>
  <c r="U993" i="1" s="1"/>
  <c r="V993" i="1"/>
  <c r="W993" i="1" s="1"/>
  <c r="X993" i="1"/>
  <c r="Y993" i="1" s="1"/>
  <c r="R994" i="1"/>
  <c r="S994" i="1"/>
  <c r="T994" i="1"/>
  <c r="U994" i="1"/>
  <c r="V994" i="1"/>
  <c r="W994" i="1" s="1"/>
  <c r="X994" i="1"/>
  <c r="Y994" i="1"/>
  <c r="R995" i="1"/>
  <c r="S995" i="1"/>
  <c r="T995" i="1"/>
  <c r="U995" i="1" s="1"/>
  <c r="V995" i="1"/>
  <c r="X995" i="1"/>
  <c r="Y995" i="1" s="1"/>
  <c r="R996" i="1"/>
  <c r="S996" i="1"/>
  <c r="T996" i="1"/>
  <c r="U996" i="1" s="1"/>
  <c r="V996" i="1"/>
  <c r="W996" i="1" s="1"/>
  <c r="X996" i="1"/>
  <c r="Y996" i="1" s="1"/>
  <c r="R997" i="1"/>
  <c r="S997" i="1"/>
  <c r="T997" i="1"/>
  <c r="U997" i="1" s="1"/>
  <c r="V997" i="1"/>
  <c r="W997" i="1" s="1"/>
  <c r="X997" i="1"/>
  <c r="Y997" i="1" s="1"/>
  <c r="R998" i="1"/>
  <c r="S998" i="1"/>
  <c r="T998" i="1"/>
  <c r="U998" i="1"/>
  <c r="V998" i="1"/>
  <c r="W998" i="1" s="1"/>
  <c r="X998" i="1"/>
  <c r="Y998" i="1"/>
  <c r="R999" i="1"/>
  <c r="S999" i="1"/>
  <c r="T999" i="1"/>
  <c r="U999" i="1" s="1"/>
  <c r="V999" i="1"/>
  <c r="X999" i="1"/>
  <c r="Y999" i="1" s="1"/>
  <c r="R1000" i="1"/>
  <c r="S1000" i="1"/>
  <c r="T1000" i="1"/>
  <c r="U1000" i="1" s="1"/>
  <c r="V1000" i="1"/>
  <c r="W1000" i="1" s="1"/>
  <c r="X1000" i="1"/>
  <c r="Y1000" i="1"/>
  <c r="S1001" i="1"/>
  <c r="T1001" i="1"/>
  <c r="U1001" i="1" s="1"/>
  <c r="V1001" i="1"/>
  <c r="W1001" i="1" s="1"/>
  <c r="X1001" i="1"/>
  <c r="Y1001" i="1" s="1"/>
  <c r="C21" i="5" l="1"/>
  <c r="C22" i="5" s="1"/>
  <c r="B31" i="5" s="1"/>
  <c r="C9" i="5"/>
  <c r="C10" i="5" s="1"/>
  <c r="C11" i="5" s="1"/>
  <c r="W10" i="1"/>
  <c r="W105" i="1"/>
  <c r="W80" i="1"/>
  <c r="R974" i="1"/>
  <c r="R963" i="1"/>
  <c r="R949" i="1"/>
  <c r="W702" i="1"/>
  <c r="R699" i="1"/>
  <c r="R685" i="1"/>
  <c r="R1001" i="1"/>
  <c r="R993" i="1"/>
  <c r="R977" i="1"/>
  <c r="R952" i="1"/>
  <c r="R930" i="1"/>
  <c r="R741" i="1"/>
  <c r="R729" i="1"/>
  <c r="W653" i="1"/>
  <c r="R897" i="1"/>
  <c r="R886" i="1"/>
  <c r="R862" i="1"/>
  <c r="R718" i="1"/>
  <c r="R832" i="1"/>
  <c r="R813" i="1"/>
  <c r="R802" i="1"/>
  <c r="W771" i="1"/>
  <c r="R762" i="1"/>
  <c r="R647" i="1"/>
  <c r="W622" i="1"/>
  <c r="W634" i="1"/>
  <c r="W705" i="1"/>
  <c r="W691" i="1"/>
  <c r="W710" i="1"/>
  <c r="W642" i="1"/>
  <c r="R735" i="1"/>
  <c r="W727" i="1"/>
  <c r="W704" i="1"/>
  <c r="W584" i="1"/>
  <c r="W576" i="1"/>
  <c r="W562" i="1"/>
  <c r="R387" i="1"/>
  <c r="W381" i="1"/>
  <c r="R368" i="1"/>
  <c r="W682" i="1"/>
  <c r="W666" i="1"/>
  <c r="W655" i="1"/>
  <c r="W644" i="1"/>
  <c r="W633" i="1"/>
  <c r="W611" i="1"/>
  <c r="W600" i="1"/>
  <c r="W595" i="1"/>
  <c r="W541" i="1"/>
  <c r="W507" i="1"/>
  <c r="W499" i="1"/>
  <c r="W489" i="1"/>
  <c r="W484" i="1"/>
  <c r="W469" i="1"/>
  <c r="W420" i="1"/>
  <c r="W579" i="1"/>
  <c r="W568" i="1"/>
  <c r="R535" i="1"/>
  <c r="W494" i="1"/>
  <c r="W425" i="1"/>
  <c r="W334" i="1"/>
  <c r="R334" i="1"/>
  <c r="W497" i="1"/>
  <c r="W441" i="1"/>
  <c r="W397" i="1"/>
  <c r="W347" i="1"/>
  <c r="R344" i="1"/>
  <c r="W432" i="1"/>
  <c r="W416" i="1"/>
  <c r="W331" i="1"/>
  <c r="W296" i="1"/>
  <c r="W505" i="1"/>
  <c r="W477" i="1"/>
  <c r="W428" i="1"/>
  <c r="W411" i="1"/>
  <c r="W384" i="1"/>
  <c r="W365" i="1"/>
  <c r="W291" i="1"/>
  <c r="W516" i="1"/>
  <c r="W453" i="1"/>
  <c r="W430" i="1"/>
  <c r="W234" i="1"/>
  <c r="R234" i="1"/>
  <c r="W511" i="1"/>
  <c r="W503" i="1"/>
  <c r="W495" i="1"/>
  <c r="W475" i="1"/>
  <c r="W470" i="1"/>
  <c r="R395" i="1"/>
  <c r="W417" i="1"/>
  <c r="W324" i="1"/>
  <c r="W527" i="1"/>
  <c r="W257" i="1"/>
  <c r="R257" i="1"/>
  <c r="W357" i="1"/>
  <c r="R352" i="1"/>
  <c r="W316" i="1"/>
  <c r="R316" i="1"/>
  <c r="W336" i="1"/>
  <c r="R252" i="1"/>
  <c r="W248" i="1"/>
  <c r="W346" i="1"/>
  <c r="W328" i="1"/>
  <c r="W320" i="1"/>
  <c r="W312" i="1"/>
  <c r="W305" i="1"/>
  <c r="R241" i="1"/>
  <c r="W197" i="1"/>
  <c r="R274" i="1"/>
  <c r="R164" i="1"/>
  <c r="W349" i="1"/>
  <c r="W195" i="1"/>
  <c r="R195" i="1"/>
  <c r="W171" i="1"/>
  <c r="W266" i="1"/>
  <c r="W225" i="1"/>
  <c r="W212" i="1"/>
  <c r="W238" i="1"/>
  <c r="W227" i="1"/>
  <c r="W210" i="1"/>
  <c r="W208" i="1"/>
  <c r="W181" i="1"/>
  <c r="R181" i="1"/>
  <c r="W157" i="1"/>
  <c r="W264" i="1"/>
  <c r="W243" i="1"/>
  <c r="W223" i="1"/>
  <c r="W173" i="1"/>
  <c r="R173" i="1"/>
  <c r="W135" i="1"/>
  <c r="W281" i="1"/>
  <c r="W217" i="1"/>
  <c r="W250" i="1"/>
  <c r="W232" i="1"/>
  <c r="W206" i="1"/>
  <c r="R206" i="1"/>
  <c r="W159" i="1"/>
  <c r="R159" i="1"/>
  <c r="R41" i="1"/>
  <c r="R66" i="1"/>
  <c r="W48" i="1"/>
  <c r="W15" i="1"/>
  <c r="R50" i="1"/>
  <c r="R94" i="1"/>
  <c r="R83" i="1"/>
  <c r="R61" i="1"/>
  <c r="W101" i="1"/>
  <c r="W90" i="1"/>
</calcChain>
</file>

<file path=xl/sharedStrings.xml><?xml version="1.0" encoding="utf-8"?>
<sst xmlns="http://schemas.openxmlformats.org/spreadsheetml/2006/main" count="7136" uniqueCount="2099">
  <si>
    <t>Loan ID</t>
  </si>
  <si>
    <t>Issue Date</t>
  </si>
  <si>
    <t>Borrower ID</t>
  </si>
  <si>
    <t>State</t>
  </si>
  <si>
    <t>Loan Amount</t>
  </si>
  <si>
    <t>Interest Rate</t>
  </si>
  <si>
    <t>Term (Months)</t>
  </si>
  <si>
    <t>Loan Status</t>
  </si>
  <si>
    <t>Loan Grade</t>
  </si>
  <si>
    <t>Loan Intent</t>
  </si>
  <si>
    <t>Annual Income</t>
  </si>
  <si>
    <t>Home Ownership</t>
  </si>
  <si>
    <t>DTI</t>
  </si>
  <si>
    <t>LTV</t>
  </si>
  <si>
    <t>Total Payments Received</t>
  </si>
  <si>
    <t>Recovery Amount</t>
  </si>
  <si>
    <t>L0001</t>
  </si>
  <si>
    <t>B0001</t>
  </si>
  <si>
    <t>OH</t>
  </si>
  <si>
    <t>Fully Paid</t>
  </si>
  <si>
    <t>A</t>
  </si>
  <si>
    <t>small business</t>
  </si>
  <si>
    <t>OWN</t>
  </si>
  <si>
    <t>L0002</t>
  </si>
  <si>
    <t>B0002</t>
  </si>
  <si>
    <t>PA</t>
  </si>
  <si>
    <t>Current</t>
  </si>
  <si>
    <t>D</t>
  </si>
  <si>
    <t>credit card</t>
  </si>
  <si>
    <t>MORTGAGE</t>
  </si>
  <si>
    <t>L0003</t>
  </si>
  <si>
    <t>B0003</t>
  </si>
  <si>
    <t>home improvement</t>
  </si>
  <si>
    <t>RENT</t>
  </si>
  <si>
    <t>L0004</t>
  </si>
  <si>
    <t>B0004</t>
  </si>
  <si>
    <t>F</t>
  </si>
  <si>
    <t>other</t>
  </si>
  <si>
    <t>L0005</t>
  </si>
  <si>
    <t>B0005</t>
  </si>
  <si>
    <t>NY</t>
  </si>
  <si>
    <t>G</t>
  </si>
  <si>
    <t>L0006</t>
  </si>
  <si>
    <t>B0006</t>
  </si>
  <si>
    <t>L0007</t>
  </si>
  <si>
    <t>B0007</t>
  </si>
  <si>
    <t>MI</t>
  </si>
  <si>
    <t>debt consolidation</t>
  </si>
  <si>
    <t>L0008</t>
  </si>
  <si>
    <t>B0008</t>
  </si>
  <si>
    <t>NC</t>
  </si>
  <si>
    <t>L0009</t>
  </si>
  <si>
    <t>B0009</t>
  </si>
  <si>
    <t>GA</t>
  </si>
  <si>
    <t>L0010</t>
  </si>
  <si>
    <t>B0010</t>
  </si>
  <si>
    <t>IL</t>
  </si>
  <si>
    <t>B</t>
  </si>
  <si>
    <t>L0011</t>
  </si>
  <si>
    <t>B0011</t>
  </si>
  <si>
    <t>Late (31-120 days)</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</si>
  <si>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</si>
  <si>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</si>
  <si>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</si>
  <si>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</si>
  <si>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</si>
  <si>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</si>
  <si>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</si>
  <si>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</si>
  <si>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</si>
  <si>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</si>
  <si>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</si>
  <si>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</si>
  <si>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</si>
  <si>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</si>
  <si>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</si>
  <si>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</si>
  <si>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</si>
  <si>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</si>
  <si>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</si>
  <si>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</si>
  <si>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</si>
  <si>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</si>
  <si>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</si>
  <si>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</si>
  <si>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</si>
  <si>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</si>
  <si>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</si>
  <si>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</si>
  <si>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</si>
  <si>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</si>
  <si>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</si>
  <si>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</si>
  <si>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</si>
  <si>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</si>
  <si>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</si>
  <si>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</si>
  <si>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</si>
  <si>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</si>
  <si>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</si>
  <si>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</si>
  <si>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</si>
  <si>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</si>
  <si>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</si>
  <si>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</si>
  <si>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</si>
  <si>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</si>
  <si>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</si>
  <si>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</si>
  <si>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</si>
  <si>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</si>
  <si>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</si>
  <si>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</si>
  <si>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</si>
  <si>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</si>
  <si>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</si>
  <si>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</si>
  <si>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</si>
  <si>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</si>
  <si>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</si>
  <si>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</si>
  <si>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</si>
  <si>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</si>
  <si>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</si>
  <si>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</si>
  <si>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</si>
  <si>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</si>
  <si>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</si>
  <si>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</si>
  <si>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</si>
  <si>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</si>
  <si>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</si>
  <si>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</si>
  <si>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</si>
  <si>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</si>
  <si>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</si>
  <si>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</si>
  <si>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</si>
  <si>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</si>
  <si>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</si>
  <si>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</si>
  <si>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</si>
  <si>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</si>
  <si>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</si>
  <si>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</si>
  <si>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</si>
  <si>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</si>
  <si>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</si>
  <si>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</si>
  <si>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</si>
  <si>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</si>
  <si>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</si>
  <si>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</si>
  <si>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</si>
  <si>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</si>
  <si>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</si>
  <si>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</si>
  <si>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</si>
  <si>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</si>
  <si>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</si>
  <si>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</si>
  <si>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</si>
  <si>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</si>
  <si>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</si>
  <si>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</si>
  <si>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</si>
  <si>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</si>
  <si>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</si>
  <si>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</si>
  <si>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</si>
  <si>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</si>
  <si>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</si>
  <si>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</si>
  <si>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</si>
  <si>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</si>
  <si>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</si>
  <si>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</si>
  <si>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</si>
  <si>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</si>
  <si>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</si>
  <si>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</si>
  <si>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</si>
  <si>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</si>
  <si>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</si>
  <si>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</si>
  <si>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</si>
  <si>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</si>
  <si>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</si>
  <si>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</si>
  <si>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</si>
  <si>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</si>
  <si>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</si>
  <si>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</si>
  <si>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</si>
  <si>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</si>
  <si>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</si>
  <si>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</si>
  <si>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</si>
  <si>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</si>
  <si>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</si>
  <si>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</si>
  <si>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</si>
  <si>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</si>
  <si>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</si>
  <si>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</si>
  <si>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</si>
  <si>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</si>
  <si>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</si>
  <si>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</si>
  <si>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</si>
  <si>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</si>
  <si>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</si>
  <si>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</si>
  <si>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</si>
  <si>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</si>
  <si>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</si>
  <si>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</si>
  <si>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</si>
  <si>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</si>
  <si>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</si>
  <si>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</si>
  <si>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</si>
  <si>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</si>
  <si>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</si>
  <si>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</si>
  <si>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</si>
  <si>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</si>
  <si>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</si>
  <si>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</si>
  <si>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</si>
  <si>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</si>
  <si>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</si>
  <si>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</si>
  <si>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</si>
  <si>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</si>
  <si>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</si>
  <si>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</si>
  <si>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</si>
  <si>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</si>
  <si>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</si>
  <si>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</si>
  <si>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</si>
  <si>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</si>
  <si>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</si>
  <si>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</si>
  <si>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</si>
  <si>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</si>
  <si>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</si>
  <si>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</si>
  <si>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</si>
  <si>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</si>
  <si>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</si>
  <si>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</si>
  <si>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</si>
  <si>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</si>
  <si>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</si>
  <si>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</si>
  <si>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</si>
  <si>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</si>
  <si>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</si>
  <si>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</si>
  <si>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</si>
  <si>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</si>
  <si>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</si>
  <si>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</si>
  <si>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</si>
  <si>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</si>
  <si>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</si>
  <si>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</si>
  <si>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</si>
  <si>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</si>
  <si>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</si>
  <si>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</si>
  <si>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</si>
  <si>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</si>
  <si>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</si>
  <si>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</si>
  <si>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</si>
  <si>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</si>
  <si>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</si>
  <si>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</si>
  <si>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</si>
  <si>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</si>
  <si>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</si>
  <si>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</si>
  <si>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</si>
  <si>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</si>
  <si>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</si>
  <si>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</si>
  <si>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</si>
  <si>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</si>
  <si>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</si>
  <si>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</si>
  <si>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</si>
  <si>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</si>
  <si>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</si>
  <si>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</si>
  <si>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</si>
  <si>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</si>
  <si>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</si>
  <si>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</si>
  <si>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</si>
  <si>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</si>
  <si>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</si>
  <si>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</si>
  <si>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</si>
  <si>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</si>
  <si>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</si>
  <si>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</si>
  <si>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</si>
  <si>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</si>
  <si>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</si>
  <si>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</si>
  <si>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</si>
  <si>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</si>
  <si>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</si>
  <si>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</si>
  <si>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</si>
  <si>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</si>
  <si>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</si>
  <si>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</si>
  <si>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</si>
  <si>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</si>
  <si>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</si>
  <si>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</si>
  <si>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</si>
  <si>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</si>
  <si>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</si>
  <si>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</si>
  <si>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</si>
  <si>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</si>
  <si>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</si>
  <si>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</si>
  <si>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</si>
  <si>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</si>
  <si>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</si>
  <si>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</si>
  <si>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</si>
  <si>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</si>
  <si>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</si>
  <si>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</si>
  <si>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</si>
  <si>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</si>
  <si>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</si>
  <si>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</si>
  <si>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</si>
  <si>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</si>
  <si>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</si>
  <si>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</si>
  <si>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</si>
  <si>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</si>
  <si>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</si>
  <si>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</si>
  <si>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</si>
  <si>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</si>
  <si>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</si>
  <si>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</si>
  <si>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</si>
  <si>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</si>
  <si>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</si>
  <si>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</si>
  <si>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</si>
  <si>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</si>
  <si>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</si>
  <si>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</si>
  <si>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</si>
  <si>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</si>
  <si>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</si>
  <si>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</si>
  <si>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</si>
  <si>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</si>
  <si>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</si>
  <si>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</si>
  <si>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</si>
  <si>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</si>
  <si>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</si>
  <si>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</si>
  <si>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</si>
  <si>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</si>
  <si>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</si>
  <si>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</si>
  <si>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</si>
  <si>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</si>
  <si>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</si>
  <si>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</si>
  <si>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</si>
  <si>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</si>
  <si>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</si>
  <si>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</si>
  <si>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</si>
  <si>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</si>
  <si>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</si>
  <si>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</si>
  <si>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</si>
  <si>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</si>
  <si>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</si>
  <si>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</si>
  <si>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</si>
  <si>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</si>
  <si>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</si>
  <si>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</si>
  <si>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</si>
  <si>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</si>
  <si>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</si>
  <si>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</si>
  <si>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</si>
  <si>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</si>
  <si>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</si>
  <si>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</si>
  <si>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</si>
  <si>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</si>
  <si>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</si>
  <si>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</si>
  <si>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</si>
  <si>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</si>
  <si>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</si>
  <si>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</si>
  <si>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</si>
  <si>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</si>
  <si>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</si>
  <si>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</si>
  <si>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</si>
  <si>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</si>
  <si>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</si>
  <si>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</si>
  <si>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</si>
  <si>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</si>
  <si>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</si>
  <si>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</si>
  <si>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</si>
  <si>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</si>
  <si>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</si>
  <si>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</si>
  <si>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</si>
  <si>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</si>
  <si>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</si>
  <si>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</si>
  <si>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</si>
  <si>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</si>
  <si>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</si>
  <si>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</si>
  <si>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</si>
  <si>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</si>
  <si>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</si>
  <si>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</si>
  <si>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</si>
  <si>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</si>
  <si>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</si>
  <si>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</si>
  <si>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</si>
  <si>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</si>
  <si>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</si>
  <si>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</si>
  <si>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</si>
  <si>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</si>
  <si>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</si>
  <si>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</si>
  <si>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</si>
  <si>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</si>
  <si>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</si>
  <si>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</si>
  <si>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</si>
  <si>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</si>
  <si>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</si>
  <si>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</si>
  <si>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</si>
  <si>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</si>
  <si>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</si>
  <si>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</si>
  <si>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</si>
  <si>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</si>
  <si>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</si>
  <si>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</si>
  <si>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</si>
  <si>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</si>
  <si>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</si>
  <si>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</si>
  <si>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</si>
  <si>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</si>
  <si>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</si>
  <si>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</si>
  <si>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</si>
  <si>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</si>
  <si>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</si>
  <si>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</si>
  <si>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</si>
  <si>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</si>
  <si>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</si>
  <si>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</si>
  <si>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</si>
  <si>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</si>
  <si>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</si>
  <si>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</si>
  <si>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</si>
  <si>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</si>
  <si>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</si>
  <si>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</si>
  <si>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</si>
  <si>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</si>
  <si>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</si>
  <si>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</si>
  <si>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</si>
  <si>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</si>
  <si>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</si>
  <si>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</si>
  <si>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</si>
  <si>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</si>
  <si>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</si>
  <si>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</si>
  <si>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</si>
  <si>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</si>
  <si>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</si>
  <si>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</si>
  <si>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</si>
  <si>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</si>
  <si>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</si>
  <si>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</si>
  <si>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</si>
  <si>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</si>
  <si>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</si>
  <si>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</si>
  <si>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</si>
  <si>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</si>
  <si>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</si>
  <si>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</si>
  <si>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</si>
  <si>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</si>
  <si>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</si>
  <si>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</si>
  <si>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</si>
  <si>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</si>
  <si>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</si>
  <si>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</si>
  <si>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</si>
  <si>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</si>
  <si>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</si>
  <si>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</si>
  <si>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</si>
  <si>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</si>
  <si>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</si>
  <si>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</si>
  <si>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</si>
  <si>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</si>
  <si>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</si>
  <si>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</si>
  <si>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</si>
  <si>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</si>
  <si>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</si>
  <si>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</si>
  <si>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</si>
  <si>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</si>
  <si>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</si>
  <si>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</si>
  <si>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</si>
  <si>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</si>
  <si>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</si>
  <si>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</si>
  <si>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</si>
  <si>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</si>
  <si>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</si>
  <si>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</si>
  <si>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</si>
  <si>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</si>
  <si>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</si>
  <si>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</si>
  <si>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</si>
  <si>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</si>
  <si>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</si>
  <si>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</si>
  <si>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</si>
  <si>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</si>
  <si>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</si>
  <si>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</si>
  <si>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</si>
  <si>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</si>
  <si>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</si>
  <si>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</si>
  <si>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</si>
  <si>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</si>
  <si>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</si>
  <si>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</si>
  <si>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</si>
  <si>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</si>
  <si>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</si>
  <si>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</si>
  <si>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</si>
  <si>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</si>
  <si>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</si>
  <si>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</si>
  <si>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</si>
  <si>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</si>
  <si>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</si>
  <si>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</si>
  <si>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</si>
  <si>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</si>
  <si>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</si>
  <si>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</si>
  <si>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</si>
  <si>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</si>
  <si>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</si>
  <si>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</si>
  <si>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</si>
  <si>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</si>
  <si>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</si>
  <si>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</si>
  <si>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</si>
  <si>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</si>
  <si>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</si>
  <si>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</si>
  <si>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</si>
  <si>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</si>
  <si>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</si>
  <si>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</si>
  <si>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</si>
  <si>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</si>
  <si>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</si>
  <si>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</si>
  <si>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</si>
  <si>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</si>
  <si>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</si>
  <si>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</si>
  <si>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</si>
  <si>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</si>
  <si>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</si>
  <si>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</si>
  <si>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</si>
  <si>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</si>
  <si>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</si>
  <si>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</si>
  <si>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</si>
  <si>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</si>
  <si>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</si>
  <si>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</si>
  <si>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</si>
  <si>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</si>
  <si>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</si>
  <si>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</si>
  <si>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</si>
  <si>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</si>
  <si>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</si>
  <si>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</si>
  <si>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</si>
  <si>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</si>
  <si>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</si>
  <si>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</si>
  <si>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</si>
  <si>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</si>
  <si>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</si>
  <si>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</si>
  <si>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</si>
  <si>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</si>
  <si>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</si>
  <si>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</si>
  <si>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</si>
  <si>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</si>
  <si>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</si>
  <si>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</si>
  <si>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</si>
  <si>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</si>
  <si>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</si>
  <si>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</si>
  <si>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</si>
  <si>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</si>
  <si>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</si>
  <si>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</si>
  <si>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</si>
  <si>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</si>
  <si>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</si>
  <si>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</si>
  <si>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</si>
  <si>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</si>
  <si>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</si>
  <si>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</si>
  <si>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</si>
  <si>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</si>
  <si>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</si>
  <si>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</si>
  <si>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</si>
  <si>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</si>
  <si>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</si>
  <si>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</si>
  <si>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</si>
  <si>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</si>
  <si>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</si>
  <si>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</si>
  <si>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</si>
  <si>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</si>
  <si>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</si>
  <si>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</si>
  <si>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</si>
  <si>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</si>
  <si>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</si>
  <si>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</si>
  <si>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</si>
  <si>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</si>
  <si>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</si>
  <si>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</si>
  <si>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</si>
  <si>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</si>
  <si>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</si>
  <si>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</si>
  <si>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</si>
  <si>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</si>
  <si>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</si>
  <si>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</si>
  <si>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</si>
  <si>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</si>
  <si>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</si>
  <si>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</si>
  <si>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</si>
  <si>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</si>
  <si>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</si>
  <si>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</si>
  <si>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</si>
  <si>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</si>
  <si>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</si>
  <si>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</si>
  <si>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</si>
  <si>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</si>
  <si>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</si>
  <si>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</si>
  <si>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</si>
  <si>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</si>
  <si>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</si>
  <si>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</si>
  <si>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</si>
  <si>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</si>
  <si>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</si>
  <si>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</si>
  <si>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</si>
  <si>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</si>
  <si>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</si>
  <si>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</si>
  <si>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</si>
  <si>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</si>
  <si>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</si>
  <si>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</si>
  <si>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</si>
  <si>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</si>
  <si>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</si>
  <si>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</si>
  <si>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</si>
  <si>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</si>
  <si>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</si>
  <si>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</si>
  <si>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</si>
  <si>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</si>
  <si>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</si>
  <si>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</si>
  <si>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</si>
  <si>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</si>
  <si>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</si>
  <si>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</si>
  <si>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</si>
  <si>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</si>
  <si>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</si>
  <si>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</si>
  <si>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</si>
  <si>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</si>
  <si>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</si>
  <si>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</si>
  <si>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</si>
  <si>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</si>
  <si>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</si>
  <si>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</si>
  <si>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</si>
  <si>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</si>
  <si>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</si>
  <si>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</si>
  <si>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</si>
  <si>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</si>
  <si>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</si>
  <si>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</si>
  <si>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</si>
  <si>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</si>
  <si>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</si>
  <si>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</si>
  <si>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</si>
  <si>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</si>
  <si>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</si>
  <si>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</si>
  <si>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</si>
  <si>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</si>
  <si>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</si>
  <si>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</si>
  <si>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</si>
  <si>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</si>
  <si>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</si>
  <si>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</si>
  <si>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</si>
  <si>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</si>
  <si>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</si>
  <si>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</si>
  <si>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</si>
  <si>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</si>
  <si>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</si>
  <si>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</si>
  <si>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</si>
  <si>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</si>
  <si>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</si>
  <si>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</si>
  <si>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</si>
  <si>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</si>
  <si>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</si>
  <si>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</si>
  <si>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</si>
  <si>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</si>
  <si>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</si>
  <si>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</si>
  <si>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</si>
  <si>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</si>
  <si>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</si>
  <si>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</si>
  <si>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</si>
  <si>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</si>
  <si>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</si>
  <si>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</si>
  <si>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</si>
  <si>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</si>
  <si>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</si>
  <si>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</si>
  <si>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</si>
  <si>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</si>
  <si>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</si>
  <si>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</si>
  <si>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</si>
  <si>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</si>
  <si>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</si>
  <si>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</si>
  <si>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</si>
  <si>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</si>
  <si>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</si>
  <si>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</si>
  <si>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</si>
  <si>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</si>
  <si>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</si>
  <si>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</si>
  <si>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</si>
  <si>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</si>
  <si>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</si>
  <si>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</si>
  <si>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</si>
  <si>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</si>
  <si>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</si>
  <si>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</si>
  <si>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</si>
  <si>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</si>
  <si>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</si>
  <si>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</si>
  <si>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</si>
  <si>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</si>
  <si>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</si>
  <si>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</si>
  <si>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</si>
  <si>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</si>
  <si>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</si>
  <si>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</si>
  <si>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</si>
  <si>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</si>
  <si>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</si>
  <si>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</si>
  <si>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</si>
  <si>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</si>
  <si>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</si>
  <si>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</si>
  <si>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</si>
  <si>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</si>
  <si>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</si>
  <si>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</si>
  <si>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</si>
  <si>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</si>
  <si>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</si>
  <si>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</si>
  <si>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</si>
  <si>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</si>
  <si>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</si>
  <si>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</si>
  <si>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</si>
  <si>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</si>
  <si>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</si>
  <si>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</si>
  <si>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</si>
  <si>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</si>
  <si>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</si>
  <si>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</si>
  <si>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</si>
  <si>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</si>
  <si>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</si>
  <si>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</si>
  <si>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</si>
  <si>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</si>
  <si>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</si>
  <si>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</si>
  <si>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</si>
  <si>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</si>
  <si>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</si>
  <si>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</si>
  <si>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</si>
  <si>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</si>
  <si>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</si>
  <si>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</si>
  <si>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</si>
  <si>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</si>
  <si>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</si>
  <si>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</si>
  <si>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</si>
  <si>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</si>
  <si>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</si>
  <si>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</si>
  <si>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</si>
  <si>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</si>
  <si>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</si>
  <si>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</si>
  <si>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</si>
  <si>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</si>
  <si>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</si>
  <si>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</si>
  <si>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</si>
  <si>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</si>
  <si>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</si>
  <si>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</si>
  <si>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</si>
  <si>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</si>
  <si>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</si>
  <si>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</si>
  <si>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</si>
  <si>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</si>
  <si>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</si>
  <si>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</si>
  <si>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</si>
  <si>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</si>
  <si>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</si>
  <si>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</si>
  <si>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</si>
  <si>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</si>
  <si>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</si>
  <si>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</si>
  <si>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</si>
  <si>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</si>
  <si>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</si>
  <si>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</si>
  <si>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</si>
  <si>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</si>
  <si>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</si>
  <si>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</si>
  <si>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</si>
  <si>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</si>
  <si>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</si>
  <si>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</si>
  <si>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</si>
  <si>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</si>
  <si>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</si>
  <si>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</si>
  <si>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</si>
  <si>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</si>
  <si>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</si>
  <si>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</si>
  <si>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</si>
  <si>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</si>
  <si>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</si>
  <si>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</si>
  <si>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</si>
  <si>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</si>
  <si>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</si>
  <si>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</si>
  <si>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</si>
  <si>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</si>
  <si>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</si>
  <si>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</si>
  <si>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</si>
  <si>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</si>
  <si>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</si>
  <si>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</si>
  <si>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</si>
  <si>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</si>
  <si>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</si>
  <si>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</si>
  <si>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</si>
  <si>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</si>
  <si>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</si>
  <si>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</si>
  <si>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</si>
  <si>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</si>
  <si>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</si>
  <si>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</si>
  <si>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</si>
  <si>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</si>
  <si>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</si>
  <si>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</si>
  <si>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</si>
  <si>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</si>
  <si>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</si>
  <si>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</si>
  <si>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</si>
  <si>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</si>
  <si>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</si>
  <si>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</si>
  <si>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</si>
  <si>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</si>
  <si>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</si>
  <si>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</si>
  <si>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</si>
  <si>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</si>
  <si>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</si>
  <si>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</si>
  <si>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</si>
  <si>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</si>
  <si>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</si>
  <si>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</si>
  <si>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</si>
  <si>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</si>
  <si>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</si>
  <si>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</si>
  <si>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</si>
  <si>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</si>
  <si>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</si>
  <si>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</si>
  <si>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</si>
  <si>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</si>
  <si>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</si>
  <si>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</si>
  <si>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</si>
  <si>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</si>
  <si>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</si>
  <si>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</si>
  <si>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</si>
  <si>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</si>
  <si>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</si>
  <si>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</si>
  <si>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</si>
  <si>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</si>
  <si>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</si>
  <si>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</si>
  <si>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</si>
  <si>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</si>
  <si>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</si>
  <si>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</si>
  <si>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</si>
  <si>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</si>
  <si>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</si>
  <si>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</si>
  <si>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</si>
  <si>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</si>
  <si>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</si>
  <si>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</si>
  <si>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</si>
  <si>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</si>
  <si>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</si>
  <si>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</si>
  <si>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</si>
  <si>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</si>
  <si>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</si>
  <si>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</si>
  <si>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</si>
  <si>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</si>
  <si>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</si>
  <si>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</si>
  <si>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</si>
  <si>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</si>
  <si>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</si>
  <si>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</si>
  <si>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</si>
  <si>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</si>
  <si>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</si>
  <si>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</si>
  <si>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</si>
  <si>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</si>
  <si>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</si>
  <si>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</si>
  <si>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</si>
  <si>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</si>
  <si>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</si>
  <si>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</si>
  <si>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</si>
  <si>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</si>
  <si>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</si>
  <si>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</si>
  <si>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</si>
  <si>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</si>
  <si>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</si>
  <si>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</si>
  <si>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</si>
  <si>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</si>
  <si>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</si>
  <si>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</si>
  <si>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</si>
  <si>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</si>
  <si>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</si>
  <si>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</si>
  <si>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</si>
  <si>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</si>
  <si>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</si>
  <si>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</si>
  <si>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</si>
  <si>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</si>
  <si>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</si>
  <si>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</si>
  <si>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</si>
  <si>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</si>
  <si>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</si>
  <si>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</si>
  <si>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</si>
  <si>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</si>
  <si>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</si>
  <si>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</si>
  <si>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</si>
  <si>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</si>
  <si>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</si>
  <si>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</si>
  <si>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</si>
  <si>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</si>
  <si>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</si>
  <si>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</si>
  <si>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</si>
  <si>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</si>
  <si>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</si>
  <si>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</si>
  <si>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</si>
  <si>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</si>
  <si>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</si>
  <si>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</si>
  <si>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</si>
  <si>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</si>
  <si>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</si>
  <si>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</si>
  <si>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</si>
  <si>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</si>
  <si>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</si>
  <si>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</si>
  <si>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</si>
  <si>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</si>
  <si>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</si>
  <si>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</si>
  <si>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</si>
  <si>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</si>
  <si>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</si>
  <si>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</si>
  <si>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</si>
  <si>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</si>
  <si>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</si>
  <si>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</si>
  <si>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</si>
  <si>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</si>
  <si>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</si>
  <si>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</si>
  <si>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</si>
  <si>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</si>
  <si>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</si>
  <si>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</si>
  <si>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</si>
  <si>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</si>
  <si>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</si>
  <si>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</si>
  <si>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</si>
  <si>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</si>
  <si>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</si>
  <si>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</si>
  <si>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</si>
  <si>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</si>
  <si>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</si>
  <si>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</si>
  <si>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</si>
  <si>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</si>
  <si>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</si>
  <si>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</si>
  <si>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</si>
  <si>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</si>
  <si>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</si>
  <si>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</si>
  <si>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</si>
  <si>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</si>
  <si>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</si>
  <si>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</si>
  <si>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</si>
  <si>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</si>
  <si>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</si>
  <si>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</si>
  <si>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</si>
  <si>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</si>
  <si>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</si>
  <si>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</si>
  <si>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</si>
  <si>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</si>
  <si>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</si>
  <si>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</si>
  <si>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</si>
  <si>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</si>
  <si>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</si>
  <si>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</si>
  <si>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</si>
  <si>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</si>
  <si>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</si>
  <si>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</si>
  <si>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</si>
  <si>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</si>
  <si>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</si>
  <si>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</si>
  <si>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</si>
  <si>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</si>
  <si>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</si>
  <si>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</si>
  <si>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</si>
  <si>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</si>
  <si>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</si>
  <si>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</si>
  <si>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</si>
  <si>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</si>
  <si>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</si>
  <si>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</si>
  <si>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</si>
  <si>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</si>
  <si>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</si>
  <si>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</si>
  <si>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</si>
  <si>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</si>
  <si>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</si>
  <si>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</si>
  <si>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</si>
  <si>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</si>
  <si>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</si>
  <si>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</si>
  <si>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</si>
  <si>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</si>
  <si>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</si>
  <si>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</si>
  <si>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</si>
  <si>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</si>
  <si>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</si>
  <si>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</si>
  <si>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</si>
  <si>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</si>
  <si>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</si>
  <si>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</si>
  <si>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</si>
  <si>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</si>
  <si>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</si>
  <si>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</si>
  <si>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</si>
  <si>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</si>
  <si>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</si>
  <si>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</si>
  <si>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</si>
  <si>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</si>
  <si>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</si>
  <si>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</si>
  <si>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</si>
  <si>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</si>
  <si>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</si>
  <si>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</si>
  <si>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</si>
  <si>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</si>
  <si>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</si>
  <si>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</si>
  <si>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</si>
  <si>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</si>
  <si>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</si>
  <si>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</si>
  <si>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</si>
  <si>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</si>
  <si>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</si>
  <si>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</si>
  <si>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</si>
  <si>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</si>
  <si>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</si>
  <si>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</si>
  <si>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</si>
  <si>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</si>
  <si>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</si>
  <si>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</si>
  <si>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</si>
  <si>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</si>
  <si>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</si>
  <si>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</si>
  <si>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</si>
  <si>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</si>
  <si>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</si>
  <si>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</si>
  <si>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</si>
  <si>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</si>
  <si>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</si>
  <si>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</si>
  <si>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</si>
  <si>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</si>
  <si>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</si>
  <si>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</si>
  <si>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</si>
  <si>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</si>
  <si>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</si>
  <si>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</si>
  <si>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</si>
  <si>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</si>
  <si>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</si>
  <si>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</si>
  <si>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</si>
  <si>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</si>
  <si>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</si>
  <si>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</si>
  <si>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</si>
  <si>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</si>
  <si>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</si>
  <si>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</si>
  <si>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</si>
  <si>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</si>
  <si>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</si>
  <si>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</si>
  <si>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</si>
  <si>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</si>
  <si>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</si>
  <si>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</si>
  <si>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</si>
  <si>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</si>
  <si>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</si>
  <si>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</si>
  <si>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</si>
  <si>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</si>
  <si>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</si>
  <si>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</si>
  <si>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</si>
  <si>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</si>
  <si>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</si>
  <si>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</si>
  <si>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</si>
  <si>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</si>
  <si>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</si>
  <si>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</si>
  <si>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</si>
  <si>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</si>
  <si>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</si>
  <si>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</si>
  <si>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</si>
  <si>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</si>
  <si>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</si>
  <si>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</si>
  <si>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</si>
  <si>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</si>
  <si>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</si>
  <si>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</si>
  <si>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</si>
  <si>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</si>
  <si>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</si>
  <si>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</si>
  <si>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</si>
  <si>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</si>
  <si>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</si>
  <si>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</si>
  <si>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</si>
  <si>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</si>
  <si>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</si>
  <si>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</si>
  <si>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</si>
  <si>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</si>
  <si>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</si>
  <si>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</si>
  <si>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</si>
  <si>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</si>
  <si>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</si>
  <si>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</si>
  <si>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</si>
  <si>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</si>
  <si>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</si>
  <si>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</si>
  <si>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</si>
  <si>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</si>
  <si>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</si>
  <si>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</si>
  <si>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</si>
  <si>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</si>
  <si>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</si>
  <si>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</si>
  <si>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</si>
  <si>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</si>
  <si>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</si>
  <si>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</si>
  <si>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</si>
  <si>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</si>
  <si>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</si>
  <si>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</si>
  <si>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</si>
  <si>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</si>
  <si>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</si>
  <si>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</si>
  <si>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</si>
  <si>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</si>
  <si>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</si>
  <si>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</si>
  <si>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</si>
  <si>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</si>
  <si>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</si>
  <si>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</si>
  <si>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</si>
  <si>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</si>
  <si>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</si>
  <si>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</si>
  <si>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</si>
  <si>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</si>
  <si>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</si>
  <si>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</si>
  <si>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</si>
  <si>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</si>
  <si>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</si>
  <si>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</si>
  <si>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</si>
  <si>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</si>
  <si>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</si>
  <si>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</si>
  <si>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</si>
  <si>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</si>
  <si>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</si>
  <si>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</si>
  <si>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</si>
  <si>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</si>
  <si>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</si>
  <si>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</si>
  <si>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</si>
  <si>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</si>
  <si>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</si>
  <si>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</si>
  <si>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</si>
  <si>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</si>
  <si>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</si>
  <si>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</si>
  <si>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</si>
  <si>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</si>
  <si>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</si>
  <si>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</si>
  <si>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</si>
  <si>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</si>
  <si>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</si>
  <si>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</si>
  <si>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</si>
  <si>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</si>
  <si>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</si>
  <si>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</si>
  <si>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</si>
  <si>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</si>
  <si>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</si>
  <si>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</si>
  <si>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</si>
  <si>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</si>
  <si>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</si>
  <si>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</si>
  <si>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</si>
  <si>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</si>
  <si>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</si>
  <si>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</si>
  <si>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</si>
  <si>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</si>
  <si>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</si>
  <si>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</si>
  <si>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</si>
  <si>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</si>
  <si>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</si>
  <si>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</si>
  <si>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</si>
  <si>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</si>
  <si>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</si>
  <si>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</si>
  <si>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</si>
  <si>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</si>
  <si>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</si>
  <si>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</si>
  <si>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</si>
  <si>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</si>
  <si>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</si>
  <si>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</si>
  <si>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</si>
  <si>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</si>
  <si>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</si>
  <si>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</si>
  <si>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</si>
  <si>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</si>
  <si>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</si>
  <si>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</si>
  <si>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</si>
  <si>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</si>
  <si>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</si>
  <si>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</si>
  <si>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</si>
  <si>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</si>
  <si>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</si>
  <si>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</si>
  <si>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</si>
  <si>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</si>
  <si>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</si>
  <si>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</si>
  <si>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</si>
  <si>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</si>
  <si>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</si>
  <si>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</si>
  <si>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</si>
  <si>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</si>
  <si>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</si>
  <si>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</si>
  <si>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</si>
  <si>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</si>
  <si>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</si>
  <si>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</si>
  <si>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</si>
  <si>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</si>
  <si>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</si>
  <si>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</si>
  <si>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</si>
  <si>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</si>
  <si>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</si>
  <si>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</si>
  <si>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</si>
  <si>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</si>
  <si>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</si>
  <si>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</si>
  <si>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</si>
  <si>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</si>
  <si>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</si>
  <si>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</si>
  <si>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</si>
  <si>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</si>
  <si>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</si>
  <si>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</si>
  <si>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</si>
  <si>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</si>
  <si>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</si>
  <si>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</si>
  <si>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</si>
  <si>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</si>
  <si>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</si>
  <si>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</si>
  <si>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</si>
  <si>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</si>
  <si>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</si>
  <si>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</si>
  <si>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</si>
  <si>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</si>
  <si>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</si>
  <si>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</si>
  <si>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</si>
  <si>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</si>
  <si>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</si>
  <si>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</si>
  <si>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</si>
  <si>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</si>
  <si>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</si>
  <si>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</si>
  <si>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</si>
  <si>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</si>
  <si>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</si>
  <si>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</si>
  <si>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</si>
  <si>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</si>
  <si>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</si>
  <si>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</si>
  <si>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</si>
  <si>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</si>
  <si>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</si>
  <si>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</si>
  <si>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</si>
  <si>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</si>
  <si>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</si>
  <si>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</si>
  <si>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</si>
  <si>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</si>
  <si>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</si>
  <si>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</si>
  <si>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</si>
  <si>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</si>
  <si>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</si>
  <si>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</si>
  <si>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</si>
  <si>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</si>
  <si>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</si>
  <si>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</si>
  <si>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</si>
  <si>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</si>
  <si>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</si>
  <si>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</si>
  <si>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</si>
  <si>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</si>
  <si>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</si>
  <si>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</si>
  <si>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</si>
  <si>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</si>
  <si>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</si>
  <si>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</si>
  <si>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</si>
  <si>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</si>
  <si>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</si>
  <si>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</si>
  <si>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</si>
  <si>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</si>
  <si>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</si>
  <si>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</si>
  <si>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</si>
  <si>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</si>
  <si>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</si>
  <si>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</si>
  <si>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</si>
  <si>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</si>
  <si>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</si>
  <si>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</si>
  <si>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</si>
  <si>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</si>
  <si>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</si>
  <si>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</si>
  <si>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</si>
  <si>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</si>
  <si>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</si>
  <si>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</si>
  <si>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</si>
  <si>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</si>
  <si>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</si>
  <si>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</si>
  <si>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</si>
  <si>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</si>
  <si>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</si>
  <si>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</si>
  <si>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</si>
  <si>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</si>
  <si>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</si>
  <si>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</si>
  <si>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</si>
  <si>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</si>
  <si>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</si>
  <si>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</si>
  <si>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</si>
  <si>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</si>
  <si>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</si>
  <si>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</si>
  <si>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</si>
  <si>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</si>
  <si>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</si>
  <si>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</si>
  <si>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</si>
  <si>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</si>
  <si>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</si>
  <si>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</si>
  <si>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</si>
  <si>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</si>
  <si>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</si>
  <si>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</si>
  <si>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</si>
  <si>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</si>
  <si>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</si>
  <si>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</si>
  <si>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</si>
  <si>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</si>
  <si>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</si>
  <si>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</si>
  <si>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</si>
  <si>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</si>
  <si>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</si>
  <si>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</si>
  <si>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</si>
  <si>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</si>
  <si>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</si>
  <si>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</si>
  <si>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</si>
  <si>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</si>
  <si>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</si>
  <si>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</si>
  <si>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</si>
  <si>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</si>
  <si>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</si>
  <si>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</si>
  <si>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</si>
  <si>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</si>
  <si>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</si>
  <si>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</si>
  <si>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</si>
  <si>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</si>
  <si>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</si>
  <si>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</si>
  <si>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</si>
  <si>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</si>
  <si>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</si>
  <si>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</si>
  <si>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</si>
  <si>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</si>
  <si>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</si>
  <si>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</si>
  <si>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</si>
  <si>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</si>
  <si>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</si>
  <si>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</si>
  <si>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</si>
  <si>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</si>
  <si>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</si>
  <si>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</si>
  <si>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</si>
  <si>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</si>
  <si>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</si>
  <si>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</si>
  <si>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</si>
  <si>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</si>
  <si>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</si>
  <si>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</si>
  <si>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</si>
  <si>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</si>
  <si>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</si>
  <si>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</si>
  <si>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</si>
  <si>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</si>
  <si>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</si>
  <si>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</si>
  <si>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</si>
  <si>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</si>
  <si>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</si>
  <si>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</si>
  <si>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</si>
  <si>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</si>
  <si>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</si>
  <si>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</si>
  <si>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</si>
  <si>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</si>
  <si>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</si>
  <si>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</si>
  <si>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</si>
  <si>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</si>
  <si>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</si>
  <si>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</si>
  <si>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</si>
  <si>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</si>
  <si>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</si>
  <si>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</si>
  <si>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</si>
  <si>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</si>
  <si>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</si>
  <si>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</si>
  <si>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</si>
  <si>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</si>
  <si>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</si>
  <si>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</si>
  <si>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</si>
  <si>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</si>
  <si>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</si>
  <si>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</si>
  <si>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</si>
  <si>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</si>
  <si>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</si>
  <si>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</si>
  <si>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</si>
  <si>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</si>
  <si>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</si>
  <si>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</si>
  <si>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</si>
  <si>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</si>
  <si>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</si>
  <si>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</si>
  <si>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</si>
  <si>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</si>
  <si>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</si>
  <si>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</si>
  <si>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</si>
  <si>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</si>
  <si>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</si>
  <si>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</si>
  <si>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</si>
  <si>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</si>
  <si>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</si>
  <si>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</si>
  <si>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</si>
  <si>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</si>
  <si>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</si>
  <si>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</si>
  <si>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</si>
  <si>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</si>
  <si>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</si>
  <si>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</si>
  <si>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</si>
  <si>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</si>
  <si>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</si>
  <si>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</si>
  <si>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</si>
  <si>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</si>
  <si>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</si>
  <si>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</si>
  <si>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</si>
  <si>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</si>
  <si>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</si>
  <si>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</si>
  <si>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</si>
  <si>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</si>
  <si>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</si>
  <si>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</si>
  <si>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</si>
  <si>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</si>
  <si>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</si>
  <si>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</si>
  <si>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</si>
  <si>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</si>
  <si>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</si>
  <si>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</si>
  <si>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</si>
  <si>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</si>
  <si>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</si>
  <si>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</si>
  <si>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</si>
  <si>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</si>
  <si>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</si>
  <si>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</si>
  <si>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</si>
  <si>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</si>
  <si>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</si>
  <si>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</si>
  <si>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</si>
  <si>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</si>
  <si>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</si>
  <si>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</si>
  <si>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</si>
  <si>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</si>
  <si>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</si>
  <si>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</si>
  <si>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</si>
  <si>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</si>
  <si>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</si>
  <si>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</si>
  <si>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</si>
  <si>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</si>
  <si>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</si>
  <si>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</si>
  <si>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</si>
  <si>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</si>
  <si>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</si>
  <si>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</si>
  <si>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</si>
  <si>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</si>
  <si>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</si>
  <si>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</si>
  <si>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</si>
  <si>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</si>
  <si>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</si>
  <si>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</si>
  <si>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</si>
  <si>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</si>
  <si>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</si>
  <si>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</si>
  <si>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</si>
  <si>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</si>
  <si>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</si>
  <si>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</si>
  <si>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</si>
  <si>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</si>
  <si>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</si>
  <si>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</si>
  <si>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</si>
  <si>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</si>
  <si>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</si>
  <si>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</si>
  <si>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</si>
  <si>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</si>
  <si>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</si>
  <si>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</si>
  <si>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</si>
  <si>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</si>
  <si>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</si>
  <si>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</si>
  <si>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</si>
  <si>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</si>
  <si>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</si>
  <si>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</si>
  <si>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</si>
  <si>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</si>
  <si>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</si>
  <si>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</si>
  <si>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</si>
  <si>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</si>
  <si>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</si>
  <si>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</si>
  <si>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</si>
  <si>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</si>
  <si>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</si>
  <si>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</si>
  <si>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</si>
  <si>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</si>
  <si>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</si>
  <si>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</si>
  <si>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</si>
  <si>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</si>
  <si>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</si>
  <si>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</si>
  <si>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</si>
  <si>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</si>
  <si>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</si>
  <si>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</si>
  <si>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</si>
  <si>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</si>
  <si>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</si>
  <si>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</si>
  <si>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</si>
  <si>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</si>
  <si>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</si>
  <si>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</si>
  <si>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</si>
  <si>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</si>
  <si>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</si>
  <si>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</si>
  <si>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</si>
  <si>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</si>
  <si>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</si>
  <si>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</si>
  <si>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</si>
  <si>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</si>
  <si>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</si>
  <si>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</si>
  <si>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</si>
  <si>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</si>
  <si>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</si>
  <si>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</si>
  <si>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</si>
  <si>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</si>
  <si>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</si>
  <si>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</si>
  <si>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</si>
  <si>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</si>
  <si>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</si>
  <si>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</si>
  <si>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</si>
  <si>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</si>
  <si>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</si>
  <si>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</si>
  <si>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</si>
  <si>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</si>
  <si>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</si>
  <si>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</si>
  <si>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</si>
  <si>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</si>
  <si>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</si>
  <si>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</si>
  <si>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</si>
  <si>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</si>
  <si>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</si>
  <si>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</si>
  <si>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</si>
  <si>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</si>
  <si>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</si>
  <si>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</si>
  <si>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</si>
  <si>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</si>
  <si>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</si>
  <si>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</si>
  <si>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</si>
  <si>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</si>
  <si>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</si>
  <si>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</si>
  <si>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</si>
  <si>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</si>
  <si>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</si>
  <si>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</si>
  <si>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</si>
  <si>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</si>
  <si>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</si>
  <si>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</si>
  <si>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</si>
  <si>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</si>
  <si>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</si>
  <si>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</si>
  <si>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</si>
  <si>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</si>
  <si>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</si>
  <si>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</si>
  <si>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</si>
  <si>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</si>
  <si>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</si>
  <si>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</si>
  <si>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</si>
  <si>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</si>
  <si>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</si>
  <si>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</si>
  <si>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</si>
  <si>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</si>
  <si>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</si>
  <si>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</si>
  <si>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</si>
  <si>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</si>
  <si>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</si>
  <si>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</si>
  <si>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</si>
  <si>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</si>
  <si>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</si>
  <si>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</si>
  <si>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</si>
  <si>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</si>
  <si>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</si>
  <si>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</si>
  <si>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</si>
  <si>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</si>
  <si>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</si>
  <si>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</si>
  <si>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</si>
  <si>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</si>
  <si>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</si>
  <si>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</si>
  <si>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</si>
  <si>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</si>
  <si>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</si>
  <si>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</si>
  <si>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</si>
  <si>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</si>
  <si>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</si>
  <si>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</si>
  <si>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</si>
  <si>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</si>
  <si>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</si>
  <si>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</si>
  <si>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</si>
  <si>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</si>
  <si>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</si>
  <si>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</si>
  <si>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</si>
  <si>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</si>
  <si>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</si>
  <si>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</si>
  <si>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</si>
  <si>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</si>
  <si>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</si>
  <si>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</si>
  <si>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</si>
  <si>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</si>
  <si>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</si>
  <si>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</si>
  <si>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</si>
  <si>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</si>
  <si>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</si>
  <si>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</si>
  <si>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</si>
  <si>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</si>
  <si>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</si>
  <si>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</si>
  <si>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</si>
  <si>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</si>
  <si>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</si>
  <si>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</si>
  <si>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</si>
  <si>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</si>
  <si>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</si>
  <si>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</si>
  <si>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</si>
  <si>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</si>
  <si>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</si>
  <si>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</si>
  <si>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</si>
  <si>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</si>
  <si>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</si>
  <si>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</si>
  <si>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</si>
  <si>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</si>
  <si>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</si>
  <si>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</si>
  <si>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</si>
  <si>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LTV Ratio</t>
  </si>
  <si>
    <t>Monthly income</t>
  </si>
  <si>
    <t>DTI Ratio</t>
  </si>
  <si>
    <t>Months on book</t>
  </si>
  <si>
    <t>Profit/ loss loan</t>
  </si>
  <si>
    <t>Row Labels</t>
  </si>
  <si>
    <t>Grand Total</t>
  </si>
  <si>
    <t>Sum of Loan Amount</t>
  </si>
  <si>
    <t>Count of Loan ID</t>
  </si>
  <si>
    <t>Average of Loan Amount</t>
  </si>
  <si>
    <t>Sum of Profit/ loss loan</t>
  </si>
  <si>
    <t>Average of Interest Rate</t>
  </si>
  <si>
    <t>Column Labels</t>
  </si>
  <si>
    <t>Profil/Loss Margin</t>
  </si>
  <si>
    <t>EMI</t>
  </si>
  <si>
    <t>Total Interest</t>
  </si>
  <si>
    <t>Total Loan Amount</t>
  </si>
  <si>
    <t>Average Interest Rate</t>
  </si>
  <si>
    <t>Average Tenure</t>
  </si>
  <si>
    <t>EMI Received</t>
  </si>
  <si>
    <t>Target Profit</t>
  </si>
  <si>
    <t>Estimate Total Interest</t>
  </si>
  <si>
    <t>Total Amount Received</t>
  </si>
  <si>
    <t>Projected Profit With current Interest Rates</t>
  </si>
  <si>
    <t>Label</t>
  </si>
  <si>
    <t>Value</t>
  </si>
  <si>
    <t>WHAT IF CALCULATION VALUES</t>
  </si>
  <si>
    <t>Total Recovery Amount (lifetime)</t>
  </si>
  <si>
    <t>Target Profit Life Time</t>
  </si>
  <si>
    <t>Estomated Interest for lifetime</t>
  </si>
  <si>
    <t>Amount Recovered Life time</t>
  </si>
  <si>
    <t>Total Profit Lifetime</t>
  </si>
  <si>
    <t>Default Impact Multiplier</t>
  </si>
  <si>
    <t>Interest Rate Multiplier</t>
  </si>
  <si>
    <t>Optimistic Economy</t>
  </si>
  <si>
    <t>$C$39</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</si>
  <si>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</si>
  <si>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</si>
  <si>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</si>
  <si>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</si>
  <si>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</si>
  <si>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</si>
  <si>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</si>
  <si>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Scenario Manager</t>
  </si>
  <si>
    <t>Current Interest Rate</t>
  </si>
  <si>
    <t>$C$28</t>
  </si>
  <si>
    <t>$C$29</t>
  </si>
  <si>
    <t>Base Case</t>
  </si>
  <si>
    <t>Pessimistic Senario</t>
  </si>
  <si>
    <t>Created by Satish Belide on 3/19/2026
Modified by Satish Belide on 3/19/2026</t>
  </si>
  <si>
    <t>Loan stutus</t>
  </si>
  <si>
    <t>Loan grade</t>
  </si>
  <si>
    <t>Loan intent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</si>
</sst>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14009]dd/mm/yyyy;@"/>
    <numFmt numFmtId="165" formatCode="[$₹-439]#,##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Segoe UI"/>
    </font>
    <font>
      <sz val="14"/>
      <color theme="1"/>
      <name val="Aptos Display"/>
      <scheme val="major"/>
    </font>
    <font>
      <sz val="14"/>
      <color theme="1"/>
      <name val="Aptos Narrow"/>
      <family val="2"/>
      <scheme val="minor"/>
    </font>
    <font>
      <b/>
      <sz val="14"/>
      <color theme="1"/>
      <name val="Aptos Display"/>
      <scheme val="maj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10" xfId="0" applyBorder="1"/>
    <xf numFmtId="164" fontId="0" fillId="0" borderId="10" xfId="0" applyNumberFormat="1" applyBorder="1"/>
    <xf numFmtId="8" fontId="0" fillId="0" borderId="10" xfId="0" applyNumberFormat="1" applyBorder="1"/>
    <xf numFmtId="14" fontId="0" fillId="0" borderId="10" xfId="0" applyNumberFormat="1" applyBorder="1"/>
    <xf numFmtId="0" fontId="0" fillId="33" borderId="11" xfId="0" applyFill="1" applyBorder="1"/>
    <xf numFmtId="0" fontId="0" fillId="33" borderId="12" xfId="0" applyFill="1" applyBorder="1"/>
    <xf numFmtId="0" fontId="14" fillId="33" borderId="12" xfId="0" applyFont="1" applyFill="1" applyBorder="1"/>
    <xf numFmtId="0" fontId="14" fillId="33" borderId="13" xfId="0" applyFont="1" applyFill="1" applyBorder="1"/>
    <xf numFmtId="0" fontId="0" fillId="0" borderId="14" xfId="0" applyBorder="1"/>
    <xf numFmtId="10" fontId="0" fillId="0" borderId="15" xfId="0" applyNumberFormat="1" applyBorder="1"/>
    <xf numFmtId="0" fontId="0" fillId="0" borderId="16" xfId="0" applyBorder="1"/>
    <xf numFmtId="14" fontId="0" fillId="0" borderId="17" xfId="0" applyNumberFormat="1" applyBorder="1"/>
    <xf numFmtId="0" fontId="0" fillId="0" borderId="17" xfId="0" applyBorder="1"/>
    <xf numFmtId="8" fontId="0" fillId="0" borderId="17" xfId="0" applyNumberFormat="1" applyBorder="1"/>
    <xf numFmtId="10" fontId="0" fillId="0" borderId="18" xfId="0" applyNumberFormat="1" applyBorder="1"/>
    <xf numFmtId="0" fontId="14" fillId="33" borderId="19" xfId="0" applyFont="1" applyFill="1" applyBorder="1"/>
    <xf numFmtId="8" fontId="0" fillId="0" borderId="20" xfId="0" applyNumberFormat="1" applyBorder="1"/>
    <xf numFmtId="0" fontId="18" fillId="0" borderId="0" xfId="0" applyFont="1"/>
    <xf numFmtId="0" fontId="19" fillId="0" borderId="0" xfId="0" applyFont="1"/>
    <xf numFmtId="165" fontId="20" fillId="0" borderId="0" xfId="0" applyNumberFormat="1" applyFont="1"/>
    <xf numFmtId="0" fontId="20" fillId="0" borderId="0" xfId="0" applyFont="1"/>
    <xf numFmtId="2" fontId="20" fillId="0" borderId="0" xfId="0" applyNumberFormat="1" applyFont="1"/>
    <xf numFmtId="0" fontId="21" fillId="0" borderId="0" xfId="0" applyFont="1"/>
    <xf numFmtId="0" fontId="22" fillId="34" borderId="23" xfId="0" applyFont="1" applyFill="1" applyBorder="1" applyAlignment="1">
      <alignment horizontal="left"/>
    </xf>
    <xf numFmtId="0" fontId="22" fillId="34" borderId="21" xfId="0" applyFont="1" applyFill="1" applyBorder="1" applyAlignment="1">
      <alignment horizontal="left"/>
    </xf>
    <xf numFmtId="0" fontId="24" fillId="35" borderId="24" xfId="0" applyFont="1" applyFill="1" applyBorder="1" applyAlignment="1">
      <alignment horizontal="left"/>
    </xf>
    <xf numFmtId="0" fontId="23" fillId="35" borderId="22" xfId="0" applyFont="1" applyFill="1" applyBorder="1" applyAlignment="1">
      <alignment horizontal="left"/>
    </xf>
    <xf numFmtId="0" fontId="25" fillId="34" borderId="21" xfId="0" applyFont="1" applyFill="1" applyBorder="1" applyAlignment="1">
      <alignment horizontal="right"/>
    </xf>
    <xf numFmtId="0" fontId="25" fillId="34" borderId="23" xfId="0" applyFont="1" applyFill="1" applyBorder="1" applyAlignment="1">
      <alignment horizontal="right"/>
    </xf>
    <xf numFmtId="2" fontId="0" fillId="0" borderId="22" xfId="0" applyNumberFormat="1" applyBorder="1"/>
    <xf numFmtId="0" fontId="0" fillId="0" borderId="24" xfId="0" applyBorder="1"/>
    <xf numFmtId="0" fontId="23" fillId="35" borderId="0" xfId="0" applyFont="1" applyFill="1" applyAlignment="1">
      <alignment horizontal="left"/>
    </xf>
    <xf numFmtId="2" fontId="0" fillId="36" borderId="0" xfId="0" applyNumberFormat="1" applyFill="1"/>
    <xf numFmtId="0" fontId="26" fillId="0" borderId="0" xfId="0" applyFont="1" applyAlignment="1">
      <alignment vertical="top" wrapText="1"/>
    </xf>
    <xf numFmtId="165" fontId="19"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table!PivotTable1</c:name>
    <c:fmtId val="1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9203849518812"/>
          <c:y val="0.12860892388451445"/>
          <c:w val="0.48891776027996503"/>
          <c:h val="0.60804461942257215"/>
        </c:manualLayout>
      </c:layout>
      <c:lineChart>
        <c:grouping val="standard"/>
        <c:varyColors val="0"/>
        <c:ser>
          <c:idx val="0"/>
          <c:order val="0"/>
          <c:tx>
            <c:strRef>
              <c:f>'Pivot table'!$B$3</c:f>
              <c:strCache>
                <c:ptCount val="1"/>
                <c:pt idx="0">
                  <c:v>Sum of Loan Amount</c:v>
                </c:pt>
              </c:strCache>
            </c:strRef>
          </c:tx>
          <c:spPr>
            <a:ln w="28575" cap="rnd">
              <a:solidFill>
                <a:schemeClr val="accent1"/>
              </a:solidFill>
              <a:round/>
            </a:ln>
            <a:effectLst/>
          </c:spPr>
          <c:marker>
            <c:symbol val="none"/>
          </c:marker>
          <c:cat>
            <c:strRef>
              <c:f>'Pivot table'!$A$4:$A$9</c:f>
              <c:strCache>
                <c:ptCount val="5"/>
                <c:pt idx="0">
                  <c:v>Charged Off</c:v>
                </c:pt>
                <c:pt idx="1">
                  <c:v>Current</c:v>
                </c:pt>
                <c:pt idx="2">
                  <c:v>Fully Paid</c:v>
                </c:pt>
                <c:pt idx="3">
                  <c:v>In Grace Period</c:v>
                </c:pt>
                <c:pt idx="4">
                  <c:v>Late (31-120 days)</c:v>
                </c:pt>
              </c:strCache>
            </c:strRef>
          </c:cat>
          <c:val>
            <c:numRef>
              <c:f>'Pivot table'!$B$4:$B$9</c:f>
              <c:numCache>
                <c:formatCode>0.00</c:formatCode>
                <c:ptCount val="5"/>
                <c:pt idx="0">
                  <c:v>2112176</c:v>
                </c:pt>
                <c:pt idx="1">
                  <c:v>6467779</c:v>
                </c:pt>
                <c:pt idx="2">
                  <c:v>11729795</c:v>
                </c:pt>
                <c:pt idx="3">
                  <c:v>248118</c:v>
                </c:pt>
                <c:pt idx="4">
                  <c:v>697676</c:v>
                </c:pt>
              </c:numCache>
            </c:numRef>
          </c:val>
          <c:smooth val="0"/>
          <c:extLst>
            <c:ext xmlns:c16="http://schemas.microsoft.com/office/drawing/2014/chart" uri="{C3380CC4-5D6E-409C-BE32-E72D297353CC}">
              <c16:uniqueId val="{00000000-CFF9-4DB8-BB53-B5A43CB50E7F}"/>
            </c:ext>
          </c:extLst>
        </c:ser>
        <c:ser>
          <c:idx val="1"/>
          <c:order val="1"/>
          <c:tx>
            <c:strRef>
              <c:f>'Pivot table'!$C$3</c:f>
              <c:strCache>
                <c:ptCount val="1"/>
                <c:pt idx="0">
                  <c:v>Count of Loan ID</c:v>
                </c:pt>
              </c:strCache>
            </c:strRef>
          </c:tx>
          <c:spPr>
            <a:ln w="28575" cap="rnd">
              <a:solidFill>
                <a:schemeClr val="accent2"/>
              </a:solidFill>
              <a:round/>
            </a:ln>
            <a:effectLst/>
          </c:spPr>
          <c:marker>
            <c:symbol val="none"/>
          </c:marker>
          <c:cat>
            <c:strRef>
              <c:f>'Pivot table'!$A$4:$A$9</c:f>
              <c:strCache>
                <c:ptCount val="5"/>
                <c:pt idx="0">
                  <c:v>Charged Off</c:v>
                </c:pt>
                <c:pt idx="1">
                  <c:v>Current</c:v>
                </c:pt>
                <c:pt idx="2">
                  <c:v>Fully Paid</c:v>
                </c:pt>
                <c:pt idx="3">
                  <c:v>In Grace Period</c:v>
                </c:pt>
                <c:pt idx="4">
                  <c:v>Late (31-120 days)</c:v>
                </c:pt>
              </c:strCache>
            </c:strRef>
          </c:cat>
          <c:val>
            <c:numRef>
              <c:f>'Pivot table'!$C$4:$C$9</c:f>
              <c:numCache>
                <c:formatCode>General</c:formatCode>
                <c:ptCount val="5"/>
                <c:pt idx="0">
                  <c:v>105</c:v>
                </c:pt>
                <c:pt idx="1">
                  <c:v>310</c:v>
                </c:pt>
                <c:pt idx="2">
                  <c:v>541</c:v>
                </c:pt>
                <c:pt idx="3">
                  <c:v>11</c:v>
                </c:pt>
                <c:pt idx="4">
                  <c:v>33</c:v>
                </c:pt>
              </c:numCache>
            </c:numRef>
          </c:val>
          <c:smooth val="0"/>
          <c:extLst>
            <c:ext xmlns:c16="http://schemas.microsoft.com/office/drawing/2014/chart" uri="{C3380CC4-5D6E-409C-BE32-E72D297353CC}">
              <c16:uniqueId val="{00000001-CFF9-4DB8-BB53-B5A43CB50E7F}"/>
            </c:ext>
          </c:extLst>
        </c:ser>
        <c:dLbls>
          <c:showLegendKey val="0"/>
          <c:showVal val="0"/>
          <c:showCatName val="0"/>
          <c:showSerName val="0"/>
          <c:showPercent val="0"/>
          <c:showBubbleSize val="0"/>
        </c:dLbls>
        <c:smooth val="0"/>
        <c:axId val="1790579183"/>
        <c:axId val="1790578703"/>
      </c:lineChart>
      <c:catAx>
        <c:axId val="179057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78703"/>
        <c:crosses val="autoZero"/>
        <c:auto val="1"/>
        <c:lblAlgn val="ctr"/>
        <c:lblOffset val="100"/>
        <c:noMultiLvlLbl val="0"/>
      </c:catAx>
      <c:valAx>
        <c:axId val="1790578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7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AB-414D-9940-5B3708824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AB-414D-9940-5B37088243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AB-414D-9940-5B37088243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AB-414D-9940-5B37088243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AB-414D-9940-5B37088243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AB-414D-9940-5B37088243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AB-414D-9940-5B3708824344}"/>
              </c:ext>
            </c:extLst>
          </c:dPt>
          <c:cat>
            <c:strRef>
              <c:f>'Pivot table'!$F$4:$F$11</c:f>
              <c:strCache>
                <c:ptCount val="7"/>
                <c:pt idx="0">
                  <c:v>A</c:v>
                </c:pt>
                <c:pt idx="1">
                  <c:v>B</c:v>
                </c:pt>
                <c:pt idx="2">
                  <c:v>C</c:v>
                </c:pt>
                <c:pt idx="3">
                  <c:v>D</c:v>
                </c:pt>
                <c:pt idx="4">
                  <c:v>E</c:v>
                </c:pt>
                <c:pt idx="5">
                  <c:v>F</c:v>
                </c:pt>
                <c:pt idx="6">
                  <c:v>G</c:v>
                </c:pt>
              </c:strCache>
            </c:strRef>
          </c:cat>
          <c:val>
            <c:numRef>
              <c:f>'Pivot table'!$G$4:$G$11</c:f>
              <c:numCache>
                <c:formatCode>0.00</c:formatCode>
                <c:ptCount val="7"/>
                <c:pt idx="0">
                  <c:v>21354.472000000002</c:v>
                </c:pt>
                <c:pt idx="1">
                  <c:v>21761.388349514564</c:v>
                </c:pt>
                <c:pt idx="2">
                  <c:v>21012.66883116883</c:v>
                </c:pt>
                <c:pt idx="3">
                  <c:v>20533.32075471698</c:v>
                </c:pt>
                <c:pt idx="4">
                  <c:v>21893.103773584906</c:v>
                </c:pt>
                <c:pt idx="5">
                  <c:v>19825.283950617282</c:v>
                </c:pt>
                <c:pt idx="6">
                  <c:v>22882.136363636364</c:v>
                </c:pt>
              </c:numCache>
            </c:numRef>
          </c:val>
          <c:extLst>
            <c:ext xmlns:c16="http://schemas.microsoft.com/office/drawing/2014/chart" uri="{C3380CC4-5D6E-409C-BE32-E72D297353CC}">
              <c16:uniqueId val="{00000000-8C60-47A3-9FA1-A531CF8AE5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1426071741032"/>
          <c:y val="0.21698855351414403"/>
          <c:w val="0.7189975940507437"/>
          <c:h val="0.48725758238553513"/>
        </c:manualLayout>
      </c:layout>
      <c:barChart>
        <c:barDir val="col"/>
        <c:grouping val="clustered"/>
        <c:varyColors val="0"/>
        <c:ser>
          <c:idx val="0"/>
          <c:order val="0"/>
          <c:tx>
            <c:strRef>
              <c:f>'Pivot table'!$N$4</c:f>
              <c:strCache>
                <c:ptCount val="1"/>
                <c:pt idx="0">
                  <c:v>Total</c:v>
                </c:pt>
              </c:strCache>
            </c:strRef>
          </c:tx>
          <c:spPr>
            <a:solidFill>
              <a:schemeClr val="accent1"/>
            </a:solidFill>
            <a:ln>
              <a:noFill/>
            </a:ln>
            <a:effectLst/>
          </c:spPr>
          <c:invertIfNegative val="0"/>
          <c:cat>
            <c:strRef>
              <c:f>'Pivot table'!$M$5:$M$10</c:f>
              <c:strCache>
                <c:ptCount val="5"/>
                <c:pt idx="0">
                  <c:v>credit card</c:v>
                </c:pt>
                <c:pt idx="1">
                  <c:v>debt consolidation</c:v>
                </c:pt>
                <c:pt idx="2">
                  <c:v>home improvement</c:v>
                </c:pt>
                <c:pt idx="3">
                  <c:v>other</c:v>
                </c:pt>
                <c:pt idx="4">
                  <c:v>small business</c:v>
                </c:pt>
              </c:strCache>
            </c:strRef>
          </c:cat>
          <c:val>
            <c:numRef>
              <c:f>'Pivot table'!$N$5:$N$10</c:f>
              <c:numCache>
                <c:formatCode>0.00</c:formatCode>
                <c:ptCount val="5"/>
                <c:pt idx="0">
                  <c:v>22056.37172774869</c:v>
                </c:pt>
                <c:pt idx="1">
                  <c:v>20258.839572192512</c:v>
                </c:pt>
                <c:pt idx="2">
                  <c:v>22189.147208121827</c:v>
                </c:pt>
                <c:pt idx="3">
                  <c:v>21005.521327014219</c:v>
                </c:pt>
                <c:pt idx="4">
                  <c:v>20798.817757009347</c:v>
                </c:pt>
              </c:numCache>
            </c:numRef>
          </c:val>
          <c:extLst>
            <c:ext xmlns:c16="http://schemas.microsoft.com/office/drawing/2014/chart" uri="{C3380CC4-5D6E-409C-BE32-E72D297353CC}">
              <c16:uniqueId val="{00000000-33EF-4E47-8306-C5A00C7118C9}"/>
            </c:ext>
          </c:extLst>
        </c:ser>
        <c:dLbls>
          <c:showLegendKey val="0"/>
          <c:showVal val="0"/>
          <c:showCatName val="0"/>
          <c:showSerName val="0"/>
          <c:showPercent val="0"/>
          <c:showBubbleSize val="0"/>
        </c:dLbls>
        <c:gapWidth val="219"/>
        <c:overlap val="-27"/>
        <c:axId val="1792435023"/>
        <c:axId val="1792433583"/>
      </c:barChart>
      <c:catAx>
        <c:axId val="179243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33583"/>
        <c:crosses val="autoZero"/>
        <c:auto val="1"/>
        <c:lblAlgn val="ctr"/>
        <c:lblOffset val="100"/>
        <c:noMultiLvlLbl val="0"/>
      </c:catAx>
      <c:valAx>
        <c:axId val="1792433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3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table2'!$E$3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8D-EC4B-93CB-FAE7ED889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8D-EC4B-93CB-FAE7ED889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8D-EC4B-93CB-FAE7ED8890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8D-EC4B-93CB-FAE7ED8890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8D-EC4B-93CB-FAE7ED8890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88D-EC4B-93CB-FAE7ED8890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88D-EC4B-93CB-FAE7ED889080}"/>
              </c:ext>
            </c:extLst>
          </c:dPt>
          <c:cat>
            <c:strRef>
              <c:f>'Pivot table2'!$D$4:$D$11</c:f>
              <c:strCache>
                <c:ptCount val="7"/>
                <c:pt idx="0">
                  <c:v>A</c:v>
                </c:pt>
                <c:pt idx="1">
                  <c:v>B</c:v>
                </c:pt>
                <c:pt idx="2">
                  <c:v>C</c:v>
                </c:pt>
                <c:pt idx="3">
                  <c:v>D</c:v>
                </c:pt>
                <c:pt idx="4">
                  <c:v>E</c:v>
                </c:pt>
                <c:pt idx="5">
                  <c:v>F</c:v>
                </c:pt>
                <c:pt idx="6">
                  <c:v>G</c:v>
                </c:pt>
              </c:strCache>
            </c:strRef>
          </c:cat>
          <c:val>
            <c:numRef>
              <c:f>'Pivot table2'!$E$4:$E$11</c:f>
              <c:numCache>
                <c:formatCode>General</c:formatCode>
                <c:ptCount val="7"/>
                <c:pt idx="0">
                  <c:v>250</c:v>
                </c:pt>
                <c:pt idx="1">
                  <c:v>206</c:v>
                </c:pt>
                <c:pt idx="2">
                  <c:v>154</c:v>
                </c:pt>
                <c:pt idx="3">
                  <c:v>159</c:v>
                </c:pt>
                <c:pt idx="4">
                  <c:v>106</c:v>
                </c:pt>
                <c:pt idx="5">
                  <c:v>81</c:v>
                </c:pt>
                <c:pt idx="6">
                  <c:v>44</c:v>
                </c:pt>
              </c:numCache>
            </c:numRef>
          </c:val>
          <c:extLst>
            <c:ext xmlns:c16="http://schemas.microsoft.com/office/drawing/2014/chart" uri="{C3380CC4-5D6E-409C-BE32-E72D297353CC}">
              <c16:uniqueId val="{00000000-1643-4B8B-AC15-291F648A58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table2!PivotTable8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table2'!$J$13:$J$14</c:f>
              <c:strCache>
                <c:ptCount val="1"/>
                <c:pt idx="0">
                  <c:v>Charged Off</c:v>
                </c:pt>
              </c:strCache>
            </c:strRef>
          </c:tx>
          <c:spPr>
            <a:solidFill>
              <a:schemeClr val="accent1"/>
            </a:solidFill>
            <a:ln>
              <a:noFill/>
            </a:ln>
            <a:effectLst/>
          </c:spPr>
          <c:invertIfNegative val="0"/>
          <c:cat>
            <c:strRef>
              <c:f>'Pivot table2'!$I$15</c:f>
              <c:strCache>
                <c:ptCount val="1"/>
                <c:pt idx="0">
                  <c:v>Total</c:v>
                </c:pt>
              </c:strCache>
            </c:strRef>
          </c:cat>
          <c:val>
            <c:numRef>
              <c:f>'Pivot table2'!$J$15</c:f>
              <c:numCache>
                <c:formatCode>General</c:formatCode>
                <c:ptCount val="1"/>
                <c:pt idx="0">
                  <c:v>105</c:v>
                </c:pt>
              </c:numCache>
            </c:numRef>
          </c:val>
          <c:extLst>
            <c:ext xmlns:c16="http://schemas.microsoft.com/office/drawing/2014/chart" uri="{C3380CC4-5D6E-409C-BE32-E72D297353CC}">
              <c16:uniqueId val="{00000000-FAEA-42BA-BEB5-56E07F8CD299}"/>
            </c:ext>
          </c:extLst>
        </c:ser>
        <c:ser>
          <c:idx val="1"/>
          <c:order val="1"/>
          <c:tx>
            <c:strRef>
              <c:f>'Pivot table2'!$K$13:$K$14</c:f>
              <c:strCache>
                <c:ptCount val="1"/>
                <c:pt idx="0">
                  <c:v>Current</c:v>
                </c:pt>
              </c:strCache>
            </c:strRef>
          </c:tx>
          <c:spPr>
            <a:solidFill>
              <a:schemeClr val="accent2"/>
            </a:solidFill>
            <a:ln>
              <a:noFill/>
            </a:ln>
            <a:effectLst/>
          </c:spPr>
          <c:invertIfNegative val="0"/>
          <c:cat>
            <c:strRef>
              <c:f>'Pivot table2'!$I$15</c:f>
              <c:strCache>
                <c:ptCount val="1"/>
                <c:pt idx="0">
                  <c:v>Total</c:v>
                </c:pt>
              </c:strCache>
            </c:strRef>
          </c:cat>
          <c:val>
            <c:numRef>
              <c:f>'Pivot table2'!$K$15</c:f>
              <c:numCache>
                <c:formatCode>General</c:formatCode>
                <c:ptCount val="1"/>
                <c:pt idx="0">
                  <c:v>310</c:v>
                </c:pt>
              </c:numCache>
            </c:numRef>
          </c:val>
          <c:extLst>
            <c:ext xmlns:c16="http://schemas.microsoft.com/office/drawing/2014/chart" uri="{C3380CC4-5D6E-409C-BE32-E72D297353CC}">
              <c16:uniqueId val="{00000008-4CAD-47B2-B959-26CD9BC2980C}"/>
            </c:ext>
          </c:extLst>
        </c:ser>
        <c:ser>
          <c:idx val="2"/>
          <c:order val="2"/>
          <c:tx>
            <c:strRef>
              <c:f>'Pivot table2'!$L$13:$L$14</c:f>
              <c:strCache>
                <c:ptCount val="1"/>
                <c:pt idx="0">
                  <c:v>Fully Paid</c:v>
                </c:pt>
              </c:strCache>
            </c:strRef>
          </c:tx>
          <c:spPr>
            <a:solidFill>
              <a:schemeClr val="accent3"/>
            </a:solidFill>
            <a:ln>
              <a:noFill/>
            </a:ln>
            <a:effectLst/>
          </c:spPr>
          <c:invertIfNegative val="0"/>
          <c:cat>
            <c:strRef>
              <c:f>'Pivot table2'!$I$15</c:f>
              <c:strCache>
                <c:ptCount val="1"/>
                <c:pt idx="0">
                  <c:v>Total</c:v>
                </c:pt>
              </c:strCache>
            </c:strRef>
          </c:cat>
          <c:val>
            <c:numRef>
              <c:f>'Pivot table2'!$L$15</c:f>
              <c:numCache>
                <c:formatCode>General</c:formatCode>
                <c:ptCount val="1"/>
                <c:pt idx="0">
                  <c:v>541</c:v>
                </c:pt>
              </c:numCache>
            </c:numRef>
          </c:val>
          <c:extLst>
            <c:ext xmlns:c16="http://schemas.microsoft.com/office/drawing/2014/chart" uri="{C3380CC4-5D6E-409C-BE32-E72D297353CC}">
              <c16:uniqueId val="{00000009-4CAD-47B2-B959-26CD9BC2980C}"/>
            </c:ext>
          </c:extLst>
        </c:ser>
        <c:ser>
          <c:idx val="3"/>
          <c:order val="3"/>
          <c:tx>
            <c:strRef>
              <c:f>'Pivot table2'!$M$13:$M$14</c:f>
              <c:strCache>
                <c:ptCount val="1"/>
                <c:pt idx="0">
                  <c:v>In Grace Period</c:v>
                </c:pt>
              </c:strCache>
            </c:strRef>
          </c:tx>
          <c:spPr>
            <a:solidFill>
              <a:schemeClr val="accent4"/>
            </a:solidFill>
            <a:ln>
              <a:noFill/>
            </a:ln>
            <a:effectLst/>
          </c:spPr>
          <c:invertIfNegative val="0"/>
          <c:cat>
            <c:strRef>
              <c:f>'Pivot table2'!$I$15</c:f>
              <c:strCache>
                <c:ptCount val="1"/>
                <c:pt idx="0">
                  <c:v>Total</c:v>
                </c:pt>
              </c:strCache>
            </c:strRef>
          </c:cat>
          <c:val>
            <c:numRef>
              <c:f>'Pivot table2'!$M$15</c:f>
              <c:numCache>
                <c:formatCode>General</c:formatCode>
                <c:ptCount val="1"/>
                <c:pt idx="0">
                  <c:v>11</c:v>
                </c:pt>
              </c:numCache>
            </c:numRef>
          </c:val>
          <c:extLst>
            <c:ext xmlns:c16="http://schemas.microsoft.com/office/drawing/2014/chart" uri="{C3380CC4-5D6E-409C-BE32-E72D297353CC}">
              <c16:uniqueId val="{0000000A-4CAD-47B2-B959-26CD9BC2980C}"/>
            </c:ext>
          </c:extLst>
        </c:ser>
        <c:ser>
          <c:idx val="4"/>
          <c:order val="4"/>
          <c:tx>
            <c:strRef>
              <c:f>'Pivot table2'!$N$13:$N$14</c:f>
              <c:strCache>
                <c:ptCount val="1"/>
                <c:pt idx="0">
                  <c:v>Late (31-120 days)</c:v>
                </c:pt>
              </c:strCache>
            </c:strRef>
          </c:tx>
          <c:spPr>
            <a:solidFill>
              <a:schemeClr val="accent5"/>
            </a:solidFill>
            <a:ln>
              <a:noFill/>
            </a:ln>
            <a:effectLst/>
          </c:spPr>
          <c:invertIfNegative val="0"/>
          <c:cat>
            <c:strRef>
              <c:f>'Pivot table2'!$I$15</c:f>
              <c:strCache>
                <c:ptCount val="1"/>
                <c:pt idx="0">
                  <c:v>Total</c:v>
                </c:pt>
              </c:strCache>
            </c:strRef>
          </c:cat>
          <c:val>
            <c:numRef>
              <c:f>'Pivot table2'!$N$15</c:f>
              <c:numCache>
                <c:formatCode>General</c:formatCode>
                <c:ptCount val="1"/>
                <c:pt idx="0">
                  <c:v>33</c:v>
                </c:pt>
              </c:numCache>
            </c:numRef>
          </c:val>
          <c:extLst>
            <c:ext xmlns:c16="http://schemas.microsoft.com/office/drawing/2014/chart" uri="{C3380CC4-5D6E-409C-BE32-E72D297353CC}">
              <c16:uniqueId val="{0000000B-4CAD-47B2-B959-26CD9BC2980C}"/>
            </c:ext>
          </c:extLst>
        </c:ser>
        <c:dLbls>
          <c:showLegendKey val="0"/>
          <c:showVal val="0"/>
          <c:showCatName val="0"/>
          <c:showSerName val="0"/>
          <c:showPercent val="0"/>
          <c:showBubbleSize val="0"/>
        </c:dLbls>
        <c:gapWidth val="182"/>
        <c:axId val="1820332895"/>
        <c:axId val="1820338175"/>
      </c:barChart>
      <c:catAx>
        <c:axId val="182033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38175"/>
        <c:crosses val="autoZero"/>
        <c:auto val="1"/>
        <c:lblAlgn val="ctr"/>
        <c:lblOffset val="100"/>
        <c:noMultiLvlLbl val="0"/>
      </c:catAx>
      <c:valAx>
        <c:axId val="1820338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table2!PivotTable8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table2'!$J$13:$J$14</c:f>
              <c:strCache>
                <c:ptCount val="1"/>
                <c:pt idx="0">
                  <c:v>Charged Off</c:v>
                </c:pt>
              </c:strCache>
            </c:strRef>
          </c:tx>
          <c:spPr>
            <a:solidFill>
              <a:schemeClr val="accent1"/>
            </a:solidFill>
            <a:ln>
              <a:noFill/>
            </a:ln>
            <a:effectLst/>
          </c:spPr>
          <c:invertIfNegative val="0"/>
          <c:cat>
            <c:strRef>
              <c:f>'Pivot table2'!$I$15</c:f>
              <c:strCache>
                <c:ptCount val="1"/>
                <c:pt idx="0">
                  <c:v>Total</c:v>
                </c:pt>
              </c:strCache>
            </c:strRef>
          </c:cat>
          <c:val>
            <c:numRef>
              <c:f>'Pivot table2'!$J$15</c:f>
              <c:numCache>
                <c:formatCode>General</c:formatCode>
                <c:ptCount val="1"/>
                <c:pt idx="0">
                  <c:v>105</c:v>
                </c:pt>
              </c:numCache>
            </c:numRef>
          </c:val>
          <c:extLst>
            <c:ext xmlns:c16="http://schemas.microsoft.com/office/drawing/2014/chart" uri="{C3380CC4-5D6E-409C-BE32-E72D297353CC}">
              <c16:uniqueId val="{00000000-3D6D-428B-9390-AE6F819B5752}"/>
            </c:ext>
          </c:extLst>
        </c:ser>
        <c:ser>
          <c:idx val="1"/>
          <c:order val="1"/>
          <c:tx>
            <c:strRef>
              <c:f>'Pivot table2'!$K$13:$K$14</c:f>
              <c:strCache>
                <c:ptCount val="1"/>
                <c:pt idx="0">
                  <c:v>Current</c:v>
                </c:pt>
              </c:strCache>
            </c:strRef>
          </c:tx>
          <c:spPr>
            <a:solidFill>
              <a:schemeClr val="accent2"/>
            </a:solidFill>
            <a:ln>
              <a:noFill/>
            </a:ln>
            <a:effectLst/>
          </c:spPr>
          <c:invertIfNegative val="0"/>
          <c:cat>
            <c:strRef>
              <c:f>'Pivot table2'!$I$15</c:f>
              <c:strCache>
                <c:ptCount val="1"/>
                <c:pt idx="0">
                  <c:v>Total</c:v>
                </c:pt>
              </c:strCache>
            </c:strRef>
          </c:cat>
          <c:val>
            <c:numRef>
              <c:f>'Pivot table2'!$K$15</c:f>
              <c:numCache>
                <c:formatCode>General</c:formatCode>
                <c:ptCount val="1"/>
                <c:pt idx="0">
                  <c:v>310</c:v>
                </c:pt>
              </c:numCache>
            </c:numRef>
          </c:val>
          <c:extLst>
            <c:ext xmlns:c16="http://schemas.microsoft.com/office/drawing/2014/chart" uri="{C3380CC4-5D6E-409C-BE32-E72D297353CC}">
              <c16:uniqueId val="{00000008-515A-4CE0-B84B-12C4F3CFE5F7}"/>
            </c:ext>
          </c:extLst>
        </c:ser>
        <c:ser>
          <c:idx val="2"/>
          <c:order val="2"/>
          <c:tx>
            <c:strRef>
              <c:f>'Pivot table2'!$L$13:$L$14</c:f>
              <c:strCache>
                <c:ptCount val="1"/>
                <c:pt idx="0">
                  <c:v>Fully Paid</c:v>
                </c:pt>
              </c:strCache>
            </c:strRef>
          </c:tx>
          <c:spPr>
            <a:solidFill>
              <a:schemeClr val="accent3"/>
            </a:solidFill>
            <a:ln>
              <a:noFill/>
            </a:ln>
            <a:effectLst/>
          </c:spPr>
          <c:invertIfNegative val="0"/>
          <c:cat>
            <c:strRef>
              <c:f>'Pivot table2'!$I$15</c:f>
              <c:strCache>
                <c:ptCount val="1"/>
                <c:pt idx="0">
                  <c:v>Total</c:v>
                </c:pt>
              </c:strCache>
            </c:strRef>
          </c:cat>
          <c:val>
            <c:numRef>
              <c:f>'Pivot table2'!$L$15</c:f>
              <c:numCache>
                <c:formatCode>General</c:formatCode>
                <c:ptCount val="1"/>
                <c:pt idx="0">
                  <c:v>541</c:v>
                </c:pt>
              </c:numCache>
            </c:numRef>
          </c:val>
          <c:extLst>
            <c:ext xmlns:c16="http://schemas.microsoft.com/office/drawing/2014/chart" uri="{C3380CC4-5D6E-409C-BE32-E72D297353CC}">
              <c16:uniqueId val="{00000009-515A-4CE0-B84B-12C4F3CFE5F7}"/>
            </c:ext>
          </c:extLst>
        </c:ser>
        <c:ser>
          <c:idx val="3"/>
          <c:order val="3"/>
          <c:tx>
            <c:strRef>
              <c:f>'Pivot table2'!$M$13:$M$14</c:f>
              <c:strCache>
                <c:ptCount val="1"/>
                <c:pt idx="0">
                  <c:v>In Grace Period</c:v>
                </c:pt>
              </c:strCache>
            </c:strRef>
          </c:tx>
          <c:spPr>
            <a:solidFill>
              <a:schemeClr val="accent4"/>
            </a:solidFill>
            <a:ln>
              <a:noFill/>
            </a:ln>
            <a:effectLst/>
          </c:spPr>
          <c:invertIfNegative val="0"/>
          <c:cat>
            <c:strRef>
              <c:f>'Pivot table2'!$I$15</c:f>
              <c:strCache>
                <c:ptCount val="1"/>
                <c:pt idx="0">
                  <c:v>Total</c:v>
                </c:pt>
              </c:strCache>
            </c:strRef>
          </c:cat>
          <c:val>
            <c:numRef>
              <c:f>'Pivot table2'!$M$15</c:f>
              <c:numCache>
                <c:formatCode>General</c:formatCode>
                <c:ptCount val="1"/>
                <c:pt idx="0">
                  <c:v>11</c:v>
                </c:pt>
              </c:numCache>
            </c:numRef>
          </c:val>
          <c:extLst>
            <c:ext xmlns:c16="http://schemas.microsoft.com/office/drawing/2014/chart" uri="{C3380CC4-5D6E-409C-BE32-E72D297353CC}">
              <c16:uniqueId val="{0000000A-515A-4CE0-B84B-12C4F3CFE5F7}"/>
            </c:ext>
          </c:extLst>
        </c:ser>
        <c:ser>
          <c:idx val="4"/>
          <c:order val="4"/>
          <c:tx>
            <c:strRef>
              <c:f>'Pivot table2'!$N$13:$N$14</c:f>
              <c:strCache>
                <c:ptCount val="1"/>
                <c:pt idx="0">
                  <c:v>Late (31-120 days)</c:v>
                </c:pt>
              </c:strCache>
            </c:strRef>
          </c:tx>
          <c:spPr>
            <a:solidFill>
              <a:schemeClr val="accent5"/>
            </a:solidFill>
            <a:ln>
              <a:noFill/>
            </a:ln>
            <a:effectLst/>
          </c:spPr>
          <c:invertIfNegative val="0"/>
          <c:cat>
            <c:strRef>
              <c:f>'Pivot table2'!$I$15</c:f>
              <c:strCache>
                <c:ptCount val="1"/>
                <c:pt idx="0">
                  <c:v>Total</c:v>
                </c:pt>
              </c:strCache>
            </c:strRef>
          </c:cat>
          <c:val>
            <c:numRef>
              <c:f>'Pivot table2'!$N$15</c:f>
              <c:numCache>
                <c:formatCode>General</c:formatCode>
                <c:ptCount val="1"/>
                <c:pt idx="0">
                  <c:v>33</c:v>
                </c:pt>
              </c:numCache>
            </c:numRef>
          </c:val>
          <c:extLst>
            <c:ext xmlns:c16="http://schemas.microsoft.com/office/drawing/2014/chart" uri="{C3380CC4-5D6E-409C-BE32-E72D297353CC}">
              <c16:uniqueId val="{0000000B-515A-4CE0-B84B-12C4F3CFE5F7}"/>
            </c:ext>
          </c:extLst>
        </c:ser>
        <c:dLbls>
          <c:showLegendKey val="0"/>
          <c:showVal val="0"/>
          <c:showCatName val="0"/>
          <c:showSerName val="0"/>
          <c:showPercent val="0"/>
          <c:showBubbleSize val="0"/>
        </c:dLbls>
        <c:gapWidth val="219"/>
        <c:overlap val="-27"/>
        <c:axId val="1820271455"/>
        <c:axId val="1820272415"/>
      </c:barChart>
      <c:catAx>
        <c:axId val="18202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72415"/>
        <c:crosses val="autoZero"/>
        <c:auto val="1"/>
        <c:lblAlgn val="ctr"/>
        <c:lblOffset val="100"/>
        <c:noMultiLvlLbl val="0"/>
      </c:catAx>
      <c:valAx>
        <c:axId val="182027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table!PivotTable1</c:name>
    <c:fmtId val="2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9203849518812"/>
          <c:y val="0.12860892388451445"/>
          <c:w val="0.48891776027996503"/>
          <c:h val="0.60804461942257215"/>
        </c:manualLayout>
      </c:layout>
      <c:lineChart>
        <c:grouping val="standard"/>
        <c:varyColors val="0"/>
        <c:ser>
          <c:idx val="0"/>
          <c:order val="0"/>
          <c:tx>
            <c:strRef>
              <c:f>'Pivot table'!$B$3</c:f>
              <c:strCache>
                <c:ptCount val="1"/>
                <c:pt idx="0">
                  <c:v>Sum of Loan Amount</c:v>
                </c:pt>
              </c:strCache>
            </c:strRef>
          </c:tx>
          <c:spPr>
            <a:ln w="28575" cap="rnd">
              <a:solidFill>
                <a:schemeClr val="accent1"/>
              </a:solidFill>
              <a:round/>
            </a:ln>
            <a:effectLst/>
          </c:spPr>
          <c:marker>
            <c:symbol val="none"/>
          </c:marker>
          <c:cat>
            <c:strRef>
              <c:f>'Pivot table'!$A$4:$A$9</c:f>
              <c:strCache>
                <c:ptCount val="5"/>
                <c:pt idx="0">
                  <c:v>Charged Off</c:v>
                </c:pt>
                <c:pt idx="1">
                  <c:v>Current</c:v>
                </c:pt>
                <c:pt idx="2">
                  <c:v>Fully Paid</c:v>
                </c:pt>
                <c:pt idx="3">
                  <c:v>In Grace Period</c:v>
                </c:pt>
                <c:pt idx="4">
                  <c:v>Late (31-120 days)</c:v>
                </c:pt>
              </c:strCache>
            </c:strRef>
          </c:cat>
          <c:val>
            <c:numRef>
              <c:f>'Pivot table'!$B$4:$B$9</c:f>
              <c:numCache>
                <c:formatCode>0.00</c:formatCode>
                <c:ptCount val="5"/>
                <c:pt idx="0">
                  <c:v>2112176</c:v>
                </c:pt>
                <c:pt idx="1">
                  <c:v>6467779</c:v>
                </c:pt>
                <c:pt idx="2">
                  <c:v>11729795</c:v>
                </c:pt>
                <c:pt idx="3">
                  <c:v>248118</c:v>
                </c:pt>
                <c:pt idx="4">
                  <c:v>697676</c:v>
                </c:pt>
              </c:numCache>
            </c:numRef>
          </c:val>
          <c:smooth val="0"/>
          <c:extLst>
            <c:ext xmlns:c16="http://schemas.microsoft.com/office/drawing/2014/chart" uri="{C3380CC4-5D6E-409C-BE32-E72D297353CC}">
              <c16:uniqueId val="{00000000-9DF1-4A08-AB87-0E5FF4D05176}"/>
            </c:ext>
          </c:extLst>
        </c:ser>
        <c:ser>
          <c:idx val="1"/>
          <c:order val="1"/>
          <c:tx>
            <c:strRef>
              <c:f>'Pivot table'!$C$3</c:f>
              <c:strCache>
                <c:ptCount val="1"/>
                <c:pt idx="0">
                  <c:v>Count of Loan ID</c:v>
                </c:pt>
              </c:strCache>
            </c:strRef>
          </c:tx>
          <c:spPr>
            <a:ln w="28575" cap="rnd">
              <a:solidFill>
                <a:schemeClr val="accent2"/>
              </a:solidFill>
              <a:round/>
            </a:ln>
            <a:effectLst/>
          </c:spPr>
          <c:marker>
            <c:symbol val="none"/>
          </c:marker>
          <c:cat>
            <c:strRef>
              <c:f>'Pivot table'!$A$4:$A$9</c:f>
              <c:strCache>
                <c:ptCount val="5"/>
                <c:pt idx="0">
                  <c:v>Charged Off</c:v>
                </c:pt>
                <c:pt idx="1">
                  <c:v>Current</c:v>
                </c:pt>
                <c:pt idx="2">
                  <c:v>Fully Paid</c:v>
                </c:pt>
                <c:pt idx="3">
                  <c:v>In Grace Period</c:v>
                </c:pt>
                <c:pt idx="4">
                  <c:v>Late (31-120 days)</c:v>
                </c:pt>
              </c:strCache>
            </c:strRef>
          </c:cat>
          <c:val>
            <c:numRef>
              <c:f>'Pivot table'!$C$4:$C$9</c:f>
              <c:numCache>
                <c:formatCode>General</c:formatCode>
                <c:ptCount val="5"/>
                <c:pt idx="0">
                  <c:v>105</c:v>
                </c:pt>
                <c:pt idx="1">
                  <c:v>310</c:v>
                </c:pt>
                <c:pt idx="2">
                  <c:v>541</c:v>
                </c:pt>
                <c:pt idx="3">
                  <c:v>11</c:v>
                </c:pt>
                <c:pt idx="4">
                  <c:v>33</c:v>
                </c:pt>
              </c:numCache>
            </c:numRef>
          </c:val>
          <c:smooth val="0"/>
          <c:extLst>
            <c:ext xmlns:c16="http://schemas.microsoft.com/office/drawing/2014/chart" uri="{C3380CC4-5D6E-409C-BE32-E72D297353CC}">
              <c16:uniqueId val="{00000001-9DF1-4A08-AB87-0E5FF4D05176}"/>
            </c:ext>
          </c:extLst>
        </c:ser>
        <c:dLbls>
          <c:showLegendKey val="0"/>
          <c:showVal val="0"/>
          <c:showCatName val="0"/>
          <c:showSerName val="0"/>
          <c:showPercent val="0"/>
          <c:showBubbleSize val="0"/>
        </c:dLbls>
        <c:smooth val="0"/>
        <c:axId val="1790579183"/>
        <c:axId val="1790578703"/>
      </c:lineChart>
      <c:catAx>
        <c:axId val="179057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78703"/>
        <c:crosses val="autoZero"/>
        <c:auto val="1"/>
        <c:lblAlgn val="ctr"/>
        <c:lblOffset val="100"/>
        <c:noMultiLvlLbl val="0"/>
      </c:catAx>
      <c:valAx>
        <c:axId val="1790578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7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[Day4_Challenge.xlsx]Pivot table!PivotTable2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2D-4459-BA96-4E28EDA2CC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2D-4459-BA96-4E28EDA2CC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2D-4459-BA96-4E28EDA2CC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2D-4459-BA96-4E28EDA2CC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2D-4459-BA96-4E28EDA2CC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2D-4459-BA96-4E28EDA2CC2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2D-4459-BA96-4E28EDA2CC2A}"/>
              </c:ext>
            </c:extLst>
          </c:dPt>
          <c:cat>
            <c:strRef>
              <c:f>'Pivot table'!$F$4:$F$11</c:f>
              <c:strCache>
                <c:ptCount val="7"/>
                <c:pt idx="0">
                  <c:v>A</c:v>
                </c:pt>
                <c:pt idx="1">
                  <c:v>B</c:v>
                </c:pt>
                <c:pt idx="2">
                  <c:v>C</c:v>
                </c:pt>
                <c:pt idx="3">
                  <c:v>D</c:v>
                </c:pt>
                <c:pt idx="4">
                  <c:v>E</c:v>
                </c:pt>
                <c:pt idx="5">
                  <c:v>F</c:v>
                </c:pt>
                <c:pt idx="6">
                  <c:v>G</c:v>
                </c:pt>
              </c:strCache>
            </c:strRef>
          </c:cat>
          <c:val>
            <c:numRef>
              <c:f>'Pivot table'!$G$4:$G$11</c:f>
              <c:numCache>
                <c:formatCode>0.00</c:formatCode>
                <c:ptCount val="7"/>
                <c:pt idx="0">
                  <c:v>21354.472000000002</c:v>
                </c:pt>
                <c:pt idx="1">
                  <c:v>21761.388349514564</c:v>
                </c:pt>
                <c:pt idx="2">
                  <c:v>21012.66883116883</c:v>
                </c:pt>
                <c:pt idx="3">
                  <c:v>20533.32075471698</c:v>
                </c:pt>
                <c:pt idx="4">
                  <c:v>21893.103773584906</c:v>
                </c:pt>
                <c:pt idx="5">
                  <c:v>19825.283950617282</c:v>
                </c:pt>
                <c:pt idx="6">
                  <c:v>22882.136363636364</c:v>
                </c:pt>
              </c:numCache>
            </c:numRef>
          </c:val>
          <c:extLst>
            <c:ext xmlns:c16="http://schemas.microsoft.com/office/drawing/2014/chart" uri="{C3380CC4-5D6E-409C-BE32-E72D297353CC}">
              <c16:uniqueId val="{0000000E-CE2D-4459-BA96-4E28EDA2CC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chart" Target="../charts/chart8.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7.xml"/><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148590</xdr:rowOff>
    </xdr:from>
    <xdr:to>
      <xdr:col>3</xdr:col>
      <xdr:colOff>487680</xdr:colOff>
      <xdr:row>23</xdr:row>
      <xdr:rowOff>121920</xdr:rowOff>
    </xdr:to>
    <xdr:graphicFrame macro="">
      <xdr:nvGraphicFramePr>
        <xdr:cNvPr id="5" name="Chart 4">
          <a:extLst>
            <a:ext uri="{FF2B5EF4-FFF2-40B4-BE49-F238E27FC236}">
              <a16:creationId xmlns:a16="http://schemas.microsoft.com/office/drawing/2014/main" id="{B56FBB93-3153-FE93-1677-6F7A89215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11</xdr:row>
      <xdr:rowOff>179070</xdr:rowOff>
    </xdr:from>
    <xdr:to>
      <xdr:col>7</xdr:col>
      <xdr:colOff>472440</xdr:colOff>
      <xdr:row>23</xdr:row>
      <xdr:rowOff>60960</xdr:rowOff>
    </xdr:to>
    <xdr:graphicFrame macro="">
      <xdr:nvGraphicFramePr>
        <xdr:cNvPr id="6" name="Chart 5">
          <a:extLst>
            <a:ext uri="{FF2B5EF4-FFF2-40B4-BE49-F238E27FC236}">
              <a16:creationId xmlns:a16="http://schemas.microsoft.com/office/drawing/2014/main" id="{ADD95DB9-F7CD-7CB8-F664-B2659D97C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11</xdr:row>
      <xdr:rowOff>148590</xdr:rowOff>
    </xdr:from>
    <xdr:to>
      <xdr:col>13</xdr:col>
      <xdr:colOff>1173480</xdr:colOff>
      <xdr:row>25</xdr:row>
      <xdr:rowOff>114300</xdr:rowOff>
    </xdr:to>
    <xdr:graphicFrame macro="">
      <xdr:nvGraphicFramePr>
        <xdr:cNvPr id="7" name="Chart 6">
          <a:extLst>
            <a:ext uri="{FF2B5EF4-FFF2-40B4-BE49-F238E27FC236}">
              <a16:creationId xmlns:a16="http://schemas.microsoft.com/office/drawing/2014/main" id="{CBDA4470-49D7-8317-FF01-47FD14FE6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1379220</xdr:colOff>
      <xdr:row>12</xdr:row>
      <xdr:rowOff>7620</xdr:rowOff>
    </xdr:from>
    <xdr:to>
      <xdr:col>16</xdr:col>
      <xdr:colOff>586740</xdr:colOff>
      <xdr:row>26</xdr:row>
      <xdr:rowOff>28575</xdr:rowOff>
    </xdr:to>
    <mc:AlternateContent xmlns:mc="http://schemas.openxmlformats.org/markup-compatibility/2006">
      <mc:Choice xmlns:a14="http://schemas.microsoft.com/office/drawing/2010/main" Requires="a14">
        <xdr:graphicFrame macro="">
          <xdr:nvGraphicFramePr>
            <xdr:cNvPr id="2" name="Loan ID">
              <a:extLst>
                <a:ext uri="{FF2B5EF4-FFF2-40B4-BE49-F238E27FC236}">
                  <a16:creationId xmlns:a16="http://schemas.microsoft.com/office/drawing/2014/main" id="{E5091C7C-ADE3-EEC2-7A1A-B7F39187E11E}"/>
                </a:ext>
              </a:extLst>
            </xdr:cNvPr>
            <xdr:cNvGraphicFramePr/>
          </xdr:nvGraphicFramePr>
          <xdr:xfrm>
            <a:off x="0" y="0"/>
            <a:ext cx="0" cy="0"/>
          </xdr:xfrm>
          <a:graphic>
            <a:graphicData uri="http://schemas.microsoft.com/office/drawing/2010/slicer">
              <sle:slicer xmlns:sle="http://schemas.microsoft.com/office/drawing/2010/slicer" name="Loan ID"/>
            </a:graphicData>
          </a:graphic>
        </xdr:graphicFrame>
      </mc:Choice>
      <mc:Fallback>
        <xdr:sp macro="" textlink="">
          <xdr:nvSpPr>
            <xdr:cNvPr id="0" name=""/>
            <xdr:cNvSpPr>
              <a:spLocks noTextEdit="1"/>
            </xdr:cNvSpPr>
          </xdr:nvSpPr>
          <xdr:spPr>
            <a:xfrm>
              <a:off x="12252960" y="2202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0</xdr:row>
      <xdr:rowOff>83819</xdr:rowOff>
    </xdr:from>
    <xdr:to>
      <xdr:col>10</xdr:col>
      <xdr:colOff>381000</xdr:colOff>
      <xdr:row>10</xdr:row>
      <xdr:rowOff>91440</xdr:rowOff>
    </xdr:to>
    <mc:AlternateContent xmlns:mc="http://schemas.openxmlformats.org/markup-compatibility/2006">
      <mc:Choice xmlns:a14="http://schemas.microsoft.com/office/drawing/2010/main" Requires="a14">
        <xdr:graphicFrame macro="">
          <xdr:nvGraphicFramePr>
            <xdr:cNvPr id="3" name="Loan Grade">
              <a:extLst>
                <a:ext uri="{FF2B5EF4-FFF2-40B4-BE49-F238E27FC236}">
                  <a16:creationId xmlns:a16="http://schemas.microsoft.com/office/drawing/2014/main" id="{081B62E7-5FDA-D1E8-2926-4A062A10433E}"/>
                </a:ext>
              </a:extLst>
            </xdr:cNvPr>
            <xdr:cNvGraphicFramePr/>
          </xdr:nvGraphicFramePr>
          <xdr:xfrm>
            <a:off x="0" y="0"/>
            <a:ext cx="0" cy="0"/>
          </xdr:xfrm>
          <a:graphic>
            <a:graphicData uri="http://schemas.microsoft.com/office/drawing/2010/slicer">
              <sle:slicer xmlns:sle="http://schemas.microsoft.com/office/drawing/2010/slicer" name="Loan Grade"/>
            </a:graphicData>
          </a:graphic>
        </xdr:graphicFrame>
      </mc:Choice>
      <mc:Fallback>
        <xdr:sp macro="" textlink="">
          <xdr:nvSpPr>
            <xdr:cNvPr id="0" name=""/>
            <xdr:cNvSpPr>
              <a:spLocks noTextEdit="1"/>
            </xdr:cNvSpPr>
          </xdr:nvSpPr>
          <xdr:spPr>
            <a:xfrm>
              <a:off x="7086600" y="83819"/>
              <a:ext cx="1828800" cy="1836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13</xdr:row>
      <xdr:rowOff>76200</xdr:rowOff>
    </xdr:from>
    <xdr:to>
      <xdr:col>7</xdr:col>
      <xdr:colOff>198120</xdr:colOff>
      <xdr:row>23</xdr:row>
      <xdr:rowOff>133350</xdr:rowOff>
    </xdr:to>
    <xdr:graphicFrame macro="">
      <xdr:nvGraphicFramePr>
        <xdr:cNvPr id="2" name="Chart 1">
          <a:extLst>
            <a:ext uri="{FF2B5EF4-FFF2-40B4-BE49-F238E27FC236}">
              <a16:creationId xmlns:a16="http://schemas.microsoft.com/office/drawing/2014/main" id="{2094F65F-03E8-7DC3-F12B-29D13A55A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0</xdr:row>
      <xdr:rowOff>0</xdr:rowOff>
    </xdr:from>
    <xdr:to>
      <xdr:col>13</xdr:col>
      <xdr:colOff>899160</xdr:colOff>
      <xdr:row>10</xdr:row>
      <xdr:rowOff>0</xdr:rowOff>
    </xdr:to>
    <xdr:graphicFrame macro="">
      <xdr:nvGraphicFramePr>
        <xdr:cNvPr id="3" name="Chart 2">
          <a:extLst>
            <a:ext uri="{FF2B5EF4-FFF2-40B4-BE49-F238E27FC236}">
              <a16:creationId xmlns:a16="http://schemas.microsoft.com/office/drawing/2014/main" id="{F4F46FED-5DD7-7154-5D62-1F918FCDD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236220</xdr:colOff>
      <xdr:row>24</xdr:row>
      <xdr:rowOff>80010</xdr:rowOff>
    </xdr:from>
    <xdr:to>
      <xdr:col>13</xdr:col>
      <xdr:colOff>624840</xdr:colOff>
      <xdr:row>37</xdr:row>
      <xdr:rowOff>15240</xdr:rowOff>
    </xdr:to>
    <xdr:graphicFrame macro="">
      <xdr:nvGraphicFramePr>
        <xdr:cNvPr id="4" name="Chart 3">
          <a:extLst>
            <a:ext uri="{FF2B5EF4-FFF2-40B4-BE49-F238E27FC236}">
              <a16:creationId xmlns:a16="http://schemas.microsoft.com/office/drawing/2014/main" id="{3C31A5B3-6FBE-44B7-D7F1-3634BB2EA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251460</xdr:colOff>
      <xdr:row>0</xdr:row>
      <xdr:rowOff>0</xdr:rowOff>
    </xdr:from>
    <xdr:to>
      <xdr:col>20</xdr:col>
      <xdr:colOff>320040</xdr:colOff>
      <xdr:row>27</xdr:row>
      <xdr:rowOff>60960</xdr:rowOff>
    </xdr:to>
    <xdr:sp macro="" textlink="">
      <xdr:nvSpPr>
        <xdr:cNvPr id="2" name="Rectangle: Rounded Corners 1">
          <a:extLst>
            <a:ext uri="{FF2B5EF4-FFF2-40B4-BE49-F238E27FC236}">
              <a16:creationId xmlns:a16="http://schemas.microsoft.com/office/drawing/2014/main" id="{F9293F9B-06A6-AE1A-E3C8-1EDA7436826E}"/>
            </a:ext>
          </a:extLst>
        </xdr:cNvPr>
        <xdr:cNvSpPr/>
      </xdr:nvSpPr>
      <xdr:spPr>
        <a:xfrm>
          <a:off x="1470660" y="0"/>
          <a:ext cx="11041380" cy="4998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1">
              <a:solidFill>
                <a:schemeClr val="accent2">
                  <a:lumMod val="75000"/>
                </a:schemeClr>
              </a:solidFill>
            </a:rPr>
            <a:t>Credit Risk Analysis &amp; Loan Portfolio Management </a:t>
          </a:r>
        </a:p>
      </xdr:txBody>
    </xdr:sp>
    <xdr:clientData/>
  </xdr:twoCellAnchor>
  <xdr:twoCellAnchor editAs="oneCell">
    <xdr:from>
      <xdr:col>2</xdr:col>
      <xdr:colOff>381000</xdr:colOff>
      <xdr:row>4</xdr:row>
      <xdr:rowOff>99060</xdr:rowOff>
    </xdr:from>
    <xdr:to>
      <xdr:col>7</xdr:col>
      <xdr:colOff>601980</xdr:colOff>
      <xdr:row>11</xdr:row>
      <xdr:rowOff>106680</xdr:rowOff>
    </xdr:to>
    <xdr:pic>
      <xdr:nvPicPr>
        <xdr:cNvPr id="6" name="Picture 5">
          <a:extLst>
            <a:ext uri="{FF2B5EF4-FFF2-40B4-BE49-F238E27FC236}">
              <a16:creationId xmlns:a16="http://schemas.microsoft.com/office/drawing/2014/main" id="{12C781C5-BEC5-01D2-B95A-6EF8570EA9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0" y="830580"/>
          <a:ext cx="3268980" cy="128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160020</xdr:colOff>
      <xdr:row>4</xdr:row>
      <xdr:rowOff>121920</xdr:rowOff>
    </xdr:from>
    <xdr:to>
      <xdr:col>12</xdr:col>
      <xdr:colOff>0</xdr:colOff>
      <xdr:row>11</xdr:row>
      <xdr:rowOff>91440</xdr:rowOff>
    </xdr:to>
    <xdr:pic>
      <xdr:nvPicPr>
        <xdr:cNvPr id="7" name="Picture 6">
          <a:extLst>
            <a:ext uri="{FF2B5EF4-FFF2-40B4-BE49-F238E27FC236}">
              <a16:creationId xmlns:a16="http://schemas.microsoft.com/office/drawing/2014/main" id="{14AF2BFB-E2D3-5287-E3D0-7593A72AF1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36820" y="853440"/>
          <a:ext cx="2278380"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175260</xdr:colOff>
      <xdr:row>4</xdr:row>
      <xdr:rowOff>114300</xdr:rowOff>
    </xdr:from>
    <xdr:to>
      <xdr:col>16</xdr:col>
      <xdr:colOff>289560</xdr:colOff>
      <xdr:row>11</xdr:row>
      <xdr:rowOff>121920</xdr:rowOff>
    </xdr:to>
    <xdr:pic>
      <xdr:nvPicPr>
        <xdr:cNvPr id="8" name="Picture 7">
          <a:extLst>
            <a:ext uri="{FF2B5EF4-FFF2-40B4-BE49-F238E27FC236}">
              <a16:creationId xmlns:a16="http://schemas.microsoft.com/office/drawing/2014/main" id="{A214B9E2-578F-95B7-DB97-702451E815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90460" y="845820"/>
          <a:ext cx="2552700" cy="128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411480</xdr:colOff>
      <xdr:row>12</xdr:row>
      <xdr:rowOff>152400</xdr:rowOff>
    </xdr:from>
    <xdr:to>
      <xdr:col>6</xdr:col>
      <xdr:colOff>53340</xdr:colOff>
      <xdr:row>24</xdr:row>
      <xdr:rowOff>160020</xdr:rowOff>
    </xdr:to>
    <xdr:pic>
      <xdr:nvPicPr>
        <xdr:cNvPr id="9" name="Picture 8">
          <a:extLst>
            <a:ext uri="{FF2B5EF4-FFF2-40B4-BE49-F238E27FC236}">
              <a16:creationId xmlns:a16="http://schemas.microsoft.com/office/drawing/2014/main" id="{E2048DFF-1BA3-1732-97B2-1030ADAA9FD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30680" y="2346960"/>
          <a:ext cx="208026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419100</xdr:colOff>
      <xdr:row>4</xdr:row>
      <xdr:rowOff>91440</xdr:rowOff>
    </xdr:from>
    <xdr:to>
      <xdr:col>19</xdr:col>
      <xdr:colOff>60960</xdr:colOff>
      <xdr:row>11</xdr:row>
      <xdr:rowOff>175260</xdr:rowOff>
    </xdr:to>
    <xdr:pic>
      <xdr:nvPicPr>
        <xdr:cNvPr id="10" name="Picture 9">
          <a:extLst>
            <a:ext uri="{FF2B5EF4-FFF2-40B4-BE49-F238E27FC236}">
              <a16:creationId xmlns:a16="http://schemas.microsoft.com/office/drawing/2014/main" id="{3917BB55-9B5B-C8DD-5049-760978CF3DF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172700" y="822960"/>
          <a:ext cx="1470660" cy="136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167640</xdr:colOff>
      <xdr:row>12</xdr:row>
      <xdr:rowOff>152400</xdr:rowOff>
    </xdr:from>
    <xdr:to>
      <xdr:col>12</xdr:col>
      <xdr:colOff>83820</xdr:colOff>
      <xdr:row>24</xdr:row>
      <xdr:rowOff>15240</xdr:rowOff>
    </xdr:to>
    <xdr:graphicFrame macro="">
      <xdr:nvGraphicFramePr>
        <xdr:cNvPr id="12" name="Chart 11">
          <a:extLst>
            <a:ext uri="{FF2B5EF4-FFF2-40B4-BE49-F238E27FC236}">
              <a16:creationId xmlns:a16="http://schemas.microsoft.com/office/drawing/2014/main" id="{18E4EF53-9150-4AFD-A36E-B27D950B0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137160</xdr:colOff>
      <xdr:row>12</xdr:row>
      <xdr:rowOff>144780</xdr:rowOff>
    </xdr:from>
    <xdr:to>
      <xdr:col>16</xdr:col>
      <xdr:colOff>472440</xdr:colOff>
      <xdr:row>23</xdr:row>
      <xdr:rowOff>0</xdr:rowOff>
    </xdr:to>
    <xdr:graphicFrame macro="">
      <xdr:nvGraphicFramePr>
        <xdr:cNvPr id="13" name="Chart 12">
          <a:extLst>
            <a:ext uri="{FF2B5EF4-FFF2-40B4-BE49-F238E27FC236}">
              <a16:creationId xmlns:a16="http://schemas.microsoft.com/office/drawing/2014/main" id="{603E4D0B-A645-4F18-B096-C00DB255B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541020</xdr:colOff>
      <xdr:row>12</xdr:row>
      <xdr:rowOff>152400</xdr:rowOff>
    </xdr:from>
    <xdr:to>
      <xdr:col>18</xdr:col>
      <xdr:colOff>266700</xdr:colOff>
      <xdr:row>22</xdr:row>
      <xdr:rowOff>144779</xdr:rowOff>
    </xdr:to>
    <mc:AlternateContent xmlns:mc="http://schemas.openxmlformats.org/markup-compatibility/2006">
      <mc:Choice xmlns:a14="http://schemas.microsoft.com/office/drawing/2010/main" Requires="a14">
        <xdr:graphicFrame macro="">
          <xdr:nvGraphicFramePr>
            <xdr:cNvPr id="15" name="Loan Grade 1">
              <a:extLst>
                <a:ext uri="{FF2B5EF4-FFF2-40B4-BE49-F238E27FC236}">
                  <a16:creationId xmlns:a16="http://schemas.microsoft.com/office/drawing/2014/main" id="{1646E5DB-0E2D-473C-9E31-621EA7138E2F}"/>
                </a:ext>
              </a:extLst>
            </xdr:cNvPr>
            <xdr:cNvGraphicFramePr/>
          </xdr:nvGraphicFramePr>
          <xdr:xfrm>
            <a:off x="0" y="0"/>
            <a:ext cx="0" cy="0"/>
          </xdr:xfrm>
          <a:graphic>
            <a:graphicData uri="http://schemas.microsoft.com/office/drawing/2010/slicer">
              <sle:slicer xmlns:sle="http://schemas.microsoft.com/office/drawing/2010/slicer" name="Loan Grade 1"/>
            </a:graphicData>
          </a:graphic>
        </xdr:graphicFrame>
      </mc:Choice>
      <mc:Fallback>
        <xdr:sp macro="" textlink="">
          <xdr:nvSpPr>
            <xdr:cNvPr id="0" name=""/>
            <xdr:cNvSpPr>
              <a:spLocks noTextEdit="1"/>
            </xdr:cNvSpPr>
          </xdr:nvSpPr>
          <xdr:spPr>
            <a:xfrm>
              <a:off x="10294620" y="2346960"/>
              <a:ext cx="944880" cy="1821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12</xdr:row>
      <xdr:rowOff>144781</xdr:rowOff>
    </xdr:from>
    <xdr:to>
      <xdr:col>20</xdr:col>
      <xdr:colOff>68580</xdr:colOff>
      <xdr:row>22</xdr:row>
      <xdr:rowOff>152401</xdr:rowOff>
    </xdr:to>
    <mc:AlternateContent xmlns:mc="http://schemas.openxmlformats.org/markup-compatibility/2006">
      <mc:Choice xmlns:a14="http://schemas.microsoft.com/office/drawing/2010/main" Requires="a14">
        <xdr:graphicFrame macro="">
          <xdr:nvGraphicFramePr>
            <xdr:cNvPr id="17" name="Loan ID 1">
              <a:extLst>
                <a:ext uri="{FF2B5EF4-FFF2-40B4-BE49-F238E27FC236}">
                  <a16:creationId xmlns:a16="http://schemas.microsoft.com/office/drawing/2014/main" id="{30349730-8824-4C16-B174-9114F01ED192}"/>
                </a:ext>
              </a:extLst>
            </xdr:cNvPr>
            <xdr:cNvGraphicFramePr/>
          </xdr:nvGraphicFramePr>
          <xdr:xfrm>
            <a:off x="0" y="0"/>
            <a:ext cx="0" cy="0"/>
          </xdr:xfrm>
          <a:graphic>
            <a:graphicData uri="http://schemas.microsoft.com/office/drawing/2010/slicer">
              <sle:slicer xmlns:sle="http://schemas.microsoft.com/office/drawing/2010/slicer" name="Loan ID 1"/>
            </a:graphicData>
          </a:graphic>
        </xdr:graphicFrame>
      </mc:Choice>
      <mc:Fallback>
        <xdr:sp macro="" textlink="">
          <xdr:nvSpPr>
            <xdr:cNvPr id="0" name=""/>
            <xdr:cNvSpPr>
              <a:spLocks noTextEdit="1"/>
            </xdr:cNvSpPr>
          </xdr:nvSpPr>
          <xdr:spPr>
            <a:xfrm>
              <a:off x="11269980" y="2339341"/>
              <a:ext cx="99060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Belide" refreshedDate="46100.623911458337" createdVersion="8" refreshedVersion="8" minRefreshableVersion="3" recordCount="1000" xr:uid="{0141684F-8EFC-4BD2-9992-C56D236E7302}">
  <cacheSource type="worksheet">
    <worksheetSource ref="A1:X1001" sheet="banking_loan_data"/>
  </cacheSource>
  <cacheFields count="21">
    <cacheField name="Loan ID" numFmtId="0">
      <sharedItems count="1000">
        <s v="L0001"/>
        <s v="L0002"/>
        <s v="L0003"/>
        <s v="L0004"/>
        <s v="L0005"/>
        <s v="L0006"/>
        <s v="L0007"/>
        <s v="L0008"/>
        <s v="L0009"/>
        <s v="L0010"/>
        <s v="L0011"/>
        <s v="L0012"/>
        <s v="L0013"/>
        <s v="L0014"/>
        <s v="L0015"/>
        <s v="L0016"/>
        <s v="L0017"/>
        <s v="L0018"/>
        <s v="L0019"/>
        <s v="L0020"/>
        <s v="L0021"/>
        <s v="L0022"/>
        <s v="L0023"/>
        <s v="L0024"/>
        <s v="L0025"/>
        <s v="L0026"/>
        <s v="L0027"/>
        <s v="L0028"/>
        <s v="L0029"/>
        <s v="L0030"/>
        <s v="L0031"/>
        <s v="L0032"/>
        <s v="L0033"/>
        <s v="L0034"/>
        <s v="L0035"/>
        <s v="L0036"/>
        <s v="L0037"/>
        <s v="L0038"/>
        <s v="L0039"/>
        <s v="L0040"/>
        <s v="L0041"/>
        <s v="L0042"/>
        <s v="L0043"/>
        <s v="L0044"/>
        <s v="L0045"/>
        <s v="L0046"/>
        <s v="L0047"/>
        <s v="L0048"/>
        <s v="L0049"/>
        <s v="L0050"/>
        <s v="L0051"/>
        <s v="L0052"/>
        <s v="L0053"/>
        <s v="L0054"/>
        <s v="L0055"/>
        <s v="L0056"/>
        <s v="L0057"/>
        <s v="L0058"/>
        <s v="L0059"/>
        <s v="L0060"/>
        <s v="L0061"/>
        <s v="L0062"/>
        <s v="L0063"/>
        <s v="L0064"/>
        <s v="L0065"/>
        <s v="L0066"/>
        <s v="L0067"/>
        <s v="L0068"/>
        <s v="L0069"/>
        <s v="L0070"/>
        <s v="L0071"/>
        <s v="L0072"/>
        <s v="L0073"/>
        <s v="L0074"/>
        <s v="L0075"/>
        <s v="L0076"/>
        <s v="L0077"/>
        <s v="L0078"/>
        <s v="L0079"/>
        <s v="L0080"/>
        <s v="L0081"/>
        <s v="L0082"/>
        <s v="L0083"/>
        <s v="L0084"/>
        <s v="L0085"/>
        <s v="L0086"/>
        <s v="L0087"/>
        <s v="L0088"/>
        <s v="L0089"/>
        <s v="L0090"/>
        <s v="L0091"/>
        <s v="L0092"/>
        <s v="L0093"/>
        <s v="L0094"/>
        <s v="L0095"/>
        <s v="L0096"/>
        <s v="L0097"/>
        <s v="L0098"/>
        <s v="L0099"/>
        <s v="L0100"/>
        <s v="L0101"/>
        <s v="L0102"/>
        <s v="L0103"/>
        <s v="L0104"/>
        <s v="L0105"/>
        <s v="L0106"/>
        <s v="L0107"/>
        <s v="L0108"/>
        <s v="L0109"/>
        <s v="L0110"/>
        <s v="L0111"/>
        <s v="L0112"/>
        <s v="L0113"/>
        <s v="L0114"/>
        <s v="L0115"/>
        <s v="L0116"/>
        <s v="L0117"/>
        <s v="L0118"/>
        <s v="L0119"/>
        <s v="L0120"/>
        <s v="L0121"/>
        <s v="L0122"/>
        <s v="L0123"/>
        <s v="L0124"/>
        <s v="L0125"/>
        <s v="L0126"/>
        <s v="L0127"/>
        <s v="L0128"/>
        <s v="L0129"/>
        <s v="L0130"/>
        <s v="L0131"/>
        <s v="L0132"/>
        <s v="L0133"/>
        <s v="L0134"/>
        <s v="L0135"/>
        <s v="L0136"/>
        <s v="L0137"/>
        <s v="L0138"/>
        <s v="L0139"/>
        <s v="L0140"/>
        <s v="L0141"/>
        <s v="L0142"/>
        <s v="L0143"/>
        <s v="L0144"/>
        <s v="L0145"/>
        <s v="L0146"/>
        <s v="L0147"/>
        <s v="L0148"/>
        <s v="L0149"/>
        <s v="L0150"/>
        <s v="L0151"/>
        <s v="L0152"/>
        <s v="L0153"/>
        <s v="L0154"/>
        <s v="L0155"/>
        <s v="L0156"/>
        <s v="L0157"/>
        <s v="L0158"/>
        <s v="L0159"/>
        <s v="L0160"/>
        <s v="L0161"/>
        <s v="L0162"/>
        <s v="L0163"/>
        <s v="L0164"/>
        <s v="L0165"/>
        <s v="L0166"/>
        <s v="L0167"/>
        <s v="L0168"/>
        <s v="L0169"/>
        <s v="L0170"/>
        <s v="L0171"/>
        <s v="L0172"/>
        <s v="L0173"/>
        <s v="L0174"/>
        <s v="L0175"/>
        <s v="L0176"/>
        <s v="L0177"/>
        <s v="L0178"/>
        <s v="L0179"/>
        <s v="L0180"/>
        <s v="L0181"/>
        <s v="L0182"/>
        <s v="L0183"/>
        <s v="L0184"/>
        <s v="L0185"/>
        <s v="L0186"/>
        <s v="L0187"/>
        <s v="L0188"/>
        <s v="L0189"/>
        <s v="L0190"/>
        <s v="L0191"/>
        <s v="L0192"/>
        <s v="L0193"/>
        <s v="L0194"/>
        <s v="L0195"/>
        <s v="L0196"/>
        <s v="L0197"/>
        <s v="L0198"/>
        <s v="L0199"/>
        <s v="L0200"/>
        <s v="L0201"/>
        <s v="L0202"/>
        <s v="L0203"/>
        <s v="L0204"/>
        <s v="L0205"/>
        <s v="L0206"/>
        <s v="L0207"/>
        <s v="L0208"/>
        <s v="L0209"/>
        <s v="L0210"/>
        <s v="L0211"/>
        <s v="L0212"/>
        <s v="L0213"/>
        <s v="L0214"/>
        <s v="L0215"/>
        <s v="L0216"/>
        <s v="L0217"/>
        <s v="L0218"/>
        <s v="L0219"/>
        <s v="L0220"/>
        <s v="L0221"/>
        <s v="L0222"/>
        <s v="L0223"/>
        <s v="L0224"/>
        <s v="L0225"/>
        <s v="L0226"/>
        <s v="L0227"/>
        <s v="L0228"/>
        <s v="L0229"/>
        <s v="L0230"/>
        <s v="L0231"/>
        <s v="L0232"/>
        <s v="L0233"/>
        <s v="L0234"/>
        <s v="L0235"/>
        <s v="L0236"/>
        <s v="L0237"/>
        <s v="L0238"/>
        <s v="L0239"/>
        <s v="L0240"/>
        <s v="L0241"/>
        <s v="L0242"/>
        <s v="L0243"/>
        <s v="L0244"/>
        <s v="L0245"/>
        <s v="L0246"/>
        <s v="L0247"/>
        <s v="L0248"/>
        <s v="L0249"/>
        <s v="L0250"/>
        <s v="L0251"/>
        <s v="L0252"/>
        <s v="L0253"/>
        <s v="L0254"/>
        <s v="L0255"/>
        <s v="L0256"/>
        <s v="L0257"/>
        <s v="L0258"/>
        <s v="L0259"/>
        <s v="L0260"/>
        <s v="L0261"/>
        <s v="L0262"/>
        <s v="L0263"/>
        <s v="L0264"/>
        <s v="L0265"/>
        <s v="L0266"/>
        <s v="L0267"/>
        <s v="L0268"/>
        <s v="L0269"/>
        <s v="L0270"/>
        <s v="L0271"/>
        <s v="L0272"/>
        <s v="L0273"/>
        <s v="L0274"/>
        <s v="L0275"/>
        <s v="L0276"/>
        <s v="L0277"/>
        <s v="L0278"/>
        <s v="L0279"/>
        <s v="L0280"/>
        <s v="L0281"/>
        <s v="L0282"/>
        <s v="L0283"/>
        <s v="L0284"/>
        <s v="L0285"/>
        <s v="L0286"/>
        <s v="L0287"/>
        <s v="L0288"/>
        <s v="L0289"/>
        <s v="L0290"/>
        <s v="L0291"/>
        <s v="L0292"/>
        <s v="L0293"/>
        <s v="L0294"/>
        <s v="L0295"/>
        <s v="L0296"/>
        <s v="L0297"/>
        <s v="L0298"/>
        <s v="L0299"/>
        <s v="L0300"/>
        <s v="L0301"/>
        <s v="L0302"/>
        <s v="L0303"/>
        <s v="L0304"/>
        <s v="L0305"/>
        <s v="L0306"/>
        <s v="L0307"/>
        <s v="L0308"/>
        <s v="L0309"/>
        <s v="L0310"/>
        <s v="L0311"/>
        <s v="L0312"/>
        <s v="L0313"/>
        <s v="L0314"/>
        <s v="L0315"/>
        <s v="L0316"/>
        <s v="L0317"/>
        <s v="L0318"/>
        <s v="L0319"/>
        <s v="L0320"/>
        <s v="L0321"/>
        <s v="L0322"/>
        <s v="L0323"/>
        <s v="L0324"/>
        <s v="L0325"/>
        <s v="L0326"/>
        <s v="L0327"/>
        <s v="L0328"/>
        <s v="L0329"/>
        <s v="L0330"/>
        <s v="L0331"/>
        <s v="L0332"/>
        <s v="L0333"/>
        <s v="L0334"/>
        <s v="L0335"/>
        <s v="L0336"/>
        <s v="L0337"/>
        <s v="L0338"/>
        <s v="L0339"/>
        <s v="L0340"/>
        <s v="L0341"/>
        <s v="L0342"/>
        <s v="L0343"/>
        <s v="L0344"/>
        <s v="L0345"/>
        <s v="L0346"/>
        <s v="L0347"/>
        <s v="L0348"/>
        <s v="L0349"/>
        <s v="L0350"/>
        <s v="L0351"/>
        <s v="L0352"/>
        <s v="L0353"/>
        <s v="L0354"/>
        <s v="L0355"/>
        <s v="L0356"/>
        <s v="L0357"/>
        <s v="L0358"/>
        <s v="L0359"/>
        <s v="L0360"/>
        <s v="L0361"/>
        <s v="L0362"/>
        <s v="L0363"/>
        <s v="L0364"/>
        <s v="L0365"/>
        <s v="L0366"/>
        <s v="L0367"/>
        <s v="L0368"/>
        <s v="L0369"/>
        <s v="L0370"/>
        <s v="L0371"/>
        <s v="L0372"/>
        <s v="L0373"/>
        <s v="L0374"/>
        <s v="L0375"/>
        <s v="L0376"/>
        <s v="L0377"/>
        <s v="L0378"/>
        <s v="L0379"/>
        <s v="L0380"/>
        <s v="L0381"/>
        <s v="L0382"/>
        <s v="L0383"/>
        <s v="L0384"/>
        <s v="L0385"/>
        <s v="L0386"/>
        <s v="L0387"/>
        <s v="L0388"/>
        <s v="L0389"/>
        <s v="L0390"/>
        <s v="L0391"/>
        <s v="L0392"/>
        <s v="L0393"/>
        <s v="L0394"/>
        <s v="L0395"/>
        <s v="L0396"/>
        <s v="L0397"/>
        <s v="L0398"/>
        <s v="L0399"/>
        <s v="L0400"/>
        <s v="L0401"/>
        <s v="L0402"/>
        <s v="L0403"/>
        <s v="L0404"/>
        <s v="L0405"/>
        <s v="L0406"/>
        <s v="L0407"/>
        <s v="L0408"/>
        <s v="L0409"/>
        <s v="L0410"/>
        <s v="L0411"/>
        <s v="L0412"/>
        <s v="L0413"/>
        <s v="L0414"/>
        <s v="L0415"/>
        <s v="L0416"/>
        <s v="L0417"/>
        <s v="L0418"/>
        <s v="L0419"/>
        <s v="L0420"/>
        <s v="L0421"/>
        <s v="L0422"/>
        <s v="L0423"/>
        <s v="L0424"/>
        <s v="L0425"/>
        <s v="L0426"/>
        <s v="L0427"/>
        <s v="L0428"/>
        <s v="L0429"/>
        <s v="L0430"/>
        <s v="L0431"/>
        <s v="L0432"/>
        <s v="L0433"/>
        <s v="L0434"/>
        <s v="L0435"/>
        <s v="L0436"/>
        <s v="L0437"/>
        <s v="L0438"/>
        <s v="L0439"/>
        <s v="L0440"/>
        <s v="L0441"/>
        <s v="L0442"/>
        <s v="L0443"/>
        <s v="L0444"/>
        <s v="L0445"/>
        <s v="L0446"/>
        <s v="L0447"/>
        <s v="L0448"/>
        <s v="L0449"/>
        <s v="L0450"/>
        <s v="L0451"/>
        <s v="L0452"/>
        <s v="L0453"/>
        <s v="L0454"/>
        <s v="L0455"/>
        <s v="L0456"/>
        <s v="L0457"/>
        <s v="L0458"/>
        <s v="L0459"/>
        <s v="L0460"/>
        <s v="L0461"/>
        <s v="L0462"/>
        <s v="L0463"/>
        <s v="L0464"/>
        <s v="L0465"/>
        <s v="L0466"/>
        <s v="L0467"/>
        <s v="L0468"/>
        <s v="L0469"/>
        <s v="L0470"/>
        <s v="L0471"/>
        <s v="L0472"/>
        <s v="L0473"/>
        <s v="L0474"/>
        <s v="L0475"/>
        <s v="L0476"/>
        <s v="L0477"/>
        <s v="L0478"/>
        <s v="L0479"/>
        <s v="L0480"/>
        <s v="L0481"/>
        <s v="L0482"/>
        <s v="L0483"/>
        <s v="L0484"/>
        <s v="L0485"/>
        <s v="L0486"/>
        <s v="L0487"/>
        <s v="L0488"/>
        <s v="L0489"/>
        <s v="L0490"/>
        <s v="L0491"/>
        <s v="L0492"/>
        <s v="L0493"/>
        <s v="L0494"/>
        <s v="L0495"/>
        <s v="L0496"/>
        <s v="L0497"/>
        <s v="L0498"/>
        <s v="L0499"/>
        <s v="L0500"/>
        <s v="L0501"/>
        <s v="L0502"/>
        <s v="L0503"/>
        <s v="L0504"/>
        <s v="L0505"/>
        <s v="L0506"/>
        <s v="L0507"/>
        <s v="L0508"/>
        <s v="L0509"/>
        <s v="L0510"/>
        <s v="L0511"/>
        <s v="L0512"/>
        <s v="L0513"/>
        <s v="L0514"/>
        <s v="L0515"/>
        <s v="L0516"/>
        <s v="L0517"/>
        <s v="L0518"/>
        <s v="L0519"/>
        <s v="L0520"/>
        <s v="L0521"/>
        <s v="L0522"/>
        <s v="L0523"/>
        <s v="L0524"/>
        <s v="L0525"/>
        <s v="L0526"/>
        <s v="L0527"/>
        <s v="L0528"/>
        <s v="L0529"/>
        <s v="L0530"/>
        <s v="L0531"/>
        <s v="L0532"/>
        <s v="L0533"/>
        <s v="L0534"/>
        <s v="L0535"/>
        <s v="L0536"/>
        <s v="L0537"/>
        <s v="L0538"/>
        <s v="L0539"/>
        <s v="L0540"/>
        <s v="L0541"/>
        <s v="L0542"/>
        <s v="L0543"/>
        <s v="L0544"/>
        <s v="L0545"/>
        <s v="L0546"/>
        <s v="L0547"/>
        <s v="L0548"/>
        <s v="L0549"/>
        <s v="L0550"/>
        <s v="L0551"/>
        <s v="L0552"/>
        <s v="L0553"/>
        <s v="L0554"/>
        <s v="L0555"/>
        <s v="L0556"/>
        <s v="L0557"/>
        <s v="L0558"/>
        <s v="L0559"/>
        <s v="L0560"/>
        <s v="L0561"/>
        <s v="L0562"/>
        <s v="L0563"/>
        <s v="L0564"/>
        <s v="L0565"/>
        <s v="L0566"/>
        <s v="L0567"/>
        <s v="L0568"/>
        <s v="L0569"/>
        <s v="L0570"/>
        <s v="L0571"/>
        <s v="L0572"/>
        <s v="L0573"/>
        <s v="L0574"/>
        <s v="L0575"/>
        <s v="L0576"/>
        <s v="L0577"/>
        <s v="L0578"/>
        <s v="L0579"/>
        <s v="L0580"/>
        <s v="L0581"/>
        <s v="L0582"/>
        <s v="L0583"/>
        <s v="L0584"/>
        <s v="L0585"/>
        <s v="L0586"/>
        <s v="L0587"/>
        <s v="L0588"/>
        <s v="L0589"/>
        <s v="L0590"/>
        <s v="L0591"/>
        <s v="L0592"/>
        <s v="L0593"/>
        <s v="L0594"/>
        <s v="L0595"/>
        <s v="L0596"/>
        <s v="L0597"/>
        <s v="L0598"/>
        <s v="L0599"/>
        <s v="L0600"/>
        <s v="L0601"/>
        <s v="L0602"/>
        <s v="L0603"/>
        <s v="L0604"/>
        <s v="L0605"/>
        <s v="L0606"/>
        <s v="L0607"/>
        <s v="L0608"/>
        <s v="L0609"/>
        <s v="L0610"/>
        <s v="L0611"/>
        <s v="L0612"/>
        <s v="L0613"/>
        <s v="L0614"/>
        <s v="L0615"/>
        <s v="L0616"/>
        <s v="L0617"/>
        <s v="L0618"/>
        <s v="L0619"/>
        <s v="L0620"/>
        <s v="L0621"/>
        <s v="L0622"/>
        <s v="L0623"/>
        <s v="L0624"/>
        <s v="L0625"/>
        <s v="L0626"/>
        <s v="L0627"/>
        <s v="L0628"/>
        <s v="L0629"/>
        <s v="L0630"/>
        <s v="L0631"/>
        <s v="L0632"/>
        <s v="L0633"/>
        <s v="L0634"/>
        <s v="L0635"/>
        <s v="L0636"/>
        <s v="L0637"/>
        <s v="L0638"/>
        <s v="L0639"/>
        <s v="L0640"/>
        <s v="L0641"/>
        <s v="L0642"/>
        <s v="L0643"/>
        <s v="L0644"/>
        <s v="L0645"/>
        <s v="L0646"/>
        <s v="L0647"/>
        <s v="L0648"/>
        <s v="L0649"/>
        <s v="L0650"/>
        <s v="L0651"/>
        <s v="L0652"/>
        <s v="L0653"/>
        <s v="L0654"/>
        <s v="L0655"/>
        <s v="L0656"/>
        <s v="L0657"/>
        <s v="L0658"/>
        <s v="L0659"/>
        <s v="L0660"/>
        <s v="L0661"/>
        <s v="L0662"/>
        <s v="L0663"/>
        <s v="L0664"/>
        <s v="L0665"/>
        <s v="L0666"/>
        <s v="L0667"/>
        <s v="L0668"/>
        <s v="L0669"/>
        <s v="L0670"/>
        <s v="L0671"/>
        <s v="L0672"/>
        <s v="L0673"/>
        <s v="L0674"/>
        <s v="L0675"/>
        <s v="L0676"/>
        <s v="L0677"/>
        <s v="L0678"/>
        <s v="L0679"/>
        <s v="L0680"/>
        <s v="L0681"/>
        <s v="L0682"/>
        <s v="L0683"/>
        <s v="L0684"/>
        <s v="L0685"/>
        <s v="L0686"/>
        <s v="L0687"/>
        <s v="L0688"/>
        <s v="L0689"/>
        <s v="L0690"/>
        <s v="L0691"/>
        <s v="L0692"/>
        <s v="L0693"/>
        <s v="L0694"/>
        <s v="L0695"/>
        <s v="L0696"/>
        <s v="L0697"/>
        <s v="L0698"/>
        <s v="L0699"/>
        <s v="L0700"/>
        <s v="L0701"/>
        <s v="L0702"/>
        <s v="L0703"/>
        <s v="L0704"/>
        <s v="L0705"/>
        <s v="L0706"/>
        <s v="L0707"/>
        <s v="L0708"/>
        <s v="L0709"/>
        <s v="L0710"/>
        <s v="L0711"/>
        <s v="L0712"/>
        <s v="L0713"/>
        <s v="L0714"/>
        <s v="L0715"/>
        <s v="L0716"/>
        <s v="L0717"/>
        <s v="L0718"/>
        <s v="L0719"/>
        <s v="L0720"/>
        <s v="L0721"/>
        <s v="L0722"/>
        <s v="L0723"/>
        <s v="L0724"/>
        <s v="L0725"/>
        <s v="L0726"/>
        <s v="L0727"/>
        <s v="L0728"/>
        <s v="L0729"/>
        <s v="L0730"/>
        <s v="L0731"/>
        <s v="L0732"/>
        <s v="L0733"/>
        <s v="L0734"/>
        <s v="L0735"/>
        <s v="L0736"/>
        <s v="L0737"/>
        <s v="L0738"/>
        <s v="L0739"/>
        <s v="L0740"/>
        <s v="L0741"/>
        <s v="L0742"/>
        <s v="L0743"/>
        <s v="L0744"/>
        <s v="L0745"/>
        <s v="L0746"/>
        <s v="L0747"/>
        <s v="L0748"/>
        <s v="L0749"/>
        <s v="L0750"/>
        <s v="L0751"/>
        <s v="L0752"/>
        <s v="L0753"/>
        <s v="L0754"/>
        <s v="L0755"/>
        <s v="L0756"/>
        <s v="L0757"/>
        <s v="L0758"/>
        <s v="L0759"/>
        <s v="L0760"/>
        <s v="L0761"/>
        <s v="L0762"/>
        <s v="L0763"/>
        <s v="L0764"/>
        <s v="L0765"/>
        <s v="L0766"/>
        <s v="L0767"/>
        <s v="L0768"/>
        <s v="L0769"/>
        <s v="L0770"/>
        <s v="L0771"/>
        <s v="L0772"/>
        <s v="L0773"/>
        <s v="L0774"/>
        <s v="L0775"/>
        <s v="L0776"/>
        <s v="L0777"/>
        <s v="L0778"/>
        <s v="L0779"/>
        <s v="L0780"/>
        <s v="L0781"/>
        <s v="L0782"/>
        <s v="L0783"/>
        <s v="L0784"/>
        <s v="L0785"/>
        <s v="L0786"/>
        <s v="L0787"/>
        <s v="L0788"/>
        <s v="L0789"/>
        <s v="L0790"/>
        <s v="L0791"/>
        <s v="L0792"/>
        <s v="L0793"/>
        <s v="L0794"/>
        <s v="L0795"/>
        <s v="L0796"/>
        <s v="L0797"/>
        <s v="L0798"/>
        <s v="L0799"/>
        <s v="L0800"/>
        <s v="L0801"/>
        <s v="L0802"/>
        <s v="L0803"/>
        <s v="L0804"/>
        <s v="L0805"/>
        <s v="L0806"/>
        <s v="L0807"/>
        <s v="L0808"/>
        <s v="L0809"/>
        <s v="L0810"/>
        <s v="L0811"/>
        <s v="L0812"/>
        <s v="L0813"/>
        <s v="L0814"/>
        <s v="L0815"/>
        <s v="L0816"/>
        <s v="L0817"/>
        <s v="L0818"/>
        <s v="L0819"/>
        <s v="L0820"/>
        <s v="L0821"/>
        <s v="L0822"/>
        <s v="L0823"/>
        <s v="L0824"/>
        <s v="L0825"/>
        <s v="L0826"/>
        <s v="L0827"/>
        <s v="L0828"/>
        <s v="L0829"/>
        <s v="L0830"/>
        <s v="L0831"/>
        <s v="L0832"/>
        <s v="L0833"/>
        <s v="L0834"/>
        <s v="L0835"/>
        <s v="L0836"/>
        <s v="L0837"/>
        <s v="L0838"/>
        <s v="L0839"/>
        <s v="L0840"/>
        <s v="L0841"/>
        <s v="L0842"/>
        <s v="L0843"/>
        <s v="L0844"/>
        <s v="L0845"/>
        <s v="L0846"/>
        <s v="L0847"/>
        <s v="L0848"/>
        <s v="L0849"/>
        <s v="L0850"/>
        <s v="L0851"/>
        <s v="L0852"/>
        <s v="L0853"/>
        <s v="L0854"/>
        <s v="L0855"/>
        <s v="L0856"/>
        <s v="L0857"/>
        <s v="L0858"/>
        <s v="L0859"/>
        <s v="L0860"/>
        <s v="L0861"/>
        <s v="L0862"/>
        <s v="L0863"/>
        <s v="L0864"/>
        <s v="L0865"/>
        <s v="L0866"/>
        <s v="L0867"/>
        <s v="L0868"/>
        <s v="L0869"/>
        <s v="L0870"/>
        <s v="L0871"/>
        <s v="L0872"/>
        <s v="L0873"/>
        <s v="L0874"/>
        <s v="L0875"/>
        <s v="L0876"/>
        <s v="L0877"/>
        <s v="L0878"/>
        <s v="L0879"/>
        <s v="L0880"/>
        <s v="L0881"/>
        <s v="L0882"/>
        <s v="L0883"/>
        <s v="L0884"/>
        <s v="L0885"/>
        <s v="L0886"/>
        <s v="L0887"/>
        <s v="L0888"/>
        <s v="L0889"/>
        <s v="L0890"/>
        <s v="L0891"/>
        <s v="L0892"/>
        <s v="L0893"/>
        <s v="L0894"/>
        <s v="L0895"/>
        <s v="L0896"/>
        <s v="L0897"/>
        <s v="L0898"/>
        <s v="L0899"/>
        <s v="L0900"/>
        <s v="L0901"/>
        <s v="L0902"/>
        <s v="L0903"/>
        <s v="L0904"/>
        <s v="L0905"/>
        <s v="L0906"/>
        <s v="L0907"/>
        <s v="L0908"/>
        <s v="L0909"/>
        <s v="L0910"/>
        <s v="L0911"/>
        <s v="L0912"/>
        <s v="L0913"/>
        <s v="L0914"/>
        <s v="L0915"/>
        <s v="L0916"/>
        <s v="L0917"/>
        <s v="L0918"/>
        <s v="L0919"/>
        <s v="L0920"/>
        <s v="L0921"/>
        <s v="L0922"/>
        <s v="L0923"/>
        <s v="L0924"/>
        <s v="L0925"/>
        <s v="L0926"/>
        <s v="L0927"/>
        <s v="L0928"/>
        <s v="L0929"/>
        <s v="L0930"/>
        <s v="L0931"/>
        <s v="L0932"/>
        <s v="L0933"/>
        <s v="L0934"/>
        <s v="L0935"/>
        <s v="L0936"/>
        <s v="L0937"/>
        <s v="L0938"/>
        <s v="L0939"/>
        <s v="L0940"/>
        <s v="L0941"/>
        <s v="L0942"/>
        <s v="L0943"/>
        <s v="L0944"/>
        <s v="L0945"/>
        <s v="L0946"/>
        <s v="L0947"/>
        <s v="L0948"/>
        <s v="L0949"/>
        <s v="L0950"/>
        <s v="L0951"/>
        <s v="L0952"/>
        <s v="L0953"/>
        <s v="L0954"/>
        <s v="L0955"/>
        <s v="L0956"/>
        <s v="L0957"/>
        <s v="L0958"/>
        <s v="L0959"/>
        <s v="L0960"/>
        <s v="L0961"/>
        <s v="L0962"/>
        <s v="L0963"/>
        <s v="L0964"/>
        <s v="L0965"/>
        <s v="L0966"/>
        <s v="L0967"/>
        <s v="L0968"/>
        <s v="L0969"/>
        <s v="L0970"/>
        <s v="L0971"/>
        <s v="L0972"/>
        <s v="L0973"/>
        <s v="L0974"/>
        <s v="L0975"/>
        <s v="L0976"/>
        <s v="L0977"/>
        <s v="L0978"/>
        <s v="L0979"/>
        <s v="L0980"/>
        <s v="L0981"/>
        <s v="L0982"/>
        <s v="L0983"/>
        <s v="L0984"/>
        <s v="L0985"/>
        <s v="L0986"/>
        <s v="L0987"/>
        <s v="L0988"/>
        <s v="L0989"/>
        <s v="L0990"/>
        <s v="L0991"/>
        <s v="L0992"/>
        <s v="L0993"/>
        <s v="L0994"/>
        <s v="L0995"/>
        <s v="L0996"/>
        <s v="L0997"/>
        <s v="L0998"/>
        <s v="L0999"/>
        <s v="L1000"/>
      </sharedItems>
    </cacheField>
    <cacheField name="Issue Date" numFmtId="0">
      <sharedItems containsSemiMixedTypes="0" containsNonDate="0" containsDate="1" containsString="0" minDate="2021-01-01T00:00:00" maxDate="2023-12-31T00:00:00"/>
    </cacheField>
    <cacheField name="Borrower ID" numFmtId="0">
      <sharedItems/>
    </cacheField>
    <cacheField name="State" numFmtId="0">
      <sharedItems count="10">
        <s v="OH"/>
        <s v="PA"/>
        <s v="NY"/>
        <s v="MI"/>
        <s v="NC"/>
        <s v="GA"/>
        <s v="IL"/>
        <s v="CA"/>
        <s v="FL"/>
        <s v="TX"/>
      </sharedItems>
    </cacheField>
    <cacheField name="Loan Amount" numFmtId="0">
      <sharedItems containsSemiMixedTypes="0" containsString="0" containsNumber="1" containsInteger="1" minValue="1060" maxValue="39908"/>
    </cacheField>
    <cacheField name="Interest Rate" numFmtId="0">
      <sharedItems containsSemiMixedTypes="0" containsString="0" containsNumber="1" minValue="5" maxValue="25"/>
    </cacheField>
    <cacheField name="Term (Months)" numFmtId="0">
      <sharedItems containsSemiMixedTypes="0" containsString="0" containsNumber="1" containsInteger="1" minValue="36" maxValue="60" count="2">
        <n v="60"/>
        <n v="36"/>
      </sharedItems>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ount="3">
        <s v="OWN"/>
        <s v="MORTGAGE"/>
        <s v="RENT"/>
      </sharedItems>
    </cacheField>
    <cacheField name="DTI" numFmtId="0">
      <sharedItems containsSemiMixedTypes="0" containsString="0" containsNumber="1" minValue="0.1" maxValue="0.5"/>
    </cacheField>
    <cacheField name="LTV" numFmtId="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LTV Ratio" numFmtId="0">
      <sharedItems containsSemiMixedTypes="0" containsString="0" containsNumber="1" minValue="1237.2340425531916" maxValue="79050"/>
    </cacheField>
    <cacheField name="Monthly income" numFmtId="0">
      <sharedItems containsSemiMixedTypes="0" containsString="0" containsNumber="1" minValue="2516.9166666666665" maxValue="12439.75"/>
    </cacheField>
    <cacheField name="DTI Ratio" numFmtId="0">
      <sharedItems containsSemiMixedTypes="0" containsString="0" containsNumber="1" minValue="291.60000000000002" maxValue="6021.8141666666661"/>
    </cacheField>
    <cacheField name="Months on book" numFmtId="0">
      <sharedItems containsSemiMixedTypes="0" containsString="0" containsNumber="1" containsInteger="1" minValue="26" maxValue="62"/>
    </cacheField>
    <cacheField name="Profit/ loss loan" numFmtId="0">
      <sharedItems containsSemiMixedTypes="0" containsString="0" containsNumber="1" minValue="-38873" maxValue="9683.5500000000029"/>
    </cacheField>
  </cacheFields>
  <extLst>
    <ext xmlns:x14="http://schemas.microsoft.com/office/spreadsheetml/2009/9/main" uri="{725AE2AE-9491-48be-B2B4-4EB974FC3084}">
      <x14:pivotCacheDefinition pivotCacheId="2047655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3-05-11T00:00:00"/>
    <s v="B0001"/>
    <x v="0"/>
    <n v="23180"/>
    <n v="10.1"/>
    <x v="0"/>
    <x v="0"/>
    <x v="0"/>
    <x v="0"/>
    <n v="41676"/>
    <x v="0"/>
    <n v="0.24"/>
    <n v="0.82"/>
    <n v="25521.18"/>
    <n v="0"/>
    <n v="28268.292682926833"/>
    <n v="3473"/>
    <n v="833.52"/>
    <n v="34"/>
    <n v="2341.1800000000003"/>
  </r>
  <r>
    <x v="1"/>
    <d v="2023-11-11T00:00:00"/>
    <s v="B0002"/>
    <x v="1"/>
    <n v="32896"/>
    <n v="20.6"/>
    <x v="1"/>
    <x v="1"/>
    <x v="1"/>
    <x v="1"/>
    <n v="34434"/>
    <x v="1"/>
    <n v="0.47"/>
    <n v="0.59"/>
    <n v="9222.59"/>
    <n v="0"/>
    <n v="55755.932203389835"/>
    <n v="2869.5"/>
    <n v="1348.665"/>
    <n v="28"/>
    <n v="-23673.41"/>
  </r>
  <r>
    <x v="2"/>
    <d v="2021-05-02T00:00:00"/>
    <s v="B0003"/>
    <x v="1"/>
    <n v="13875"/>
    <n v="21.5"/>
    <x v="1"/>
    <x v="1"/>
    <x v="0"/>
    <x v="2"/>
    <n v="79810"/>
    <x v="2"/>
    <n v="0.33"/>
    <n v="0.7"/>
    <n v="2689.37"/>
    <n v="0"/>
    <n v="19821.428571428572"/>
    <n v="6650.833333333333"/>
    <n v="2194.7750000000001"/>
    <n v="58"/>
    <n v="-11185.630000000001"/>
  </r>
  <r>
    <x v="3"/>
    <d v="2022-04-12T00:00:00"/>
    <s v="B0004"/>
    <x v="0"/>
    <n v="2622"/>
    <n v="14.9"/>
    <x v="0"/>
    <x v="0"/>
    <x v="2"/>
    <x v="3"/>
    <n v="133361"/>
    <x v="0"/>
    <n v="0.17"/>
    <n v="0.87"/>
    <n v="3012.68"/>
    <n v="0"/>
    <n v="3013.7931034482758"/>
    <n v="11113.416666666666"/>
    <n v="1889.2808333333335"/>
    <n v="47"/>
    <n v="390.67999999999984"/>
  </r>
  <r>
    <x v="4"/>
    <d v="2021-11-27T00:00:00"/>
    <s v="B0005"/>
    <x v="2"/>
    <n v="17725"/>
    <n v="12.7"/>
    <x v="1"/>
    <x v="0"/>
    <x v="3"/>
    <x v="3"/>
    <n v="148696"/>
    <x v="0"/>
    <n v="0.16"/>
    <n v="0.79"/>
    <n v="19976.080000000002"/>
    <n v="0"/>
    <n v="22436.708860759492"/>
    <n v="12391.333333333334"/>
    <n v="1982.6133333333335"/>
    <n v="51"/>
    <n v="2251.0800000000017"/>
  </r>
  <r>
    <x v="5"/>
    <d v="2021-03-29T00:00:00"/>
    <s v="B0006"/>
    <x v="2"/>
    <n v="16646"/>
    <n v="14"/>
    <x v="1"/>
    <x v="0"/>
    <x v="0"/>
    <x v="3"/>
    <n v="124636"/>
    <x v="2"/>
    <n v="0.33"/>
    <n v="0.69"/>
    <n v="18976.439999999999"/>
    <n v="0"/>
    <n v="24124.637681159424"/>
    <n v="10386.333333333334"/>
    <n v="3427.4900000000002"/>
    <n v="59"/>
    <n v="2330.4399999999987"/>
  </r>
  <r>
    <x v="6"/>
    <d v="2023-05-22T00:00:00"/>
    <s v="B0007"/>
    <x v="3"/>
    <n v="18029"/>
    <n v="9.5"/>
    <x v="0"/>
    <x v="0"/>
    <x v="1"/>
    <x v="4"/>
    <n v="34994"/>
    <x v="0"/>
    <n v="0.4"/>
    <n v="0.8"/>
    <n v="19741.759999999998"/>
    <n v="0"/>
    <n v="22536.25"/>
    <n v="2916.1666666666665"/>
    <n v="1166.4666666666667"/>
    <n v="33"/>
    <n v="1712.7599999999984"/>
  </r>
  <r>
    <x v="7"/>
    <d v="2021-05-11T00:00:00"/>
    <s v="B0008"/>
    <x v="4"/>
    <n v="30402"/>
    <n v="22.8"/>
    <x v="1"/>
    <x v="1"/>
    <x v="0"/>
    <x v="0"/>
    <n v="34234"/>
    <x v="2"/>
    <n v="0.41"/>
    <n v="0.55000000000000004"/>
    <n v="3813.31"/>
    <n v="0"/>
    <n v="55276.363636363632"/>
    <n v="2852.8333333333335"/>
    <n v="1169.6616666666666"/>
    <n v="58"/>
    <n v="-26588.69"/>
  </r>
  <r>
    <x v="8"/>
    <d v="2023-02-09T00:00:00"/>
    <s v="B0009"/>
    <x v="5"/>
    <n v="5263"/>
    <n v="14"/>
    <x v="1"/>
    <x v="1"/>
    <x v="1"/>
    <x v="2"/>
    <n v="99300"/>
    <x v="2"/>
    <n v="0.21"/>
    <n v="0.68"/>
    <n v="885.74"/>
    <n v="0"/>
    <n v="7739.7058823529405"/>
    <n v="8275"/>
    <n v="1737.75"/>
    <n v="37"/>
    <n v="-4377.26"/>
  </r>
  <r>
    <x v="9"/>
    <d v="2021-12-10T00:00:00"/>
    <s v="B0010"/>
    <x v="6"/>
    <n v="31987"/>
    <n v="22.6"/>
    <x v="0"/>
    <x v="1"/>
    <x v="4"/>
    <x v="0"/>
    <n v="73949"/>
    <x v="2"/>
    <n v="0.18"/>
    <n v="0.86"/>
    <n v="2113.92"/>
    <n v="0"/>
    <n v="37194.186046511626"/>
    <n v="6162.416666666667"/>
    <n v="1109.2349999999999"/>
    <n v="51"/>
    <n v="-29873.08"/>
  </r>
  <r>
    <x v="10"/>
    <d v="2023-03-17T00:00:00"/>
    <s v="B0011"/>
    <x v="1"/>
    <n v="9646"/>
    <n v="7.1"/>
    <x v="0"/>
    <x v="2"/>
    <x v="1"/>
    <x v="4"/>
    <n v="67405"/>
    <x v="2"/>
    <n v="0.11"/>
    <n v="0.6"/>
    <n v="0"/>
    <n v="0"/>
    <n v="16076.666666666668"/>
    <n v="5617.083333333333"/>
    <n v="617.87916666666661"/>
    <n v="36"/>
    <n v="-9646"/>
  </r>
  <r>
    <x v="11"/>
    <d v="2022-01-21T00:00:00"/>
    <s v="B0012"/>
    <x v="3"/>
    <n v="28529"/>
    <n v="24.8"/>
    <x v="0"/>
    <x v="0"/>
    <x v="4"/>
    <x v="2"/>
    <n v="64872"/>
    <x v="2"/>
    <n v="0.37"/>
    <n v="0.57999999999999996"/>
    <n v="35604.19"/>
    <n v="0"/>
    <n v="49187.931034482761"/>
    <n v="5406"/>
    <n v="2000.22"/>
    <n v="49"/>
    <n v="7075.1900000000023"/>
  </r>
  <r>
    <x v="12"/>
    <d v="2023-08-14T00:00:00"/>
    <s v="B0013"/>
    <x v="7"/>
    <n v="12664"/>
    <n v="13.9"/>
    <x v="1"/>
    <x v="0"/>
    <x v="0"/>
    <x v="2"/>
    <n v="72215"/>
    <x v="1"/>
    <n v="0.13"/>
    <n v="0.93"/>
    <n v="14424.3"/>
    <n v="0"/>
    <n v="13617.204301075268"/>
    <n v="6017.916666666667"/>
    <n v="782.32916666666677"/>
    <n v="31"/>
    <n v="1760.2999999999993"/>
  </r>
  <r>
    <x v="13"/>
    <d v="2021-10-04T00:00:00"/>
    <s v="B0014"/>
    <x v="3"/>
    <n v="36737"/>
    <n v="6"/>
    <x v="0"/>
    <x v="0"/>
    <x v="4"/>
    <x v="1"/>
    <n v="53185"/>
    <x v="2"/>
    <n v="0.27"/>
    <n v="0.59"/>
    <n v="38941.22"/>
    <n v="0"/>
    <n v="62266.101694915254"/>
    <n v="4432.083333333333"/>
    <n v="1196.6624999999999"/>
    <n v="53"/>
    <n v="2204.2200000000012"/>
  </r>
  <r>
    <x v="14"/>
    <d v="2022-04-05T00:00:00"/>
    <s v="B0015"/>
    <x v="7"/>
    <n v="36796"/>
    <n v="5.8"/>
    <x v="0"/>
    <x v="1"/>
    <x v="0"/>
    <x v="0"/>
    <n v="73442"/>
    <x v="1"/>
    <n v="0.34"/>
    <n v="0.62"/>
    <n v="13503.79"/>
    <n v="0"/>
    <n v="59348.387096774197"/>
    <n v="6120.166666666667"/>
    <n v="2080.856666666667"/>
    <n v="47"/>
    <n v="-23292.21"/>
  </r>
  <r>
    <x v="15"/>
    <d v="2021-01-22T00:00:00"/>
    <s v="B0016"/>
    <x v="8"/>
    <n v="25027"/>
    <n v="19.899999999999999"/>
    <x v="1"/>
    <x v="0"/>
    <x v="5"/>
    <x v="0"/>
    <n v="81759"/>
    <x v="2"/>
    <n v="0.47"/>
    <n v="0.94"/>
    <n v="30007.37"/>
    <n v="0"/>
    <n v="26624.468085106386"/>
    <n v="6813.25"/>
    <n v="3202.2275"/>
    <n v="61"/>
    <n v="4980.369999999999"/>
  </r>
  <r>
    <x v="16"/>
    <d v="2021-09-10T00:00:00"/>
    <s v="B0017"/>
    <x v="9"/>
    <n v="30373"/>
    <n v="18.2"/>
    <x v="0"/>
    <x v="1"/>
    <x v="0"/>
    <x v="1"/>
    <n v="71153"/>
    <x v="0"/>
    <n v="0.22"/>
    <n v="0.83"/>
    <n v="8244.83"/>
    <n v="0"/>
    <n v="36593.975903614461"/>
    <n v="5929.416666666667"/>
    <n v="1304.4716666666668"/>
    <n v="54"/>
    <n v="-22128.17"/>
  </r>
  <r>
    <x v="17"/>
    <d v="2023-01-18T00:00:00"/>
    <s v="B0018"/>
    <x v="0"/>
    <n v="37397"/>
    <n v="21"/>
    <x v="0"/>
    <x v="0"/>
    <x v="5"/>
    <x v="3"/>
    <n v="107535"/>
    <x v="1"/>
    <n v="0.2"/>
    <n v="0.81"/>
    <n v="45250.37"/>
    <n v="0"/>
    <n v="46169.135802469136"/>
    <n v="8961.25"/>
    <n v="1792.25"/>
    <n v="38"/>
    <n v="7853.3700000000026"/>
  </r>
  <r>
    <x v="18"/>
    <d v="2023-05-07T00:00:00"/>
    <s v="B0019"/>
    <x v="9"/>
    <n v="21609"/>
    <n v="7.1"/>
    <x v="0"/>
    <x v="3"/>
    <x v="2"/>
    <x v="4"/>
    <n v="132023"/>
    <x v="0"/>
    <n v="0.36"/>
    <n v="0.88"/>
    <n v="2771.85"/>
    <n v="10111.4"/>
    <n v="24555.68181818182"/>
    <n v="11001.916666666666"/>
    <n v="3960.6899999999996"/>
    <n v="34"/>
    <n v="-8725.75"/>
  </r>
  <r>
    <x v="19"/>
    <d v="2022-04-20T00:00:00"/>
    <s v="B0020"/>
    <x v="3"/>
    <n v="36835"/>
    <n v="5.7"/>
    <x v="0"/>
    <x v="3"/>
    <x v="6"/>
    <x v="0"/>
    <n v="32581"/>
    <x v="2"/>
    <n v="0.35"/>
    <n v="0.55000000000000004"/>
    <n v="5580.8"/>
    <n v="9880.57"/>
    <n v="66972.727272727265"/>
    <n v="2715.0833333333335"/>
    <n v="950.2791666666667"/>
    <n v="46"/>
    <n v="-21373.63"/>
  </r>
  <r>
    <x v="20"/>
    <d v="2023-12-19T00:00:00"/>
    <s v="B0021"/>
    <x v="9"/>
    <n v="39709"/>
    <n v="15.2"/>
    <x v="1"/>
    <x v="0"/>
    <x v="2"/>
    <x v="1"/>
    <n v="81717"/>
    <x v="2"/>
    <n v="0.23"/>
    <n v="0.82"/>
    <n v="45744.77"/>
    <n v="0"/>
    <n v="48425.609756097561"/>
    <n v="6809.75"/>
    <n v="1566.2425000000001"/>
    <n v="27"/>
    <n v="6035.7699999999968"/>
  </r>
  <r>
    <x v="21"/>
    <d v="2022-05-26T00:00:00"/>
    <s v="B0022"/>
    <x v="6"/>
    <n v="20250"/>
    <n v="12.8"/>
    <x v="0"/>
    <x v="0"/>
    <x v="2"/>
    <x v="2"/>
    <n v="32763"/>
    <x v="0"/>
    <n v="0.47"/>
    <n v="0.73"/>
    <n v="22842"/>
    <n v="0"/>
    <n v="27739.726027397261"/>
    <n v="2730.25"/>
    <n v="1283.2175"/>
    <n v="45"/>
    <n v="2592"/>
  </r>
  <r>
    <x v="22"/>
    <d v="2022-12-01T00:00:00"/>
    <s v="B0023"/>
    <x v="8"/>
    <n v="22172"/>
    <n v="14.2"/>
    <x v="0"/>
    <x v="1"/>
    <x v="0"/>
    <x v="1"/>
    <n v="122910"/>
    <x v="2"/>
    <n v="0.44"/>
    <n v="0.87"/>
    <n v="2131.63"/>
    <n v="0"/>
    <n v="25485.057471264368"/>
    <n v="10242.5"/>
    <n v="4506.7"/>
    <n v="39"/>
    <n v="-20040.37"/>
  </r>
  <r>
    <x v="23"/>
    <d v="2023-09-03T00:00:00"/>
    <s v="B0024"/>
    <x v="5"/>
    <n v="12555"/>
    <n v="24.8"/>
    <x v="1"/>
    <x v="0"/>
    <x v="0"/>
    <x v="3"/>
    <n v="85480"/>
    <x v="0"/>
    <n v="0.19"/>
    <n v="0.73"/>
    <n v="15668.64"/>
    <n v="0"/>
    <n v="17198.630136986303"/>
    <n v="7123.333333333333"/>
    <n v="1353.4333333333334"/>
    <n v="30"/>
    <n v="3113.6399999999994"/>
  </r>
  <r>
    <x v="24"/>
    <d v="2021-07-09T00:00:00"/>
    <s v="B0025"/>
    <x v="8"/>
    <n v="22874"/>
    <n v="24.4"/>
    <x v="0"/>
    <x v="0"/>
    <x v="5"/>
    <x v="4"/>
    <n v="68759"/>
    <x v="2"/>
    <n v="0.2"/>
    <n v="0.78"/>
    <n v="28455.26"/>
    <n v="0"/>
    <n v="29325.641025641024"/>
    <n v="5729.916666666667"/>
    <n v="1145.9833333333333"/>
    <n v="56"/>
    <n v="5581.2599999999984"/>
  </r>
  <r>
    <x v="25"/>
    <d v="2023-08-16T00:00:00"/>
    <s v="B0026"/>
    <x v="1"/>
    <n v="14081"/>
    <n v="23.8"/>
    <x v="1"/>
    <x v="1"/>
    <x v="2"/>
    <x v="3"/>
    <n v="106067"/>
    <x v="2"/>
    <n v="0.3"/>
    <n v="0.71"/>
    <n v="4585.71"/>
    <n v="0"/>
    <n v="19832.394366197183"/>
    <n v="8838.9166666666661"/>
    <n v="2651.6749999999997"/>
    <n v="31"/>
    <n v="-9495.2900000000009"/>
  </r>
  <r>
    <x v="26"/>
    <d v="2022-11-18T00:00:00"/>
    <s v="B0027"/>
    <x v="6"/>
    <n v="25063"/>
    <n v="20.7"/>
    <x v="1"/>
    <x v="0"/>
    <x v="3"/>
    <x v="2"/>
    <n v="148094"/>
    <x v="1"/>
    <n v="0.41"/>
    <n v="0.72"/>
    <n v="30251.040000000001"/>
    <n v="0"/>
    <n v="34809.722222222226"/>
    <n v="12341.166666666666"/>
    <n v="5059.8783333333331"/>
    <n v="40"/>
    <n v="5188.0400000000009"/>
  </r>
  <r>
    <x v="27"/>
    <d v="2023-08-16T00:00:00"/>
    <s v="B0028"/>
    <x v="9"/>
    <n v="7819"/>
    <n v="12.1"/>
    <x v="1"/>
    <x v="1"/>
    <x v="0"/>
    <x v="2"/>
    <n v="55307"/>
    <x v="0"/>
    <n v="0.12"/>
    <n v="0.85"/>
    <n v="722.43"/>
    <n v="0"/>
    <n v="9198.8235294117658"/>
    <n v="4608.916666666667"/>
    <n v="553.07000000000005"/>
    <n v="31"/>
    <n v="-7096.57"/>
  </r>
  <r>
    <x v="28"/>
    <d v="2022-07-17T00:00:00"/>
    <s v="B0029"/>
    <x v="5"/>
    <n v="26712"/>
    <n v="13.2"/>
    <x v="0"/>
    <x v="1"/>
    <x v="4"/>
    <x v="2"/>
    <n v="126371"/>
    <x v="2"/>
    <n v="0.38"/>
    <n v="0.78"/>
    <n v="10402.379999999999"/>
    <n v="0"/>
    <n v="34246.153846153844"/>
    <n v="10530.916666666666"/>
    <n v="4001.748333333333"/>
    <n v="44"/>
    <n v="-16309.62"/>
  </r>
  <r>
    <x v="29"/>
    <d v="2023-04-12T00:00:00"/>
    <s v="B0030"/>
    <x v="9"/>
    <n v="25762"/>
    <n v="16"/>
    <x v="1"/>
    <x v="0"/>
    <x v="0"/>
    <x v="2"/>
    <n v="41064"/>
    <x v="0"/>
    <n v="0.36"/>
    <n v="0.78"/>
    <n v="29883.919999999998"/>
    <n v="0"/>
    <n v="33028.205128205125"/>
    <n v="3422"/>
    <n v="1231.9199999999998"/>
    <n v="35"/>
    <n v="4121.9199999999983"/>
  </r>
  <r>
    <x v="30"/>
    <d v="2022-10-09T00:00:00"/>
    <s v="B0031"/>
    <x v="4"/>
    <n v="12046"/>
    <n v="21.6"/>
    <x v="1"/>
    <x v="0"/>
    <x v="1"/>
    <x v="1"/>
    <n v="106848"/>
    <x v="1"/>
    <n v="0.19"/>
    <n v="0.7"/>
    <n v="14647.94"/>
    <n v="0"/>
    <n v="17208.571428571431"/>
    <n v="8904"/>
    <n v="1691.76"/>
    <n v="41"/>
    <n v="2601.9400000000005"/>
  </r>
  <r>
    <x v="31"/>
    <d v="2021-01-21T00:00:00"/>
    <s v="B0032"/>
    <x v="4"/>
    <n v="32463"/>
    <n v="6.4"/>
    <x v="1"/>
    <x v="0"/>
    <x v="1"/>
    <x v="2"/>
    <n v="67548"/>
    <x v="0"/>
    <n v="0.37"/>
    <n v="0.74"/>
    <n v="34540.629999999997"/>
    <n v="0"/>
    <n v="43868.91891891892"/>
    <n v="5629"/>
    <n v="2082.73"/>
    <n v="61"/>
    <n v="2077.6299999999974"/>
  </r>
  <r>
    <x v="32"/>
    <d v="2023-04-21T00:00:00"/>
    <s v="B0033"/>
    <x v="2"/>
    <n v="29769"/>
    <n v="13.5"/>
    <x v="0"/>
    <x v="1"/>
    <x v="0"/>
    <x v="2"/>
    <n v="66945"/>
    <x v="1"/>
    <n v="0.48"/>
    <n v="0.84"/>
    <n v="1763.22"/>
    <n v="0"/>
    <n v="35439.285714285717"/>
    <n v="5578.75"/>
    <n v="2677.7999999999997"/>
    <n v="34"/>
    <n v="-28005.78"/>
  </r>
  <r>
    <x v="33"/>
    <d v="2021-06-16T00:00:00"/>
    <s v="B0034"/>
    <x v="8"/>
    <n v="24150"/>
    <n v="6.7"/>
    <x v="0"/>
    <x v="0"/>
    <x v="5"/>
    <x v="1"/>
    <n v="77937"/>
    <x v="0"/>
    <n v="0.12"/>
    <n v="0.87"/>
    <n v="25768.05"/>
    <n v="0"/>
    <n v="27758.620689655174"/>
    <n v="6494.75"/>
    <n v="779.37"/>
    <n v="57"/>
    <n v="1618.0499999999993"/>
  </r>
  <r>
    <x v="34"/>
    <d v="2022-01-23T00:00:00"/>
    <s v="B0035"/>
    <x v="5"/>
    <n v="3711"/>
    <n v="15.3"/>
    <x v="0"/>
    <x v="3"/>
    <x v="1"/>
    <x v="2"/>
    <n v="36476"/>
    <x v="0"/>
    <n v="0.23"/>
    <n v="0.81"/>
    <n v="648.73"/>
    <n v="938.22"/>
    <n v="4581.4814814814808"/>
    <n v="3039.6666666666665"/>
    <n v="699.12333333333333"/>
    <n v="49"/>
    <n v="-2124.0500000000002"/>
  </r>
  <r>
    <x v="35"/>
    <d v="2022-08-24T00:00:00"/>
    <s v="B0036"/>
    <x v="4"/>
    <n v="5853"/>
    <n v="23"/>
    <x v="0"/>
    <x v="0"/>
    <x v="1"/>
    <x v="3"/>
    <n v="81756"/>
    <x v="1"/>
    <n v="0.28000000000000003"/>
    <n v="0.92"/>
    <n v="7199.19"/>
    <n v="0"/>
    <n v="6361.95652173913"/>
    <n v="6813"/>
    <n v="1907.64"/>
    <n v="42"/>
    <n v="1346.1899999999996"/>
  </r>
  <r>
    <x v="36"/>
    <d v="2021-11-12T00:00:00"/>
    <s v="B0037"/>
    <x v="2"/>
    <n v="30077"/>
    <n v="20.6"/>
    <x v="0"/>
    <x v="0"/>
    <x v="0"/>
    <x v="3"/>
    <n v="120101"/>
    <x v="2"/>
    <n v="0.46"/>
    <n v="0.87"/>
    <n v="36272.86"/>
    <n v="0"/>
    <n v="34571.264367816089"/>
    <n v="10008.416666666666"/>
    <n v="4603.8716666666669"/>
    <n v="52"/>
    <n v="6195.8600000000006"/>
  </r>
  <r>
    <x v="37"/>
    <d v="2021-01-14T00:00:00"/>
    <s v="B0038"/>
    <x v="6"/>
    <n v="24863"/>
    <n v="9.6"/>
    <x v="0"/>
    <x v="0"/>
    <x v="2"/>
    <x v="0"/>
    <n v="32382"/>
    <x v="2"/>
    <n v="0.48"/>
    <n v="0.75"/>
    <n v="27249.85"/>
    <n v="0"/>
    <n v="33150.666666666664"/>
    <n v="2698.5"/>
    <n v="1295.28"/>
    <n v="62"/>
    <n v="2386.8499999999985"/>
  </r>
  <r>
    <x v="38"/>
    <d v="2021-08-30T00:00:00"/>
    <s v="B0039"/>
    <x v="5"/>
    <n v="22792"/>
    <n v="24.5"/>
    <x v="0"/>
    <x v="0"/>
    <x v="5"/>
    <x v="3"/>
    <n v="79683"/>
    <x v="2"/>
    <n v="0.28000000000000003"/>
    <n v="0.8"/>
    <n v="28376.04"/>
    <n v="0"/>
    <n v="28490"/>
    <n v="6640.25"/>
    <n v="1859.2700000000002"/>
    <n v="54"/>
    <n v="5584.0400000000009"/>
  </r>
  <r>
    <x v="39"/>
    <d v="2023-02-16T00:00:00"/>
    <s v="B0040"/>
    <x v="2"/>
    <n v="9942"/>
    <n v="18.3"/>
    <x v="1"/>
    <x v="0"/>
    <x v="6"/>
    <x v="4"/>
    <n v="117999"/>
    <x v="0"/>
    <n v="0.4"/>
    <n v="0.92"/>
    <n v="11761.39"/>
    <n v="0"/>
    <n v="10806.521739130434"/>
    <n v="9833.25"/>
    <n v="3933.3"/>
    <n v="37"/>
    <n v="1819.3899999999994"/>
  </r>
  <r>
    <x v="40"/>
    <d v="2022-07-19T00:00:00"/>
    <s v="B0041"/>
    <x v="0"/>
    <n v="2762"/>
    <n v="5.2"/>
    <x v="1"/>
    <x v="1"/>
    <x v="6"/>
    <x v="4"/>
    <n v="75276"/>
    <x v="0"/>
    <n v="0.31"/>
    <n v="0.78"/>
    <n v="1245.1099999999999"/>
    <n v="0"/>
    <n v="3541.0256410256411"/>
    <n v="6273"/>
    <n v="1944.6299999999999"/>
    <n v="44"/>
    <n v="-1516.89"/>
  </r>
  <r>
    <x v="41"/>
    <d v="2023-06-17T00:00:00"/>
    <s v="B0042"/>
    <x v="5"/>
    <n v="32987"/>
    <n v="10.1"/>
    <x v="1"/>
    <x v="0"/>
    <x v="0"/>
    <x v="4"/>
    <n v="63402"/>
    <x v="2"/>
    <n v="0.32"/>
    <n v="0.87"/>
    <n v="36318.69"/>
    <n v="0"/>
    <n v="37916.091954022988"/>
    <n v="5283.5"/>
    <n v="1690.72"/>
    <n v="33"/>
    <n v="3331.6900000000023"/>
  </r>
  <r>
    <x v="42"/>
    <d v="2021-04-02T00:00:00"/>
    <s v="B0043"/>
    <x v="3"/>
    <n v="16850"/>
    <n v="10.199999999999999"/>
    <x v="1"/>
    <x v="0"/>
    <x v="0"/>
    <x v="1"/>
    <n v="121881"/>
    <x v="0"/>
    <n v="0.21"/>
    <n v="0.81"/>
    <n v="18568.7"/>
    <n v="0"/>
    <n v="20802.469135802468"/>
    <n v="10156.75"/>
    <n v="2132.9175"/>
    <n v="59"/>
    <n v="1718.7000000000007"/>
  </r>
  <r>
    <x v="43"/>
    <d v="2023-08-14T00:00:00"/>
    <s v="B0044"/>
    <x v="2"/>
    <n v="13112"/>
    <n v="6.4"/>
    <x v="0"/>
    <x v="0"/>
    <x v="1"/>
    <x v="3"/>
    <n v="140300"/>
    <x v="0"/>
    <n v="0.19"/>
    <n v="0.75"/>
    <n v="13951.17"/>
    <n v="0"/>
    <n v="17482.666666666668"/>
    <n v="11691.666666666666"/>
    <n v="2221.4166666666665"/>
    <n v="31"/>
    <n v="839.17000000000007"/>
  </r>
  <r>
    <x v="44"/>
    <d v="2022-05-24T00:00:00"/>
    <s v="B0045"/>
    <x v="9"/>
    <n v="25058"/>
    <n v="24.2"/>
    <x v="1"/>
    <x v="1"/>
    <x v="0"/>
    <x v="4"/>
    <n v="56946"/>
    <x v="2"/>
    <n v="0.22"/>
    <n v="0.61"/>
    <n v="9355.1299999999992"/>
    <n v="0"/>
    <n v="41078.688524590165"/>
    <n v="4745.5"/>
    <n v="1044.01"/>
    <n v="45"/>
    <n v="-15702.87"/>
  </r>
  <r>
    <x v="45"/>
    <d v="2023-02-15T00:00:00"/>
    <s v="B0046"/>
    <x v="3"/>
    <n v="39890"/>
    <n v="14.6"/>
    <x v="1"/>
    <x v="1"/>
    <x v="6"/>
    <x v="0"/>
    <n v="109698"/>
    <x v="1"/>
    <n v="0.32"/>
    <n v="0.69"/>
    <n v="3304.32"/>
    <n v="0"/>
    <n v="57811.594202898552"/>
    <n v="9141.5"/>
    <n v="2925.28"/>
    <n v="37"/>
    <n v="-36585.68"/>
  </r>
  <r>
    <x v="46"/>
    <d v="2021-02-04T00:00:00"/>
    <s v="B0047"/>
    <x v="0"/>
    <n v="1481"/>
    <n v="22.9"/>
    <x v="1"/>
    <x v="0"/>
    <x v="1"/>
    <x v="1"/>
    <n v="144690"/>
    <x v="0"/>
    <n v="0.11"/>
    <n v="0.94"/>
    <n v="1820.15"/>
    <n v="0"/>
    <n v="1575.5319148936171"/>
    <n v="12057.5"/>
    <n v="1326.325"/>
    <n v="61"/>
    <n v="339.15000000000009"/>
  </r>
  <r>
    <x v="47"/>
    <d v="2021-07-25T00:00:00"/>
    <s v="B0048"/>
    <x v="4"/>
    <n v="33921"/>
    <n v="11.4"/>
    <x v="1"/>
    <x v="1"/>
    <x v="6"/>
    <x v="0"/>
    <n v="142309"/>
    <x v="0"/>
    <n v="0.46"/>
    <n v="0.8"/>
    <n v="14230.09"/>
    <n v="0"/>
    <n v="42401.25"/>
    <n v="11859.083333333334"/>
    <n v="5455.1783333333342"/>
    <n v="55"/>
    <n v="-19690.91"/>
  </r>
  <r>
    <x v="48"/>
    <d v="2023-10-23T00:00:00"/>
    <s v="B0049"/>
    <x v="7"/>
    <n v="2524"/>
    <n v="7.5"/>
    <x v="0"/>
    <x v="0"/>
    <x v="4"/>
    <x v="3"/>
    <n v="103933"/>
    <x v="0"/>
    <n v="0.16"/>
    <n v="0.75"/>
    <n v="2713.3"/>
    <n v="0"/>
    <n v="3365.3333333333335"/>
    <n v="8661.0833333333339"/>
    <n v="1385.7733333333335"/>
    <n v="28"/>
    <n v="189.30000000000018"/>
  </r>
  <r>
    <x v="49"/>
    <d v="2023-10-19T00:00:00"/>
    <s v="B0050"/>
    <x v="2"/>
    <n v="35888"/>
    <n v="14.5"/>
    <x v="0"/>
    <x v="1"/>
    <x v="4"/>
    <x v="2"/>
    <n v="52335"/>
    <x v="0"/>
    <n v="0.19"/>
    <n v="0.92"/>
    <n v="9756.7199999999993"/>
    <n v="0"/>
    <n v="39008.695652173912"/>
    <n v="4361.25"/>
    <n v="828.63750000000005"/>
    <n v="29"/>
    <n v="-26131.279999999999"/>
  </r>
  <r>
    <x v="50"/>
    <d v="2022-07-20T00:00:00"/>
    <s v="B0051"/>
    <x v="6"/>
    <n v="16048"/>
    <n v="7.3"/>
    <x v="0"/>
    <x v="0"/>
    <x v="1"/>
    <x v="0"/>
    <n v="75095"/>
    <x v="1"/>
    <n v="0.31"/>
    <n v="0.76"/>
    <n v="17219.5"/>
    <n v="0"/>
    <n v="21115.78947368421"/>
    <n v="6257.916666666667"/>
    <n v="1939.9541666666667"/>
    <n v="43"/>
    <n v="1171.5"/>
  </r>
  <r>
    <x v="51"/>
    <d v="2022-12-04T00:00:00"/>
    <s v="B0052"/>
    <x v="2"/>
    <n v="36111"/>
    <n v="14.7"/>
    <x v="1"/>
    <x v="0"/>
    <x v="0"/>
    <x v="2"/>
    <n v="109930"/>
    <x v="2"/>
    <n v="0.38"/>
    <n v="0.74"/>
    <n v="41419.32"/>
    <n v="0"/>
    <n v="48798.648648648646"/>
    <n v="9160.8333333333339"/>
    <n v="3481.1166666666668"/>
    <n v="39"/>
    <n v="5308.32"/>
  </r>
  <r>
    <x v="52"/>
    <d v="2022-02-06T00:00:00"/>
    <s v="B0053"/>
    <x v="7"/>
    <n v="38904"/>
    <n v="23.4"/>
    <x v="0"/>
    <x v="3"/>
    <x v="1"/>
    <x v="1"/>
    <n v="57197"/>
    <x v="0"/>
    <n v="0.14000000000000001"/>
    <n v="0.84"/>
    <n v="13773.37"/>
    <n v="12116.05"/>
    <n v="46314.285714285717"/>
    <n v="4766.416666666667"/>
    <n v="667.2983333333334"/>
    <n v="49"/>
    <n v="-13014.580000000002"/>
  </r>
  <r>
    <x v="53"/>
    <d v="2022-12-31T00:00:00"/>
    <s v="B0054"/>
    <x v="0"/>
    <n v="35008"/>
    <n v="15.4"/>
    <x v="1"/>
    <x v="0"/>
    <x v="6"/>
    <x v="0"/>
    <n v="52010"/>
    <x v="2"/>
    <n v="0.23"/>
    <n v="0.82"/>
    <n v="40399.230000000003"/>
    <n v="0"/>
    <n v="42692.682926829271"/>
    <n v="4334.166666666667"/>
    <n v="996.85833333333346"/>
    <n v="38"/>
    <n v="5391.2300000000032"/>
  </r>
  <r>
    <x v="54"/>
    <d v="2021-06-11T00:00:00"/>
    <s v="B0055"/>
    <x v="0"/>
    <n v="1060"/>
    <n v="17.3"/>
    <x v="0"/>
    <x v="1"/>
    <x v="4"/>
    <x v="0"/>
    <n v="54123"/>
    <x v="0"/>
    <n v="0.49"/>
    <n v="0.59"/>
    <n v="339.55"/>
    <n v="0"/>
    <n v="1796.6101694915255"/>
    <n v="4510.25"/>
    <n v="2210.0225"/>
    <n v="57"/>
    <n v="-720.45"/>
  </r>
  <r>
    <x v="55"/>
    <d v="2021-07-21T00:00:00"/>
    <s v="B0056"/>
    <x v="3"/>
    <n v="10130"/>
    <n v="8.1"/>
    <x v="0"/>
    <x v="0"/>
    <x v="1"/>
    <x v="1"/>
    <n v="117923"/>
    <x v="1"/>
    <n v="0.2"/>
    <n v="0.71"/>
    <n v="10950.53"/>
    <n v="0"/>
    <n v="14267.605633802817"/>
    <n v="9826.9166666666661"/>
    <n v="1965.3833333333332"/>
    <n v="55"/>
    <n v="820.53000000000065"/>
  </r>
  <r>
    <x v="56"/>
    <d v="2023-09-23T00:00:00"/>
    <s v="B0057"/>
    <x v="5"/>
    <n v="19023"/>
    <n v="5.9"/>
    <x v="0"/>
    <x v="1"/>
    <x v="0"/>
    <x v="1"/>
    <n v="32890"/>
    <x v="2"/>
    <n v="0.23"/>
    <n v="0.71"/>
    <n v="6787.88"/>
    <n v="0"/>
    <n v="26792.957746478874"/>
    <n v="2740.8333333333335"/>
    <n v="630.39166666666677"/>
    <n v="29"/>
    <n v="-12235.119999999999"/>
  </r>
  <r>
    <x v="57"/>
    <d v="2021-09-27T00:00:00"/>
    <s v="B0058"/>
    <x v="6"/>
    <n v="14350"/>
    <n v="7.2"/>
    <x v="0"/>
    <x v="3"/>
    <x v="4"/>
    <x v="4"/>
    <n v="123305"/>
    <x v="1"/>
    <n v="0.43"/>
    <n v="0.67"/>
    <n v="5712.02"/>
    <n v="3379.84"/>
    <n v="21417.910447761195"/>
    <n v="10275.416666666666"/>
    <n v="4418.4291666666668"/>
    <n v="53"/>
    <n v="-5258.1399999999994"/>
  </r>
  <r>
    <x v="58"/>
    <d v="2023-03-27T00:00:00"/>
    <s v="B0059"/>
    <x v="3"/>
    <n v="25354"/>
    <n v="17"/>
    <x v="0"/>
    <x v="0"/>
    <x v="3"/>
    <x v="3"/>
    <n v="139162"/>
    <x v="0"/>
    <n v="0.12"/>
    <n v="0.73"/>
    <n v="29664.18"/>
    <n v="0"/>
    <n v="34731.506849315068"/>
    <n v="11596.833333333334"/>
    <n v="1391.6200000000001"/>
    <n v="35"/>
    <n v="4310.18"/>
  </r>
  <r>
    <x v="59"/>
    <d v="2022-04-01T00:00:00"/>
    <s v="B0060"/>
    <x v="6"/>
    <n v="29145"/>
    <n v="6.9"/>
    <x v="1"/>
    <x v="1"/>
    <x v="3"/>
    <x v="0"/>
    <n v="38026"/>
    <x v="1"/>
    <n v="0.28999999999999998"/>
    <n v="0.69"/>
    <n v="4504.3900000000003"/>
    <n v="0"/>
    <n v="42239.130434782615"/>
    <n v="3168.8333333333335"/>
    <n v="918.9616666666667"/>
    <n v="47"/>
    <n v="-24640.61"/>
  </r>
  <r>
    <x v="60"/>
    <d v="2023-10-14T00:00:00"/>
    <s v="B0061"/>
    <x v="6"/>
    <n v="35020"/>
    <n v="12.5"/>
    <x v="0"/>
    <x v="1"/>
    <x v="5"/>
    <x v="0"/>
    <n v="94925"/>
    <x v="1"/>
    <n v="0.25"/>
    <n v="0.59"/>
    <n v="11583.76"/>
    <n v="0"/>
    <n v="59355.932203389835"/>
    <n v="7910.416666666667"/>
    <n v="1977.6041666666667"/>
    <n v="29"/>
    <n v="-23436.239999999998"/>
  </r>
  <r>
    <x v="61"/>
    <d v="2021-10-23T00:00:00"/>
    <s v="B0062"/>
    <x v="7"/>
    <n v="21587"/>
    <n v="16"/>
    <x v="1"/>
    <x v="1"/>
    <x v="2"/>
    <x v="1"/>
    <n v="98842"/>
    <x v="0"/>
    <n v="0.23"/>
    <n v="0.69"/>
    <n v="5550.98"/>
    <n v="0"/>
    <n v="31285.507246376816"/>
    <n v="8236.8333333333339"/>
    <n v="1894.4716666666668"/>
    <n v="52"/>
    <n v="-16036.02"/>
  </r>
  <r>
    <x v="62"/>
    <d v="2022-12-21T00:00:00"/>
    <s v="B0063"/>
    <x v="3"/>
    <n v="10650"/>
    <n v="12.8"/>
    <x v="1"/>
    <x v="0"/>
    <x v="5"/>
    <x v="1"/>
    <n v="63665"/>
    <x v="0"/>
    <n v="0.21"/>
    <n v="0.53"/>
    <n v="12013.2"/>
    <n v="0"/>
    <n v="20094.33962264151"/>
    <n v="5305.416666666667"/>
    <n v="1114.1375"/>
    <n v="38"/>
    <n v="1363.2000000000007"/>
  </r>
  <r>
    <x v="63"/>
    <d v="2021-12-04T00:00:00"/>
    <s v="B0064"/>
    <x v="6"/>
    <n v="20933"/>
    <n v="8.3000000000000007"/>
    <x v="1"/>
    <x v="3"/>
    <x v="4"/>
    <x v="3"/>
    <n v="39277"/>
    <x v="2"/>
    <n v="0.14000000000000001"/>
    <n v="0.76"/>
    <n v="2341.0500000000002"/>
    <n v="2519.27"/>
    <n v="27543.42105263158"/>
    <n v="3273.0833333333335"/>
    <n v="458.23166666666674"/>
    <n v="51"/>
    <n v="-16072.68"/>
  </r>
  <r>
    <x v="64"/>
    <d v="2023-05-29T00:00:00"/>
    <s v="B0065"/>
    <x v="1"/>
    <n v="21581"/>
    <n v="10.5"/>
    <x v="1"/>
    <x v="0"/>
    <x v="4"/>
    <x v="1"/>
    <n v="72239"/>
    <x v="0"/>
    <n v="0.23"/>
    <n v="0.88"/>
    <n v="23847"/>
    <n v="0"/>
    <n v="24523.863636363636"/>
    <n v="6019.916666666667"/>
    <n v="1384.5808333333334"/>
    <n v="33"/>
    <n v="2266"/>
  </r>
  <r>
    <x v="65"/>
    <d v="2023-12-13T00:00:00"/>
    <s v="B0066"/>
    <x v="7"/>
    <n v="24393"/>
    <n v="23.6"/>
    <x v="1"/>
    <x v="0"/>
    <x v="2"/>
    <x v="2"/>
    <n v="77664"/>
    <x v="2"/>
    <n v="0.12"/>
    <n v="0.83"/>
    <n v="30149.75"/>
    <n v="0"/>
    <n v="29389.156626506025"/>
    <n v="6472"/>
    <n v="776.64"/>
    <n v="27"/>
    <n v="5756.75"/>
  </r>
  <r>
    <x v="66"/>
    <d v="2023-03-03T00:00:00"/>
    <s v="B0067"/>
    <x v="0"/>
    <n v="24051"/>
    <n v="18.5"/>
    <x v="0"/>
    <x v="3"/>
    <x v="0"/>
    <x v="2"/>
    <n v="78008"/>
    <x v="1"/>
    <n v="0.41"/>
    <n v="0.66"/>
    <n v="2509.5100000000002"/>
    <n v="11762.86"/>
    <n v="36440.909090909088"/>
    <n v="6500.666666666667"/>
    <n v="2665.2733333333331"/>
    <n v="36"/>
    <n v="-9778.6299999999992"/>
  </r>
  <r>
    <x v="67"/>
    <d v="2021-08-05T00:00:00"/>
    <s v="B0068"/>
    <x v="7"/>
    <n v="27212"/>
    <n v="14.9"/>
    <x v="0"/>
    <x v="1"/>
    <x v="5"/>
    <x v="2"/>
    <n v="44683"/>
    <x v="1"/>
    <n v="0.26"/>
    <n v="0.54"/>
    <n v="2820.6"/>
    <n v="0"/>
    <n v="50392.592592592591"/>
    <n v="3723.5833333333335"/>
    <n v="968.13166666666677"/>
    <n v="55"/>
    <n v="-24391.4"/>
  </r>
  <r>
    <x v="68"/>
    <d v="2023-02-03T00:00:00"/>
    <s v="B0069"/>
    <x v="9"/>
    <n v="5090"/>
    <n v="5.3"/>
    <x v="0"/>
    <x v="0"/>
    <x v="5"/>
    <x v="2"/>
    <n v="30670"/>
    <x v="2"/>
    <n v="0.28000000000000003"/>
    <n v="0.59"/>
    <n v="5359.77"/>
    <n v="0"/>
    <n v="8627.1186440677975"/>
    <n v="2555.8333333333335"/>
    <n v="715.63333333333344"/>
    <n v="37"/>
    <n v="269.77000000000044"/>
  </r>
  <r>
    <x v="69"/>
    <d v="2021-07-07T00:00:00"/>
    <s v="B0070"/>
    <x v="9"/>
    <n v="7960"/>
    <n v="24.8"/>
    <x v="0"/>
    <x v="0"/>
    <x v="1"/>
    <x v="3"/>
    <n v="119211"/>
    <x v="0"/>
    <n v="0.46"/>
    <n v="0.75"/>
    <n v="9934.08"/>
    <n v="0"/>
    <n v="10613.333333333334"/>
    <n v="9934.25"/>
    <n v="4569.7550000000001"/>
    <n v="56"/>
    <n v="1974.08"/>
  </r>
  <r>
    <x v="70"/>
    <d v="2022-01-15T00:00:00"/>
    <s v="B0071"/>
    <x v="6"/>
    <n v="36772"/>
    <n v="18.399999999999999"/>
    <x v="1"/>
    <x v="0"/>
    <x v="5"/>
    <x v="0"/>
    <n v="47889"/>
    <x v="0"/>
    <n v="0.36"/>
    <n v="0.59"/>
    <n v="43538.05"/>
    <n v="0"/>
    <n v="62325.423728813563"/>
    <n v="3990.75"/>
    <n v="1436.6699999999998"/>
    <n v="50"/>
    <n v="6766.0500000000029"/>
  </r>
  <r>
    <x v="71"/>
    <d v="2022-05-08T00:00:00"/>
    <s v="B0072"/>
    <x v="3"/>
    <n v="22520"/>
    <n v="11.3"/>
    <x v="0"/>
    <x v="0"/>
    <x v="4"/>
    <x v="2"/>
    <n v="85612"/>
    <x v="1"/>
    <n v="0.1"/>
    <n v="0.74"/>
    <n v="25064.76"/>
    <n v="0"/>
    <n v="30432.432432432433"/>
    <n v="7134.333333333333"/>
    <n v="713.43333333333339"/>
    <n v="46"/>
    <n v="2544.7599999999984"/>
  </r>
  <r>
    <x v="72"/>
    <d v="2023-12-01T00:00:00"/>
    <s v="B0073"/>
    <x v="0"/>
    <n v="37408"/>
    <n v="22.6"/>
    <x v="0"/>
    <x v="0"/>
    <x v="0"/>
    <x v="1"/>
    <n v="74535"/>
    <x v="2"/>
    <n v="0.48"/>
    <n v="0.6"/>
    <n v="45862.21"/>
    <n v="0"/>
    <n v="62346.666666666672"/>
    <n v="6211.25"/>
    <n v="2981.4"/>
    <n v="27"/>
    <n v="8454.2099999999991"/>
  </r>
  <r>
    <x v="73"/>
    <d v="2021-01-15T00:00:00"/>
    <s v="B0074"/>
    <x v="7"/>
    <n v="29470"/>
    <n v="10.199999999999999"/>
    <x v="1"/>
    <x v="1"/>
    <x v="5"/>
    <x v="2"/>
    <n v="108542"/>
    <x v="1"/>
    <n v="0.19"/>
    <n v="0.88"/>
    <n v="10081.43"/>
    <n v="0"/>
    <n v="33488.63636363636"/>
    <n v="9045.1666666666661"/>
    <n v="1718.5816666666665"/>
    <n v="62"/>
    <n v="-19388.57"/>
  </r>
  <r>
    <x v="74"/>
    <d v="2021-03-06T00:00:00"/>
    <s v="B0075"/>
    <x v="3"/>
    <n v="21491"/>
    <n v="15.9"/>
    <x v="1"/>
    <x v="0"/>
    <x v="1"/>
    <x v="3"/>
    <n v="84319"/>
    <x v="1"/>
    <n v="0.14000000000000001"/>
    <n v="0.68"/>
    <n v="24908.07"/>
    <n v="0"/>
    <n v="31604.411764705881"/>
    <n v="7026.583333333333"/>
    <n v="983.72166666666669"/>
    <n v="60"/>
    <n v="3417.0699999999997"/>
  </r>
  <r>
    <x v="75"/>
    <d v="2022-06-05T00:00:00"/>
    <s v="B0076"/>
    <x v="7"/>
    <n v="2341"/>
    <n v="17.7"/>
    <x v="0"/>
    <x v="1"/>
    <x v="5"/>
    <x v="1"/>
    <n v="144072"/>
    <x v="0"/>
    <n v="0.41"/>
    <n v="0.61"/>
    <n v="714.53"/>
    <n v="0"/>
    <n v="3837.7049180327872"/>
    <n v="12006"/>
    <n v="4922.46"/>
    <n v="45"/>
    <n v="-1626.47"/>
  </r>
  <r>
    <x v="76"/>
    <d v="2022-10-10T00:00:00"/>
    <s v="B0077"/>
    <x v="7"/>
    <n v="25791"/>
    <n v="9.4"/>
    <x v="0"/>
    <x v="1"/>
    <x v="1"/>
    <x v="2"/>
    <n v="122067"/>
    <x v="2"/>
    <n v="0.3"/>
    <n v="0.87"/>
    <n v="7712.63"/>
    <n v="0"/>
    <n v="29644.827586206895"/>
    <n v="10172.25"/>
    <n v="3051.6749999999997"/>
    <n v="41"/>
    <n v="-18078.37"/>
  </r>
  <r>
    <x v="77"/>
    <d v="2023-12-23T00:00:00"/>
    <s v="B0078"/>
    <x v="1"/>
    <n v="1338"/>
    <n v="24.6"/>
    <x v="1"/>
    <x v="0"/>
    <x v="0"/>
    <x v="0"/>
    <n v="51639"/>
    <x v="1"/>
    <n v="0.27"/>
    <n v="0.65"/>
    <n v="1667.15"/>
    <n v="0"/>
    <n v="2058.4615384615386"/>
    <n v="4303.25"/>
    <n v="1161.8775000000001"/>
    <n v="26"/>
    <n v="329.15000000000009"/>
  </r>
  <r>
    <x v="78"/>
    <d v="2022-08-16T00:00:00"/>
    <s v="B0079"/>
    <x v="9"/>
    <n v="6895"/>
    <n v="20"/>
    <x v="0"/>
    <x v="0"/>
    <x v="2"/>
    <x v="1"/>
    <n v="94712"/>
    <x v="0"/>
    <n v="0.2"/>
    <n v="0.55000000000000004"/>
    <n v="8274"/>
    <n v="0"/>
    <n v="12536.363636363636"/>
    <n v="7892.666666666667"/>
    <n v="1578.5333333333335"/>
    <n v="43"/>
    <n v="1379"/>
  </r>
  <r>
    <x v="79"/>
    <d v="2022-01-27T00:00:00"/>
    <s v="B0080"/>
    <x v="7"/>
    <n v="13254"/>
    <n v="16.2"/>
    <x v="0"/>
    <x v="0"/>
    <x v="5"/>
    <x v="1"/>
    <n v="46633"/>
    <x v="1"/>
    <n v="0.32"/>
    <n v="0.76"/>
    <n v="15401.15"/>
    <n v="0"/>
    <n v="17439.473684210527"/>
    <n v="3886.0833333333335"/>
    <n v="1243.5466666666669"/>
    <n v="49"/>
    <n v="2147.1499999999996"/>
  </r>
  <r>
    <x v="80"/>
    <d v="2022-02-23T00:00:00"/>
    <s v="B0081"/>
    <x v="1"/>
    <n v="12344"/>
    <n v="8.6"/>
    <x v="0"/>
    <x v="0"/>
    <x v="0"/>
    <x v="0"/>
    <n v="64660"/>
    <x v="1"/>
    <n v="0.21"/>
    <n v="0.76"/>
    <n v="13405.58"/>
    <n v="0"/>
    <n v="16242.105263157895"/>
    <n v="5388.333333333333"/>
    <n v="1131.55"/>
    <n v="48"/>
    <n v="1061.58"/>
  </r>
  <r>
    <x v="81"/>
    <d v="2021-10-16T00:00:00"/>
    <s v="B0082"/>
    <x v="9"/>
    <n v="2750"/>
    <n v="6.1"/>
    <x v="0"/>
    <x v="1"/>
    <x v="5"/>
    <x v="1"/>
    <n v="98975"/>
    <x v="0"/>
    <n v="0.46"/>
    <n v="0.82"/>
    <n v="176.92"/>
    <n v="0"/>
    <n v="3353.6585365853662"/>
    <n v="8247.9166666666661"/>
    <n v="3794.0416666666665"/>
    <n v="53"/>
    <n v="-2573.08"/>
  </r>
  <r>
    <x v="82"/>
    <d v="2022-01-14T00:00:00"/>
    <s v="B0083"/>
    <x v="1"/>
    <n v="3421"/>
    <n v="11.4"/>
    <x v="1"/>
    <x v="0"/>
    <x v="6"/>
    <x v="2"/>
    <n v="62172"/>
    <x v="0"/>
    <n v="0.19"/>
    <n v="0.61"/>
    <n v="3810.99"/>
    <n v="0"/>
    <n v="5608.1967213114758"/>
    <n v="5181"/>
    <n v="984.39"/>
    <n v="50"/>
    <n v="389.98999999999978"/>
  </r>
  <r>
    <x v="83"/>
    <d v="2021-08-19T00:00:00"/>
    <s v="B0084"/>
    <x v="3"/>
    <n v="6319"/>
    <n v="20.100000000000001"/>
    <x v="1"/>
    <x v="1"/>
    <x v="2"/>
    <x v="1"/>
    <n v="89197"/>
    <x v="2"/>
    <n v="0.45"/>
    <n v="0.7"/>
    <n v="1650.44"/>
    <n v="0"/>
    <n v="9027.1428571428569"/>
    <n v="7433.083333333333"/>
    <n v="3344.8874999999998"/>
    <n v="55"/>
    <n v="-4668.5599999999995"/>
  </r>
  <r>
    <x v="84"/>
    <d v="2023-10-15T00:00:00"/>
    <s v="B0085"/>
    <x v="5"/>
    <n v="16896"/>
    <n v="10.4"/>
    <x v="1"/>
    <x v="0"/>
    <x v="4"/>
    <x v="2"/>
    <n v="131158"/>
    <x v="1"/>
    <n v="0.32"/>
    <n v="0.63"/>
    <n v="18653.18"/>
    <n v="0"/>
    <n v="26819.047619047618"/>
    <n v="10929.833333333334"/>
    <n v="3497.5466666666671"/>
    <n v="29"/>
    <n v="1757.1800000000003"/>
  </r>
  <r>
    <x v="85"/>
    <d v="2021-02-10T00:00:00"/>
    <s v="B0086"/>
    <x v="9"/>
    <n v="12918"/>
    <n v="15.8"/>
    <x v="0"/>
    <x v="0"/>
    <x v="1"/>
    <x v="0"/>
    <n v="88847"/>
    <x v="2"/>
    <n v="0.43"/>
    <n v="0.54"/>
    <n v="14959.04"/>
    <n v="0"/>
    <n v="23922.222222222219"/>
    <n v="7403.916666666667"/>
    <n v="3183.6841666666669"/>
    <n v="61"/>
    <n v="2041.0400000000009"/>
  </r>
  <r>
    <x v="86"/>
    <d v="2023-11-18T00:00:00"/>
    <s v="B0087"/>
    <x v="4"/>
    <n v="26064"/>
    <n v="19.600000000000001"/>
    <x v="0"/>
    <x v="0"/>
    <x v="0"/>
    <x v="4"/>
    <n v="41577"/>
    <x v="0"/>
    <n v="0.39"/>
    <n v="0.89"/>
    <n v="31172.54"/>
    <n v="0"/>
    <n v="29285.393258426964"/>
    <n v="3464.75"/>
    <n v="1351.2525000000001"/>
    <n v="28"/>
    <n v="5108.5400000000009"/>
  </r>
  <r>
    <x v="87"/>
    <d v="2021-05-15T00:00:00"/>
    <s v="B0088"/>
    <x v="5"/>
    <n v="28935"/>
    <n v="7.2"/>
    <x v="0"/>
    <x v="0"/>
    <x v="0"/>
    <x v="0"/>
    <n v="107299"/>
    <x v="0"/>
    <n v="0.38"/>
    <n v="0.83"/>
    <n v="31018.32"/>
    <n v="0"/>
    <n v="34861.445783132534"/>
    <n v="8941.5833333333339"/>
    <n v="3397.8016666666667"/>
    <n v="58"/>
    <n v="2083.3199999999997"/>
  </r>
  <r>
    <x v="88"/>
    <d v="2021-07-20T00:00:00"/>
    <s v="B0089"/>
    <x v="3"/>
    <n v="38641"/>
    <n v="18.7"/>
    <x v="0"/>
    <x v="0"/>
    <x v="5"/>
    <x v="2"/>
    <n v="50176"/>
    <x v="1"/>
    <n v="0.23"/>
    <n v="0.64"/>
    <n v="45866.87"/>
    <n v="0"/>
    <n v="60376.5625"/>
    <n v="4181.333333333333"/>
    <n v="961.70666666666659"/>
    <n v="55"/>
    <n v="7225.8700000000026"/>
  </r>
  <r>
    <x v="89"/>
    <d v="2023-02-19T00:00:00"/>
    <s v="B0090"/>
    <x v="7"/>
    <n v="30711"/>
    <n v="6.8"/>
    <x v="0"/>
    <x v="0"/>
    <x v="1"/>
    <x v="3"/>
    <n v="74386"/>
    <x v="2"/>
    <n v="0.19"/>
    <n v="0.77"/>
    <n v="32799.35"/>
    <n v="0"/>
    <n v="39884.415584415583"/>
    <n v="6198.833333333333"/>
    <n v="1177.7783333333332"/>
    <n v="37"/>
    <n v="2088.3499999999985"/>
  </r>
  <r>
    <x v="90"/>
    <d v="2023-07-19T00:00:00"/>
    <s v="B0091"/>
    <x v="0"/>
    <n v="5806"/>
    <n v="24.3"/>
    <x v="1"/>
    <x v="3"/>
    <x v="6"/>
    <x v="0"/>
    <n v="93972"/>
    <x v="2"/>
    <n v="0.18"/>
    <n v="0.59"/>
    <n v="2191.11"/>
    <n v="417.13"/>
    <n v="9840.6779661016953"/>
    <n v="7831"/>
    <n v="1409.58"/>
    <n v="32"/>
    <n v="-3197.7599999999998"/>
  </r>
  <r>
    <x v="91"/>
    <d v="2023-11-23T00:00:00"/>
    <s v="B0092"/>
    <x v="3"/>
    <n v="13182"/>
    <n v="14.8"/>
    <x v="0"/>
    <x v="1"/>
    <x v="4"/>
    <x v="3"/>
    <n v="119791"/>
    <x v="1"/>
    <n v="0.44"/>
    <n v="0.9"/>
    <n v="3017.58"/>
    <n v="0"/>
    <n v="14646.666666666666"/>
    <n v="9982.5833333333339"/>
    <n v="4392.336666666667"/>
    <n v="27"/>
    <n v="-10164.42"/>
  </r>
  <r>
    <x v="92"/>
    <d v="2023-12-08T00:00:00"/>
    <s v="B0093"/>
    <x v="1"/>
    <n v="23297"/>
    <n v="8"/>
    <x v="0"/>
    <x v="0"/>
    <x v="0"/>
    <x v="3"/>
    <n v="71003"/>
    <x v="1"/>
    <n v="0.43"/>
    <n v="0.55000000000000004"/>
    <n v="25160.76"/>
    <n v="0"/>
    <n v="42358.181818181816"/>
    <n v="5916.916666666667"/>
    <n v="2544.2741666666666"/>
    <n v="27"/>
    <n v="1863.7599999999984"/>
  </r>
  <r>
    <x v="93"/>
    <d v="2022-05-18T00:00:00"/>
    <s v="B0094"/>
    <x v="1"/>
    <n v="20541"/>
    <n v="11.8"/>
    <x v="1"/>
    <x v="0"/>
    <x v="5"/>
    <x v="2"/>
    <n v="49996"/>
    <x v="2"/>
    <n v="0.28000000000000003"/>
    <n v="0.5"/>
    <n v="22964.84"/>
    <n v="0"/>
    <n v="41082"/>
    <n v="4166.333333333333"/>
    <n v="1166.5733333333333"/>
    <n v="46"/>
    <n v="2423.84"/>
  </r>
  <r>
    <x v="94"/>
    <d v="2022-02-11T00:00:00"/>
    <s v="B0095"/>
    <x v="1"/>
    <n v="29921"/>
    <n v="13.3"/>
    <x v="0"/>
    <x v="0"/>
    <x v="0"/>
    <x v="2"/>
    <n v="130922"/>
    <x v="0"/>
    <n v="0.15"/>
    <n v="0.73"/>
    <n v="33900.49"/>
    <n v="0"/>
    <n v="40987.67123287671"/>
    <n v="10910.166666666666"/>
    <n v="1636.5249999999999"/>
    <n v="49"/>
    <n v="3979.489999999998"/>
  </r>
  <r>
    <x v="95"/>
    <d v="2023-03-16T00:00:00"/>
    <s v="B0096"/>
    <x v="1"/>
    <n v="17774"/>
    <n v="20.2"/>
    <x v="1"/>
    <x v="0"/>
    <x v="0"/>
    <x v="4"/>
    <n v="116598"/>
    <x v="0"/>
    <n v="0.25"/>
    <n v="0.76"/>
    <n v="21364.35"/>
    <n v="0"/>
    <n v="23386.842105263157"/>
    <n v="9716.5"/>
    <n v="2429.125"/>
    <n v="36"/>
    <n v="3590.3499999999985"/>
  </r>
  <r>
    <x v="96"/>
    <d v="2021-04-09T00:00:00"/>
    <s v="B0097"/>
    <x v="3"/>
    <n v="38198"/>
    <n v="19.899999999999999"/>
    <x v="1"/>
    <x v="0"/>
    <x v="4"/>
    <x v="1"/>
    <n v="65931"/>
    <x v="1"/>
    <n v="0.35"/>
    <n v="0.76"/>
    <n v="45799.4"/>
    <n v="0"/>
    <n v="50260.526315789473"/>
    <n v="5494.25"/>
    <n v="1922.9875"/>
    <n v="59"/>
    <n v="7601.4000000000015"/>
  </r>
  <r>
    <x v="97"/>
    <d v="2022-11-15T00:00:00"/>
    <s v="B0098"/>
    <x v="0"/>
    <n v="9820"/>
    <n v="17.2"/>
    <x v="1"/>
    <x v="0"/>
    <x v="4"/>
    <x v="0"/>
    <n v="65710"/>
    <x v="2"/>
    <n v="0.28000000000000003"/>
    <n v="0.52"/>
    <n v="11509.04"/>
    <n v="0"/>
    <n v="18884.615384615383"/>
    <n v="5475.833333333333"/>
    <n v="1533.2333333333333"/>
    <n v="40"/>
    <n v="1689.0400000000009"/>
  </r>
  <r>
    <x v="98"/>
    <d v="2022-12-27T00:00:00"/>
    <s v="B0099"/>
    <x v="2"/>
    <n v="25070"/>
    <n v="7.1"/>
    <x v="1"/>
    <x v="0"/>
    <x v="4"/>
    <x v="2"/>
    <n v="64693"/>
    <x v="2"/>
    <n v="0.41"/>
    <n v="0.64"/>
    <n v="26849.97"/>
    <n v="0"/>
    <n v="39171.875"/>
    <n v="5391.083333333333"/>
    <n v="2210.3441666666663"/>
    <n v="38"/>
    <n v="1779.9700000000012"/>
  </r>
  <r>
    <x v="99"/>
    <d v="2023-08-19T00:00:00"/>
    <s v="B0100"/>
    <x v="1"/>
    <n v="5232"/>
    <n v="8"/>
    <x v="1"/>
    <x v="0"/>
    <x v="5"/>
    <x v="0"/>
    <n v="65740"/>
    <x v="2"/>
    <n v="0.5"/>
    <n v="0.72"/>
    <n v="5650.56"/>
    <n v="0"/>
    <n v="7266.666666666667"/>
    <n v="5478.333333333333"/>
    <n v="2739.1666666666665"/>
    <n v="31"/>
    <n v="418.5600000000004"/>
  </r>
  <r>
    <x v="100"/>
    <d v="2022-09-05T00:00:00"/>
    <s v="B0101"/>
    <x v="2"/>
    <n v="12122"/>
    <n v="6.9"/>
    <x v="0"/>
    <x v="0"/>
    <x v="0"/>
    <x v="3"/>
    <n v="107241"/>
    <x v="0"/>
    <n v="0.18"/>
    <n v="0.6"/>
    <n v="12958.42"/>
    <n v="0"/>
    <n v="20203.333333333336"/>
    <n v="8936.75"/>
    <n v="1608.615"/>
    <n v="42"/>
    <n v="836.42000000000007"/>
  </r>
  <r>
    <x v="101"/>
    <d v="2022-10-05T00:00:00"/>
    <s v="B0102"/>
    <x v="0"/>
    <n v="16023"/>
    <n v="16.5"/>
    <x v="1"/>
    <x v="0"/>
    <x v="0"/>
    <x v="1"/>
    <n v="138944"/>
    <x v="0"/>
    <n v="0.28000000000000003"/>
    <n v="0.89"/>
    <n v="18666.8"/>
    <n v="0"/>
    <n v="18003.370786516854"/>
    <n v="11578.666666666666"/>
    <n v="3242.0266666666666"/>
    <n v="41"/>
    <n v="2643.7999999999993"/>
  </r>
  <r>
    <x v="102"/>
    <d v="2023-10-26T00:00:00"/>
    <s v="B0103"/>
    <x v="0"/>
    <n v="9007"/>
    <n v="22.5"/>
    <x v="1"/>
    <x v="1"/>
    <x v="1"/>
    <x v="4"/>
    <n v="123583"/>
    <x v="2"/>
    <n v="0.27"/>
    <n v="0.54"/>
    <n v="2983.25"/>
    <n v="0"/>
    <n v="16679.629629629628"/>
    <n v="10298.583333333334"/>
    <n v="2780.6175000000003"/>
    <n v="28"/>
    <n v="-6023.75"/>
  </r>
  <r>
    <x v="103"/>
    <d v="2022-05-18T00:00:00"/>
    <s v="B0104"/>
    <x v="5"/>
    <n v="18905"/>
    <n v="13.7"/>
    <x v="0"/>
    <x v="0"/>
    <x v="0"/>
    <x v="0"/>
    <n v="106502"/>
    <x v="2"/>
    <n v="0.22"/>
    <n v="0.72"/>
    <n v="21494.98"/>
    <n v="0"/>
    <n v="26256.944444444445"/>
    <n v="8875.1666666666661"/>
    <n v="1952.5366666666666"/>
    <n v="46"/>
    <n v="2589.9799999999996"/>
  </r>
  <r>
    <x v="104"/>
    <d v="2023-02-06T00:00:00"/>
    <s v="B0105"/>
    <x v="9"/>
    <n v="30398"/>
    <n v="8.1999999999999993"/>
    <x v="0"/>
    <x v="0"/>
    <x v="1"/>
    <x v="1"/>
    <n v="47374"/>
    <x v="1"/>
    <n v="0.18"/>
    <n v="0.81"/>
    <n v="32890.639999999999"/>
    <n v="0"/>
    <n v="37528.395061728392"/>
    <n v="3947.8333333333335"/>
    <n v="710.61"/>
    <n v="37"/>
    <n v="2492.6399999999994"/>
  </r>
  <r>
    <x v="105"/>
    <d v="2022-02-02T00:00:00"/>
    <s v="B0106"/>
    <x v="4"/>
    <n v="35268"/>
    <n v="16.2"/>
    <x v="1"/>
    <x v="1"/>
    <x v="0"/>
    <x v="4"/>
    <n v="106674"/>
    <x v="1"/>
    <n v="0.13"/>
    <n v="0.62"/>
    <n v="14139.59"/>
    <n v="0"/>
    <n v="56883.870967741939"/>
    <n v="8889.5"/>
    <n v="1155.635"/>
    <n v="49"/>
    <n v="-21128.41"/>
  </r>
  <r>
    <x v="106"/>
    <d v="2023-05-21T00:00:00"/>
    <s v="B0107"/>
    <x v="6"/>
    <n v="7737"/>
    <n v="21.2"/>
    <x v="0"/>
    <x v="3"/>
    <x v="4"/>
    <x v="0"/>
    <n v="146500"/>
    <x v="2"/>
    <n v="0.45"/>
    <n v="0.78"/>
    <n v="2593.27"/>
    <n v="2439.15"/>
    <n v="9919.2307692307695"/>
    <n v="12208.333333333334"/>
    <n v="5493.75"/>
    <n v="33"/>
    <n v="-2704.58"/>
  </r>
  <r>
    <x v="107"/>
    <d v="2023-03-06T00:00:00"/>
    <s v="B0108"/>
    <x v="4"/>
    <n v="37062"/>
    <n v="19.8"/>
    <x v="0"/>
    <x v="3"/>
    <x v="0"/>
    <x v="1"/>
    <n v="111471"/>
    <x v="2"/>
    <n v="0.27"/>
    <n v="0.87"/>
    <n v="9479.8700000000008"/>
    <n v="13222.79"/>
    <n v="42600"/>
    <n v="9289.25"/>
    <n v="2508.0975000000003"/>
    <n v="36"/>
    <n v="-14359.339999999997"/>
  </r>
  <r>
    <x v="108"/>
    <d v="2022-01-28T00:00:00"/>
    <s v="B0109"/>
    <x v="3"/>
    <n v="26510"/>
    <n v="22.6"/>
    <x v="1"/>
    <x v="1"/>
    <x v="0"/>
    <x v="2"/>
    <n v="75913"/>
    <x v="0"/>
    <n v="0.3"/>
    <n v="0.59"/>
    <n v="11560.44"/>
    <n v="0"/>
    <n v="44932.203389830509"/>
    <n v="6326.083333333333"/>
    <n v="1897.8249999999998"/>
    <n v="49"/>
    <n v="-14949.56"/>
  </r>
  <r>
    <x v="109"/>
    <d v="2021-07-26T00:00:00"/>
    <s v="B0110"/>
    <x v="6"/>
    <n v="20426"/>
    <n v="10.6"/>
    <x v="1"/>
    <x v="0"/>
    <x v="5"/>
    <x v="0"/>
    <n v="96025"/>
    <x v="2"/>
    <n v="0.47"/>
    <n v="0.91"/>
    <n v="22591.16"/>
    <n v="0"/>
    <n v="22446.153846153844"/>
    <n v="8002.083333333333"/>
    <n v="3760.9791666666665"/>
    <n v="55"/>
    <n v="2165.16"/>
  </r>
  <r>
    <x v="110"/>
    <d v="2023-11-05T00:00:00"/>
    <s v="B0111"/>
    <x v="0"/>
    <n v="38265"/>
    <n v="8.9"/>
    <x v="0"/>
    <x v="1"/>
    <x v="2"/>
    <x v="1"/>
    <n v="74516"/>
    <x v="1"/>
    <n v="0.41"/>
    <n v="0.75"/>
    <n v="8652.49"/>
    <n v="0"/>
    <n v="51020"/>
    <n v="6209.666666666667"/>
    <n v="2545.9633333333331"/>
    <n v="28"/>
    <n v="-29612.510000000002"/>
  </r>
  <r>
    <x v="111"/>
    <d v="2023-06-11T00:00:00"/>
    <s v="B0112"/>
    <x v="4"/>
    <n v="18850"/>
    <n v="22.6"/>
    <x v="1"/>
    <x v="1"/>
    <x v="0"/>
    <x v="4"/>
    <n v="117796"/>
    <x v="0"/>
    <n v="0.15"/>
    <n v="0.63"/>
    <n v="8480.84"/>
    <n v="0"/>
    <n v="29920.634920634919"/>
    <n v="9816.3333333333339"/>
    <n v="1472.45"/>
    <n v="33"/>
    <n v="-10369.16"/>
  </r>
  <r>
    <x v="112"/>
    <d v="2023-05-14T00:00:00"/>
    <s v="B0113"/>
    <x v="8"/>
    <n v="1614"/>
    <n v="18.2"/>
    <x v="1"/>
    <x v="0"/>
    <x v="4"/>
    <x v="1"/>
    <n v="56069"/>
    <x v="1"/>
    <n v="0.33"/>
    <n v="0.69"/>
    <n v="1907.75"/>
    <n v="0"/>
    <n v="2339.130434782609"/>
    <n v="4672.416666666667"/>
    <n v="1541.8975000000003"/>
    <n v="34"/>
    <n v="293.75"/>
  </r>
  <r>
    <x v="113"/>
    <d v="2023-01-13T00:00:00"/>
    <s v="B0114"/>
    <x v="9"/>
    <n v="22776"/>
    <n v="11.2"/>
    <x v="0"/>
    <x v="0"/>
    <x v="1"/>
    <x v="2"/>
    <n v="148333"/>
    <x v="1"/>
    <n v="0.28000000000000003"/>
    <n v="0.64"/>
    <n v="25326.91"/>
    <n v="0"/>
    <n v="35587.5"/>
    <n v="12361.083333333334"/>
    <n v="3461.1033333333339"/>
    <n v="38"/>
    <n v="2550.91"/>
  </r>
  <r>
    <x v="114"/>
    <d v="2022-07-18T00:00:00"/>
    <s v="B0115"/>
    <x v="4"/>
    <n v="25077"/>
    <n v="19.8"/>
    <x v="1"/>
    <x v="3"/>
    <x v="5"/>
    <x v="0"/>
    <n v="86233"/>
    <x v="0"/>
    <n v="0.42"/>
    <n v="0.83"/>
    <n v="4314.95"/>
    <n v="11970.48"/>
    <n v="30213.253012048193"/>
    <n v="7186.083333333333"/>
    <n v="3018.1549999999997"/>
    <n v="44"/>
    <n v="-8791.57"/>
  </r>
  <r>
    <x v="115"/>
    <d v="2023-10-18T00:00:00"/>
    <s v="B0116"/>
    <x v="9"/>
    <n v="10374"/>
    <n v="21.3"/>
    <x v="1"/>
    <x v="0"/>
    <x v="6"/>
    <x v="0"/>
    <n v="114811"/>
    <x v="1"/>
    <n v="0.39"/>
    <n v="0.86"/>
    <n v="12583.66"/>
    <n v="0"/>
    <n v="12062.790697674418"/>
    <n v="9567.5833333333339"/>
    <n v="3731.3575000000005"/>
    <n v="29"/>
    <n v="2209.66"/>
  </r>
  <r>
    <x v="116"/>
    <d v="2021-04-06T00:00:00"/>
    <s v="B0117"/>
    <x v="2"/>
    <n v="36435"/>
    <n v="17.3"/>
    <x v="1"/>
    <x v="0"/>
    <x v="0"/>
    <x v="0"/>
    <n v="89049"/>
    <x v="2"/>
    <n v="0.38"/>
    <n v="0.87"/>
    <n v="42738.26"/>
    <n v="0"/>
    <n v="41879.310344827587"/>
    <n v="7420.75"/>
    <n v="2819.8850000000002"/>
    <n v="59"/>
    <n v="6303.260000000002"/>
  </r>
  <r>
    <x v="117"/>
    <d v="2022-04-30T00:00:00"/>
    <s v="B0118"/>
    <x v="3"/>
    <n v="31907"/>
    <n v="18.8"/>
    <x v="1"/>
    <x v="0"/>
    <x v="2"/>
    <x v="2"/>
    <n v="131820"/>
    <x v="1"/>
    <n v="0.24"/>
    <n v="0.94"/>
    <n v="37905.519999999997"/>
    <n v="0"/>
    <n v="33943.617021276601"/>
    <n v="10985"/>
    <n v="2636.4"/>
    <n v="46"/>
    <n v="5998.5199999999968"/>
  </r>
  <r>
    <x v="118"/>
    <d v="2021-08-19T00:00:00"/>
    <s v="B0119"/>
    <x v="9"/>
    <n v="14409"/>
    <n v="12.5"/>
    <x v="1"/>
    <x v="0"/>
    <x v="4"/>
    <x v="4"/>
    <n v="148028"/>
    <x v="0"/>
    <n v="0.42"/>
    <n v="0.86"/>
    <n v="16210.12"/>
    <n v="0"/>
    <n v="16754.651162790698"/>
    <n v="12335.666666666666"/>
    <n v="5180.9799999999996"/>
    <n v="55"/>
    <n v="1801.1200000000008"/>
  </r>
  <r>
    <x v="119"/>
    <d v="2023-01-19T00:00:00"/>
    <s v="B0120"/>
    <x v="2"/>
    <n v="17514"/>
    <n v="15.8"/>
    <x v="0"/>
    <x v="0"/>
    <x v="4"/>
    <x v="0"/>
    <n v="69178"/>
    <x v="0"/>
    <n v="0.12"/>
    <n v="0.77"/>
    <n v="20281.21"/>
    <n v="0"/>
    <n v="22745.454545454544"/>
    <n v="5764.833333333333"/>
    <n v="691.78"/>
    <n v="38"/>
    <n v="2767.2099999999991"/>
  </r>
  <r>
    <x v="120"/>
    <d v="2022-06-25T00:00:00"/>
    <s v="B0121"/>
    <x v="1"/>
    <n v="30866"/>
    <n v="15.5"/>
    <x v="0"/>
    <x v="1"/>
    <x v="6"/>
    <x v="4"/>
    <n v="62821"/>
    <x v="0"/>
    <n v="0.16"/>
    <n v="0.65"/>
    <n v="5435.42"/>
    <n v="0"/>
    <n v="47486.153846153844"/>
    <n v="5235.083333333333"/>
    <n v="837.61333333333334"/>
    <n v="44"/>
    <n v="-25430.58"/>
  </r>
  <r>
    <x v="121"/>
    <d v="2023-11-26T00:00:00"/>
    <s v="B0122"/>
    <x v="2"/>
    <n v="3983"/>
    <n v="22"/>
    <x v="1"/>
    <x v="1"/>
    <x v="5"/>
    <x v="1"/>
    <n v="81727"/>
    <x v="1"/>
    <n v="0.23"/>
    <n v="0.75"/>
    <n v="294.36"/>
    <n v="0"/>
    <n v="5310.666666666667"/>
    <n v="6810.583333333333"/>
    <n v="1566.4341666666667"/>
    <n v="27"/>
    <n v="-3688.64"/>
  </r>
  <r>
    <x v="122"/>
    <d v="2022-06-09T00:00:00"/>
    <s v="B0123"/>
    <x v="3"/>
    <n v="32705"/>
    <n v="21.8"/>
    <x v="0"/>
    <x v="0"/>
    <x v="5"/>
    <x v="4"/>
    <n v="90935"/>
    <x v="2"/>
    <n v="0.13"/>
    <n v="0.52"/>
    <n v="39834.69"/>
    <n v="0"/>
    <n v="62894.230769230766"/>
    <n v="7577.916666666667"/>
    <n v="985.12916666666672"/>
    <n v="45"/>
    <n v="7129.6900000000023"/>
  </r>
  <r>
    <x v="123"/>
    <d v="2022-08-01T00:00:00"/>
    <s v="B0124"/>
    <x v="5"/>
    <n v="21662"/>
    <n v="21.7"/>
    <x v="1"/>
    <x v="3"/>
    <x v="1"/>
    <x v="4"/>
    <n v="46999"/>
    <x v="0"/>
    <n v="0.19"/>
    <n v="0.84"/>
    <n v="7336.37"/>
    <n v="1820.32"/>
    <n v="25788.09523809524"/>
    <n v="3916.5833333333335"/>
    <n v="744.15083333333337"/>
    <n v="43"/>
    <n v="-12505.31"/>
  </r>
  <r>
    <x v="124"/>
    <d v="2022-11-13T00:00:00"/>
    <s v="B0125"/>
    <x v="1"/>
    <n v="24510"/>
    <n v="5.2"/>
    <x v="1"/>
    <x v="0"/>
    <x v="5"/>
    <x v="0"/>
    <n v="92522"/>
    <x v="2"/>
    <n v="0.43"/>
    <n v="0.7"/>
    <n v="25784.52"/>
    <n v="0"/>
    <n v="35014.285714285717"/>
    <n v="7710.166666666667"/>
    <n v="3315.3716666666669"/>
    <n v="40"/>
    <n v="1274.5200000000004"/>
  </r>
  <r>
    <x v="125"/>
    <d v="2022-07-11T00:00:00"/>
    <s v="B0126"/>
    <x v="0"/>
    <n v="13651"/>
    <n v="20"/>
    <x v="1"/>
    <x v="0"/>
    <x v="0"/>
    <x v="3"/>
    <n v="68712"/>
    <x v="0"/>
    <n v="0.48"/>
    <n v="0.51"/>
    <n v="16381.2"/>
    <n v="0"/>
    <n v="26766.666666666668"/>
    <n v="5726"/>
    <n v="2748.48"/>
    <n v="44"/>
    <n v="2730.2000000000007"/>
  </r>
  <r>
    <x v="126"/>
    <d v="2023-10-10T00:00:00"/>
    <s v="B0127"/>
    <x v="7"/>
    <n v="29535"/>
    <n v="20.2"/>
    <x v="1"/>
    <x v="1"/>
    <x v="1"/>
    <x v="3"/>
    <n v="94551"/>
    <x v="2"/>
    <n v="0.22"/>
    <n v="0.53"/>
    <n v="7019.73"/>
    <n v="0"/>
    <n v="55726.415094339623"/>
    <n v="7879.25"/>
    <n v="1733.4349999999999"/>
    <n v="29"/>
    <n v="-22515.27"/>
  </r>
  <r>
    <x v="127"/>
    <d v="2022-10-08T00:00:00"/>
    <s v="B0128"/>
    <x v="2"/>
    <n v="7640"/>
    <n v="18.600000000000001"/>
    <x v="1"/>
    <x v="1"/>
    <x v="0"/>
    <x v="2"/>
    <n v="70172"/>
    <x v="2"/>
    <n v="0.21"/>
    <n v="0.67"/>
    <n v="1169.7"/>
    <n v="0"/>
    <n v="11402.985074626866"/>
    <n v="5847.666666666667"/>
    <n v="1228.01"/>
    <n v="41"/>
    <n v="-6470.3"/>
  </r>
  <r>
    <x v="128"/>
    <d v="2023-03-07T00:00:00"/>
    <s v="B0129"/>
    <x v="2"/>
    <n v="16317"/>
    <n v="20.100000000000001"/>
    <x v="0"/>
    <x v="1"/>
    <x v="6"/>
    <x v="2"/>
    <n v="63722"/>
    <x v="2"/>
    <n v="0.21"/>
    <n v="0.76"/>
    <n v="2517.8000000000002"/>
    <n v="0"/>
    <n v="21469.736842105263"/>
    <n v="5310.166666666667"/>
    <n v="1115.135"/>
    <n v="36"/>
    <n v="-13799.2"/>
  </r>
  <r>
    <x v="129"/>
    <d v="2023-11-18T00:00:00"/>
    <s v="B0130"/>
    <x v="9"/>
    <n v="8564"/>
    <n v="21.8"/>
    <x v="0"/>
    <x v="3"/>
    <x v="3"/>
    <x v="3"/>
    <n v="40625"/>
    <x v="0"/>
    <n v="0.21"/>
    <n v="0.71"/>
    <n v="3172.28"/>
    <n v="2148.21"/>
    <n v="12061.971830985916"/>
    <n v="3385.4166666666665"/>
    <n v="710.93749999999989"/>
    <n v="28"/>
    <n v="-3243.51"/>
  </r>
  <r>
    <x v="130"/>
    <d v="2021-07-09T00:00:00"/>
    <s v="B0131"/>
    <x v="0"/>
    <n v="28345"/>
    <n v="14.4"/>
    <x v="1"/>
    <x v="1"/>
    <x v="4"/>
    <x v="1"/>
    <n v="97165"/>
    <x v="1"/>
    <n v="0.11"/>
    <n v="0.78"/>
    <n v="12054.06"/>
    <n v="0"/>
    <n v="36339.743589743586"/>
    <n v="8097.083333333333"/>
    <n v="890.67916666666667"/>
    <n v="56"/>
    <n v="-16290.94"/>
  </r>
  <r>
    <x v="131"/>
    <d v="2022-09-25T00:00:00"/>
    <s v="B0132"/>
    <x v="4"/>
    <n v="29687"/>
    <n v="15"/>
    <x v="0"/>
    <x v="3"/>
    <x v="4"/>
    <x v="0"/>
    <n v="106509"/>
    <x v="1"/>
    <n v="0.47"/>
    <n v="0.72"/>
    <n v="7898.5"/>
    <n v="6839.85"/>
    <n v="41231.944444444445"/>
    <n v="8875.75"/>
    <n v="4171.6025"/>
    <n v="41"/>
    <n v="-14948.65"/>
  </r>
  <r>
    <x v="132"/>
    <d v="2022-09-20T00:00:00"/>
    <s v="B0133"/>
    <x v="8"/>
    <n v="14737"/>
    <n v="7.5"/>
    <x v="1"/>
    <x v="0"/>
    <x v="0"/>
    <x v="0"/>
    <n v="36859"/>
    <x v="1"/>
    <n v="0.19"/>
    <n v="0.8"/>
    <n v="15842.28"/>
    <n v="0"/>
    <n v="18421.25"/>
    <n v="3071.5833333333335"/>
    <n v="583.60083333333341"/>
    <n v="41"/>
    <n v="1105.2800000000007"/>
  </r>
  <r>
    <x v="133"/>
    <d v="2023-08-31T00:00:00"/>
    <s v="B0134"/>
    <x v="6"/>
    <n v="10323"/>
    <n v="12.7"/>
    <x v="0"/>
    <x v="1"/>
    <x v="0"/>
    <x v="1"/>
    <n v="71609"/>
    <x v="2"/>
    <n v="0.27"/>
    <n v="0.6"/>
    <n v="3378.2"/>
    <n v="0"/>
    <n v="17205"/>
    <n v="5967.416666666667"/>
    <n v="1611.2025000000001"/>
    <n v="30"/>
    <n v="-6944.8"/>
  </r>
  <r>
    <x v="134"/>
    <d v="2022-12-11T00:00:00"/>
    <s v="B0135"/>
    <x v="2"/>
    <n v="16229"/>
    <n v="17.899999999999999"/>
    <x v="1"/>
    <x v="4"/>
    <x v="2"/>
    <x v="1"/>
    <n v="73307"/>
    <x v="0"/>
    <n v="0.1"/>
    <n v="0.55000000000000004"/>
    <n v="0"/>
    <n v="0"/>
    <n v="29507.272727272724"/>
    <n v="6108.916666666667"/>
    <n v="610.89166666666677"/>
    <n v="39"/>
    <n v="-16229"/>
  </r>
  <r>
    <x v="135"/>
    <d v="2022-10-11T00:00:00"/>
    <s v="B0136"/>
    <x v="4"/>
    <n v="9502"/>
    <n v="20.6"/>
    <x v="0"/>
    <x v="1"/>
    <x v="0"/>
    <x v="3"/>
    <n v="140986"/>
    <x v="2"/>
    <n v="0.44"/>
    <n v="0.77"/>
    <n v="2503.27"/>
    <n v="0"/>
    <n v="12340.25974025974"/>
    <n v="11748.833333333334"/>
    <n v="5169.4866666666667"/>
    <n v="41"/>
    <n v="-6998.73"/>
  </r>
  <r>
    <x v="136"/>
    <d v="2021-11-14T00:00:00"/>
    <s v="B0137"/>
    <x v="8"/>
    <n v="1545"/>
    <n v="9.3000000000000007"/>
    <x v="1"/>
    <x v="0"/>
    <x v="4"/>
    <x v="2"/>
    <n v="131582"/>
    <x v="0"/>
    <n v="0.39"/>
    <n v="0.72"/>
    <n v="1688.68"/>
    <n v="0"/>
    <n v="2145.8333333333335"/>
    <n v="10965.166666666666"/>
    <n v="4276.415"/>
    <n v="52"/>
    <n v="143.68000000000006"/>
  </r>
  <r>
    <x v="137"/>
    <d v="2022-11-15T00:00:00"/>
    <s v="B0138"/>
    <x v="6"/>
    <n v="38114"/>
    <n v="7.8"/>
    <x v="1"/>
    <x v="0"/>
    <x v="6"/>
    <x v="1"/>
    <n v="51839"/>
    <x v="2"/>
    <n v="0.48"/>
    <n v="0.51"/>
    <n v="41086.89"/>
    <n v="0"/>
    <n v="74733.333333333328"/>
    <n v="4319.916666666667"/>
    <n v="2073.56"/>
    <n v="40"/>
    <n v="2972.8899999999994"/>
  </r>
  <r>
    <x v="138"/>
    <d v="2022-10-26T00:00:00"/>
    <s v="B0139"/>
    <x v="7"/>
    <n v="30430"/>
    <n v="18.3"/>
    <x v="0"/>
    <x v="1"/>
    <x v="2"/>
    <x v="2"/>
    <n v="57216"/>
    <x v="0"/>
    <n v="0.41"/>
    <n v="0.67"/>
    <n v="6884.79"/>
    <n v="0"/>
    <n v="45417.910447761191"/>
    <n v="4768"/>
    <n v="1954.8799999999999"/>
    <n v="40"/>
    <n v="-23545.21"/>
  </r>
  <r>
    <x v="139"/>
    <d v="2022-03-18T00:00:00"/>
    <s v="B0140"/>
    <x v="9"/>
    <n v="10996"/>
    <n v="5"/>
    <x v="0"/>
    <x v="0"/>
    <x v="5"/>
    <x v="4"/>
    <n v="82953"/>
    <x v="0"/>
    <n v="0.23"/>
    <n v="0.55000000000000004"/>
    <n v="11545.8"/>
    <n v="0"/>
    <n v="19992.727272727272"/>
    <n v="6912.75"/>
    <n v="1589.9325000000001"/>
    <n v="48"/>
    <n v="549.79999999999927"/>
  </r>
  <r>
    <x v="140"/>
    <d v="2022-07-18T00:00:00"/>
    <s v="B0141"/>
    <x v="4"/>
    <n v="28788"/>
    <n v="8.6"/>
    <x v="1"/>
    <x v="2"/>
    <x v="5"/>
    <x v="0"/>
    <n v="114481"/>
    <x v="0"/>
    <n v="0.2"/>
    <n v="0.74"/>
    <n v="0"/>
    <n v="0"/>
    <n v="38902.7027027027"/>
    <n v="9540.0833333333339"/>
    <n v="1908.0166666666669"/>
    <n v="44"/>
    <n v="-28788"/>
  </r>
  <r>
    <x v="141"/>
    <d v="2023-08-10T00:00:00"/>
    <s v="B0142"/>
    <x v="9"/>
    <n v="30969"/>
    <n v="5.6"/>
    <x v="0"/>
    <x v="0"/>
    <x v="1"/>
    <x v="3"/>
    <n v="90593"/>
    <x v="2"/>
    <n v="0.38"/>
    <n v="0.68"/>
    <n v="32703.26"/>
    <n v="0"/>
    <n v="45542.647058823524"/>
    <n v="7549.416666666667"/>
    <n v="2868.7783333333336"/>
    <n v="31"/>
    <n v="1734.2599999999984"/>
  </r>
  <r>
    <x v="142"/>
    <d v="2022-11-30T00:00:00"/>
    <s v="B0143"/>
    <x v="6"/>
    <n v="14919"/>
    <n v="8.3000000000000007"/>
    <x v="1"/>
    <x v="0"/>
    <x v="3"/>
    <x v="0"/>
    <n v="102075"/>
    <x v="1"/>
    <n v="0.25"/>
    <n v="0.78"/>
    <n v="16157.28"/>
    <n v="0"/>
    <n v="19126.923076923078"/>
    <n v="8506.25"/>
    <n v="2126.5625"/>
    <n v="39"/>
    <n v="1238.2800000000007"/>
  </r>
  <r>
    <x v="143"/>
    <d v="2021-04-23T00:00:00"/>
    <s v="B0144"/>
    <x v="5"/>
    <n v="4810"/>
    <n v="8.6"/>
    <x v="0"/>
    <x v="3"/>
    <x v="5"/>
    <x v="3"/>
    <n v="79522"/>
    <x v="2"/>
    <n v="0.33"/>
    <n v="0.86"/>
    <n v="1802.03"/>
    <n v="798.06"/>
    <n v="5593.0232558139533"/>
    <n v="6626.833333333333"/>
    <n v="2186.855"/>
    <n v="58"/>
    <n v="-2209.91"/>
  </r>
  <r>
    <x v="144"/>
    <d v="2021-01-02T00:00:00"/>
    <s v="B0145"/>
    <x v="2"/>
    <n v="31586"/>
    <n v="12.8"/>
    <x v="0"/>
    <x v="0"/>
    <x v="5"/>
    <x v="4"/>
    <n v="129161"/>
    <x v="2"/>
    <n v="0.1"/>
    <n v="0.63"/>
    <n v="35629.01"/>
    <n v="0"/>
    <n v="50136.507936507936"/>
    <n v="10763.416666666666"/>
    <n v="1076.3416666666667"/>
    <n v="62"/>
    <n v="4043.010000000002"/>
  </r>
  <r>
    <x v="145"/>
    <d v="2022-10-04T00:00:00"/>
    <s v="B0146"/>
    <x v="1"/>
    <n v="17371"/>
    <n v="13"/>
    <x v="1"/>
    <x v="0"/>
    <x v="0"/>
    <x v="0"/>
    <n v="34886"/>
    <x v="0"/>
    <n v="0.12"/>
    <n v="0.93"/>
    <n v="19629.23"/>
    <n v="0"/>
    <n v="18678.494623655912"/>
    <n v="2907.1666666666665"/>
    <n v="348.85999999999996"/>
    <n v="41"/>
    <n v="2258.2299999999996"/>
  </r>
  <r>
    <x v="146"/>
    <d v="2021-08-08T00:00:00"/>
    <s v="B0147"/>
    <x v="8"/>
    <n v="30629"/>
    <n v="22.5"/>
    <x v="0"/>
    <x v="1"/>
    <x v="0"/>
    <x v="4"/>
    <n v="141249"/>
    <x v="0"/>
    <n v="0.31"/>
    <n v="0.74"/>
    <n v="3262.78"/>
    <n v="0"/>
    <n v="41390.54054054054"/>
    <n v="11770.75"/>
    <n v="3648.9324999999999"/>
    <n v="55"/>
    <n v="-27366.22"/>
  </r>
  <r>
    <x v="147"/>
    <d v="2023-05-05T00:00:00"/>
    <s v="B0148"/>
    <x v="0"/>
    <n v="9436"/>
    <n v="15.2"/>
    <x v="0"/>
    <x v="1"/>
    <x v="5"/>
    <x v="3"/>
    <n v="37485"/>
    <x v="1"/>
    <n v="0.33"/>
    <n v="0.78"/>
    <n v="2248.61"/>
    <n v="0"/>
    <n v="12097.435897435897"/>
    <n v="3123.75"/>
    <n v="1030.8375000000001"/>
    <n v="34"/>
    <n v="-7187.3899999999994"/>
  </r>
  <r>
    <x v="148"/>
    <d v="2022-01-20T00:00:00"/>
    <s v="B0149"/>
    <x v="3"/>
    <n v="13984"/>
    <n v="19.5"/>
    <x v="1"/>
    <x v="0"/>
    <x v="2"/>
    <x v="1"/>
    <n v="61455"/>
    <x v="1"/>
    <n v="0.4"/>
    <n v="0.81"/>
    <n v="16710.88"/>
    <n v="0"/>
    <n v="17264.197530864196"/>
    <n v="5121.25"/>
    <n v="2048.5"/>
    <n v="49"/>
    <n v="2726.880000000001"/>
  </r>
  <r>
    <x v="149"/>
    <d v="2023-12-13T00:00:00"/>
    <s v="B0150"/>
    <x v="2"/>
    <n v="34039"/>
    <n v="7.1"/>
    <x v="0"/>
    <x v="2"/>
    <x v="6"/>
    <x v="0"/>
    <n v="141984"/>
    <x v="0"/>
    <n v="0.15"/>
    <n v="0.8"/>
    <n v="0"/>
    <n v="0"/>
    <n v="42548.75"/>
    <n v="11832"/>
    <n v="1774.8"/>
    <n v="27"/>
    <n v="-34039"/>
  </r>
  <r>
    <x v="150"/>
    <d v="2022-12-31T00:00:00"/>
    <s v="B0151"/>
    <x v="1"/>
    <n v="20895"/>
    <n v="9.5"/>
    <x v="1"/>
    <x v="0"/>
    <x v="3"/>
    <x v="4"/>
    <n v="46767"/>
    <x v="1"/>
    <n v="0.31"/>
    <n v="0.73"/>
    <n v="22880.02"/>
    <n v="0"/>
    <n v="28623.287671232876"/>
    <n v="3897.25"/>
    <n v="1208.1475"/>
    <n v="38"/>
    <n v="1985.0200000000004"/>
  </r>
  <r>
    <x v="151"/>
    <d v="2021-09-04T00:00:00"/>
    <s v="B0152"/>
    <x v="3"/>
    <n v="19155"/>
    <n v="19.100000000000001"/>
    <x v="1"/>
    <x v="1"/>
    <x v="5"/>
    <x v="0"/>
    <n v="142701"/>
    <x v="1"/>
    <n v="0.18"/>
    <n v="0.69"/>
    <n v="3927.79"/>
    <n v="0"/>
    <n v="27760.869565217392"/>
    <n v="11891.75"/>
    <n v="2140.5149999999999"/>
    <n v="54"/>
    <n v="-15227.21"/>
  </r>
  <r>
    <x v="152"/>
    <d v="2023-04-16T00:00:00"/>
    <s v="B0153"/>
    <x v="4"/>
    <n v="11616"/>
    <n v="6.1"/>
    <x v="1"/>
    <x v="0"/>
    <x v="6"/>
    <x v="0"/>
    <n v="58453"/>
    <x v="0"/>
    <n v="0.14000000000000001"/>
    <n v="0.52"/>
    <n v="12324.58"/>
    <n v="0"/>
    <n v="22338.461538461539"/>
    <n v="4871.083333333333"/>
    <n v="681.95166666666671"/>
    <n v="35"/>
    <n v="708.57999999999993"/>
  </r>
  <r>
    <x v="153"/>
    <d v="2021-07-22T00:00:00"/>
    <s v="B0154"/>
    <x v="3"/>
    <n v="38129"/>
    <n v="14.7"/>
    <x v="1"/>
    <x v="1"/>
    <x v="6"/>
    <x v="0"/>
    <n v="106280"/>
    <x v="2"/>
    <n v="0.26"/>
    <n v="0.51"/>
    <n v="10453.74"/>
    <n v="0"/>
    <n v="74762.745098039217"/>
    <n v="8856.6666666666661"/>
    <n v="2302.7333333333331"/>
    <n v="55"/>
    <n v="-27675.260000000002"/>
  </r>
  <r>
    <x v="154"/>
    <d v="2021-05-03T00:00:00"/>
    <s v="B0155"/>
    <x v="7"/>
    <n v="25574"/>
    <n v="17"/>
    <x v="1"/>
    <x v="0"/>
    <x v="1"/>
    <x v="2"/>
    <n v="132638"/>
    <x v="1"/>
    <n v="0.17"/>
    <n v="0.66"/>
    <n v="29921.58"/>
    <n v="0"/>
    <n v="38748.484848484848"/>
    <n v="11053.166666666666"/>
    <n v="1879.0383333333334"/>
    <n v="58"/>
    <n v="4347.5800000000017"/>
  </r>
  <r>
    <x v="155"/>
    <d v="2022-02-05T00:00:00"/>
    <s v="B0156"/>
    <x v="2"/>
    <n v="4430"/>
    <n v="17"/>
    <x v="0"/>
    <x v="0"/>
    <x v="4"/>
    <x v="4"/>
    <n v="83442"/>
    <x v="0"/>
    <n v="0.19"/>
    <n v="0.65"/>
    <n v="5183.1000000000004"/>
    <n v="0"/>
    <n v="6815.3846153846152"/>
    <n v="6953.5"/>
    <n v="1321.165"/>
    <n v="49"/>
    <n v="753.10000000000036"/>
  </r>
  <r>
    <x v="156"/>
    <d v="2023-02-06T00:00:00"/>
    <s v="B0157"/>
    <x v="9"/>
    <n v="13676"/>
    <n v="5.5"/>
    <x v="1"/>
    <x v="0"/>
    <x v="5"/>
    <x v="4"/>
    <n v="81877"/>
    <x v="1"/>
    <n v="0.23"/>
    <n v="0.67"/>
    <n v="14428.18"/>
    <n v="0"/>
    <n v="20411.940298507463"/>
    <n v="6823.083333333333"/>
    <n v="1569.3091666666667"/>
    <n v="37"/>
    <n v="752.18000000000029"/>
  </r>
  <r>
    <x v="157"/>
    <d v="2021-10-21T00:00:00"/>
    <s v="B0158"/>
    <x v="5"/>
    <n v="11816"/>
    <n v="11.4"/>
    <x v="1"/>
    <x v="1"/>
    <x v="6"/>
    <x v="0"/>
    <n v="42226"/>
    <x v="1"/>
    <n v="0.2"/>
    <n v="0.56000000000000005"/>
    <n v="3024.12"/>
    <n v="0"/>
    <n v="21099.999999999996"/>
    <n v="3518.8333333333335"/>
    <n v="703.76666666666677"/>
    <n v="52"/>
    <n v="-8791.880000000001"/>
  </r>
  <r>
    <x v="158"/>
    <d v="2021-10-07T00:00:00"/>
    <s v="B0159"/>
    <x v="0"/>
    <n v="33733"/>
    <n v="17.7"/>
    <x v="0"/>
    <x v="0"/>
    <x v="4"/>
    <x v="1"/>
    <n v="123405"/>
    <x v="0"/>
    <n v="0.14000000000000001"/>
    <n v="0.83"/>
    <n v="39703.74"/>
    <n v="0"/>
    <n v="40642.168674698798"/>
    <n v="10283.75"/>
    <n v="1439.7250000000001"/>
    <n v="53"/>
    <n v="5970.739999999998"/>
  </r>
  <r>
    <x v="159"/>
    <d v="2023-06-03T00:00:00"/>
    <s v="B0160"/>
    <x v="9"/>
    <n v="21144"/>
    <n v="8"/>
    <x v="0"/>
    <x v="1"/>
    <x v="2"/>
    <x v="0"/>
    <n v="52588"/>
    <x v="1"/>
    <n v="0.14000000000000001"/>
    <n v="0.89"/>
    <n v="5994.33"/>
    <n v="0"/>
    <n v="23757.303370786518"/>
    <n v="4382.333333333333"/>
    <n v="613.52666666666664"/>
    <n v="33"/>
    <n v="-15149.67"/>
  </r>
  <r>
    <x v="160"/>
    <d v="2021-07-17T00:00:00"/>
    <s v="B0161"/>
    <x v="1"/>
    <n v="3050"/>
    <n v="18.899999999999999"/>
    <x v="0"/>
    <x v="1"/>
    <x v="0"/>
    <x v="2"/>
    <n v="108976"/>
    <x v="1"/>
    <n v="0.18"/>
    <n v="0.92"/>
    <n v="344.54"/>
    <n v="0"/>
    <n v="3315.2173913043475"/>
    <n v="9081.3333333333339"/>
    <n v="1634.64"/>
    <n v="56"/>
    <n v="-2705.46"/>
  </r>
  <r>
    <x v="161"/>
    <d v="2023-09-09T00:00:00"/>
    <s v="B0162"/>
    <x v="2"/>
    <n v="34933"/>
    <n v="19.899999999999999"/>
    <x v="1"/>
    <x v="0"/>
    <x v="1"/>
    <x v="3"/>
    <n v="61709"/>
    <x v="1"/>
    <n v="0.12"/>
    <n v="0.72"/>
    <n v="41884.67"/>
    <n v="0"/>
    <n v="48518.055555555555"/>
    <n v="5142.416666666667"/>
    <n v="617.09"/>
    <n v="30"/>
    <n v="6951.6699999999983"/>
  </r>
  <r>
    <x v="162"/>
    <d v="2023-01-22T00:00:00"/>
    <s v="B0163"/>
    <x v="5"/>
    <n v="25951"/>
    <n v="24.6"/>
    <x v="1"/>
    <x v="0"/>
    <x v="1"/>
    <x v="2"/>
    <n v="77788"/>
    <x v="2"/>
    <n v="0.35"/>
    <n v="0.82"/>
    <n v="32334.95"/>
    <n v="0"/>
    <n v="31647.560975609758"/>
    <n v="6482.333333333333"/>
    <n v="2268.8166666666666"/>
    <n v="37"/>
    <n v="6383.9500000000007"/>
  </r>
  <r>
    <x v="163"/>
    <d v="2021-05-24T00:00:00"/>
    <s v="B0164"/>
    <x v="3"/>
    <n v="33413"/>
    <n v="9.1999999999999993"/>
    <x v="1"/>
    <x v="0"/>
    <x v="1"/>
    <x v="1"/>
    <n v="118031"/>
    <x v="2"/>
    <n v="0.21"/>
    <n v="0.88"/>
    <n v="36487"/>
    <n v="0"/>
    <n v="37969.318181818184"/>
    <n v="9835.9166666666661"/>
    <n v="2065.5425"/>
    <n v="57"/>
    <n v="3074"/>
  </r>
  <r>
    <x v="164"/>
    <d v="2022-09-01T00:00:00"/>
    <s v="B0165"/>
    <x v="2"/>
    <n v="35801"/>
    <n v="21.5"/>
    <x v="0"/>
    <x v="1"/>
    <x v="4"/>
    <x v="0"/>
    <n v="67019"/>
    <x v="1"/>
    <n v="0.21"/>
    <n v="0.69"/>
    <n v="10056.99"/>
    <n v="0"/>
    <n v="51885.507246376816"/>
    <n v="5584.916666666667"/>
    <n v="1172.8325"/>
    <n v="42"/>
    <n v="-25744.010000000002"/>
  </r>
  <r>
    <x v="165"/>
    <d v="2021-07-06T00:00:00"/>
    <s v="B0166"/>
    <x v="3"/>
    <n v="33913"/>
    <n v="15.4"/>
    <x v="1"/>
    <x v="0"/>
    <x v="2"/>
    <x v="4"/>
    <n v="74948"/>
    <x v="0"/>
    <n v="0.23"/>
    <n v="0.64"/>
    <n v="39135.599999999999"/>
    <n v="0"/>
    <n v="52989.0625"/>
    <n v="6245.666666666667"/>
    <n v="1436.5033333333336"/>
    <n v="56"/>
    <n v="5222.5999999999985"/>
  </r>
  <r>
    <x v="166"/>
    <d v="2022-04-09T00:00:00"/>
    <s v="B0167"/>
    <x v="4"/>
    <n v="26280"/>
    <n v="12.5"/>
    <x v="0"/>
    <x v="0"/>
    <x v="1"/>
    <x v="0"/>
    <n v="95133"/>
    <x v="1"/>
    <n v="0.37"/>
    <n v="0.92"/>
    <n v="29565"/>
    <n v="0"/>
    <n v="28565.217391304348"/>
    <n v="7927.75"/>
    <n v="2933.2674999999999"/>
    <n v="47"/>
    <n v="3285"/>
  </r>
  <r>
    <x v="167"/>
    <d v="2022-10-22T00:00:00"/>
    <s v="B0168"/>
    <x v="7"/>
    <n v="25557"/>
    <n v="7.4"/>
    <x v="1"/>
    <x v="1"/>
    <x v="4"/>
    <x v="1"/>
    <n v="144444"/>
    <x v="1"/>
    <n v="0.45"/>
    <n v="0.73"/>
    <n v="4065.82"/>
    <n v="0"/>
    <n v="35009.589041095889"/>
    <n v="12037"/>
    <n v="5416.6500000000005"/>
    <n v="40"/>
    <n v="-21491.18"/>
  </r>
  <r>
    <x v="168"/>
    <d v="2023-02-03T00:00:00"/>
    <s v="B0169"/>
    <x v="6"/>
    <n v="36400"/>
    <n v="19.7"/>
    <x v="0"/>
    <x v="1"/>
    <x v="1"/>
    <x v="4"/>
    <n v="96458"/>
    <x v="2"/>
    <n v="0.4"/>
    <n v="0.72"/>
    <n v="4839.3500000000004"/>
    <n v="0"/>
    <n v="50555.555555555555"/>
    <n v="8038.166666666667"/>
    <n v="3215.2666666666669"/>
    <n v="37"/>
    <n v="-31560.65"/>
  </r>
  <r>
    <x v="169"/>
    <d v="2023-08-13T00:00:00"/>
    <s v="B0170"/>
    <x v="2"/>
    <n v="5494"/>
    <n v="9.6999999999999993"/>
    <x v="1"/>
    <x v="0"/>
    <x v="4"/>
    <x v="2"/>
    <n v="147603"/>
    <x v="2"/>
    <n v="0.39"/>
    <n v="0.57999999999999996"/>
    <n v="6026.92"/>
    <n v="0"/>
    <n v="9472.4137931034493"/>
    <n v="12300.25"/>
    <n v="4797.0974999999999"/>
    <n v="31"/>
    <n v="532.92000000000007"/>
  </r>
  <r>
    <x v="170"/>
    <d v="2022-02-07T00:00:00"/>
    <s v="B0171"/>
    <x v="1"/>
    <n v="16152"/>
    <n v="12.4"/>
    <x v="1"/>
    <x v="0"/>
    <x v="4"/>
    <x v="3"/>
    <n v="57526"/>
    <x v="2"/>
    <n v="0.28999999999999998"/>
    <n v="0.55000000000000004"/>
    <n v="18154.849999999999"/>
    <n v="0"/>
    <n v="29367.272727272724"/>
    <n v="4793.833333333333"/>
    <n v="1390.2116666666666"/>
    <n v="49"/>
    <n v="2002.8499999999985"/>
  </r>
  <r>
    <x v="171"/>
    <d v="2021-05-27T00:00:00"/>
    <s v="B0172"/>
    <x v="3"/>
    <n v="24895"/>
    <n v="6.3"/>
    <x v="1"/>
    <x v="1"/>
    <x v="4"/>
    <x v="3"/>
    <n v="103493"/>
    <x v="1"/>
    <n v="0.38"/>
    <n v="0.88"/>
    <n v="1971.07"/>
    <n v="0"/>
    <n v="28289.772727272728"/>
    <n v="8624.4166666666661"/>
    <n v="3277.2783333333332"/>
    <n v="57"/>
    <n v="-22923.93"/>
  </r>
  <r>
    <x v="172"/>
    <d v="2023-05-14T00:00:00"/>
    <s v="B0173"/>
    <x v="9"/>
    <n v="10155"/>
    <n v="21"/>
    <x v="0"/>
    <x v="3"/>
    <x v="6"/>
    <x v="0"/>
    <n v="82198"/>
    <x v="1"/>
    <n v="0.32"/>
    <n v="0.78"/>
    <n v="3338.92"/>
    <n v="989.42"/>
    <n v="13019.23076923077"/>
    <n v="6849.833333333333"/>
    <n v="2191.9466666666667"/>
    <n v="34"/>
    <n v="-5826.66"/>
  </r>
  <r>
    <x v="173"/>
    <d v="2022-05-04T00:00:00"/>
    <s v="B0174"/>
    <x v="4"/>
    <n v="32883"/>
    <n v="20.3"/>
    <x v="0"/>
    <x v="3"/>
    <x v="5"/>
    <x v="2"/>
    <n v="144100"/>
    <x v="0"/>
    <n v="0.19"/>
    <n v="0.65"/>
    <n v="7504.97"/>
    <n v="9677.33"/>
    <n v="50589.230769230766"/>
    <n v="12008.333333333334"/>
    <n v="2281.5833333333335"/>
    <n v="46"/>
    <n v="-15700.7"/>
  </r>
  <r>
    <x v="174"/>
    <d v="2023-07-18T00:00:00"/>
    <s v="B0175"/>
    <x v="1"/>
    <n v="2828"/>
    <n v="19.7"/>
    <x v="1"/>
    <x v="1"/>
    <x v="1"/>
    <x v="1"/>
    <n v="129534"/>
    <x v="1"/>
    <n v="0.18"/>
    <n v="0.59"/>
    <n v="938.87"/>
    <n v="0"/>
    <n v="4793.2203389830511"/>
    <n v="10794.5"/>
    <n v="1943.01"/>
    <n v="32"/>
    <n v="-1889.13"/>
  </r>
  <r>
    <x v="175"/>
    <d v="2022-07-05T00:00:00"/>
    <s v="B0176"/>
    <x v="0"/>
    <n v="33123"/>
    <n v="11"/>
    <x v="1"/>
    <x v="0"/>
    <x v="4"/>
    <x v="3"/>
    <n v="73395"/>
    <x v="1"/>
    <n v="0.22"/>
    <n v="0.75"/>
    <n v="36766.53"/>
    <n v="0"/>
    <n v="44164"/>
    <n v="6116.25"/>
    <n v="1345.575"/>
    <n v="44"/>
    <n v="3643.5299999999988"/>
  </r>
  <r>
    <x v="176"/>
    <d v="2021-12-04T00:00:00"/>
    <s v="B0177"/>
    <x v="6"/>
    <n v="38573"/>
    <n v="8.5"/>
    <x v="1"/>
    <x v="0"/>
    <x v="4"/>
    <x v="2"/>
    <n v="54031"/>
    <x v="2"/>
    <n v="0.46"/>
    <n v="0.76"/>
    <n v="41851.699999999997"/>
    <n v="0"/>
    <n v="50753.947368421053"/>
    <n v="4502.583333333333"/>
    <n v="2071.1883333333335"/>
    <n v="51"/>
    <n v="3278.6999999999971"/>
  </r>
  <r>
    <x v="177"/>
    <d v="2023-05-22T00:00:00"/>
    <s v="B0178"/>
    <x v="4"/>
    <n v="1806"/>
    <n v="17.8"/>
    <x v="0"/>
    <x v="0"/>
    <x v="2"/>
    <x v="0"/>
    <n v="105542"/>
    <x v="2"/>
    <n v="0.32"/>
    <n v="0.59"/>
    <n v="2127.4699999999998"/>
    <n v="0"/>
    <n v="3061.0169491525426"/>
    <n v="8795.1666666666661"/>
    <n v="2814.4533333333334"/>
    <n v="33"/>
    <n v="321.4699999999998"/>
  </r>
  <r>
    <x v="178"/>
    <d v="2022-10-03T00:00:00"/>
    <s v="B0179"/>
    <x v="7"/>
    <n v="30757"/>
    <n v="14.9"/>
    <x v="1"/>
    <x v="0"/>
    <x v="5"/>
    <x v="4"/>
    <n v="67701"/>
    <x v="2"/>
    <n v="0.39"/>
    <n v="0.88"/>
    <n v="35339.79"/>
    <n v="0"/>
    <n v="34951.13636363636"/>
    <n v="5641.75"/>
    <n v="2200.2825000000003"/>
    <n v="41"/>
    <n v="4582.7900000000009"/>
  </r>
  <r>
    <x v="179"/>
    <d v="2022-04-18T00:00:00"/>
    <s v="B0180"/>
    <x v="6"/>
    <n v="35636"/>
    <n v="8.6"/>
    <x v="1"/>
    <x v="1"/>
    <x v="2"/>
    <x v="0"/>
    <n v="142599"/>
    <x v="2"/>
    <n v="0.24"/>
    <n v="0.54"/>
    <n v="13449.63"/>
    <n v="0"/>
    <n v="65992.592592592584"/>
    <n v="11883.25"/>
    <n v="2851.98"/>
    <n v="47"/>
    <n v="-22186.370000000003"/>
  </r>
  <r>
    <x v="180"/>
    <d v="2021-05-31T00:00:00"/>
    <s v="B0181"/>
    <x v="3"/>
    <n v="15561"/>
    <n v="18.7"/>
    <x v="1"/>
    <x v="0"/>
    <x v="0"/>
    <x v="0"/>
    <n v="55939"/>
    <x v="2"/>
    <n v="0.26"/>
    <n v="0.66"/>
    <n v="18470.91"/>
    <n v="0"/>
    <n v="23577.272727272728"/>
    <n v="4661.583333333333"/>
    <n v="1212.0116666666665"/>
    <n v="57"/>
    <n v="2909.91"/>
  </r>
  <r>
    <x v="181"/>
    <d v="2021-09-20T00:00:00"/>
    <s v="B0182"/>
    <x v="1"/>
    <n v="25262"/>
    <n v="24.8"/>
    <x v="1"/>
    <x v="0"/>
    <x v="0"/>
    <x v="2"/>
    <n v="79145"/>
    <x v="0"/>
    <n v="0.15"/>
    <n v="0.81"/>
    <n v="31526.98"/>
    <n v="0"/>
    <n v="31187.654320987651"/>
    <n v="6595.416666666667"/>
    <n v="989.3125"/>
    <n v="53"/>
    <n v="6264.98"/>
  </r>
  <r>
    <x v="182"/>
    <d v="2021-05-24T00:00:00"/>
    <s v="B0183"/>
    <x v="0"/>
    <n v="15899"/>
    <n v="19.899999999999999"/>
    <x v="0"/>
    <x v="4"/>
    <x v="6"/>
    <x v="3"/>
    <n v="50324"/>
    <x v="0"/>
    <n v="0.17"/>
    <n v="0.62"/>
    <n v="0"/>
    <n v="0"/>
    <n v="25643.548387096773"/>
    <n v="4193.666666666667"/>
    <n v="712.9233333333334"/>
    <n v="57"/>
    <n v="-15899"/>
  </r>
  <r>
    <x v="183"/>
    <d v="2021-12-12T00:00:00"/>
    <s v="B0184"/>
    <x v="8"/>
    <n v="16934"/>
    <n v="19.8"/>
    <x v="0"/>
    <x v="0"/>
    <x v="1"/>
    <x v="2"/>
    <n v="52867"/>
    <x v="0"/>
    <n v="0.43"/>
    <n v="0.87"/>
    <n v="20286.93"/>
    <n v="0"/>
    <n v="19464.367816091955"/>
    <n v="4405.583333333333"/>
    <n v="1894.4008333333331"/>
    <n v="51"/>
    <n v="3352.9300000000003"/>
  </r>
  <r>
    <x v="184"/>
    <d v="2022-09-16T00:00:00"/>
    <s v="B0185"/>
    <x v="7"/>
    <n v="39197"/>
    <n v="24"/>
    <x v="1"/>
    <x v="0"/>
    <x v="0"/>
    <x v="4"/>
    <n v="30203"/>
    <x v="2"/>
    <n v="0.33"/>
    <n v="0.83"/>
    <n v="48604.28"/>
    <n v="0"/>
    <n v="47225.301204819276"/>
    <n v="2516.9166666666665"/>
    <n v="830.58249999999998"/>
    <n v="42"/>
    <n v="9407.2799999999988"/>
  </r>
  <r>
    <x v="185"/>
    <d v="2023-10-14T00:00:00"/>
    <s v="B0186"/>
    <x v="5"/>
    <n v="37332"/>
    <n v="9.1"/>
    <x v="1"/>
    <x v="0"/>
    <x v="4"/>
    <x v="2"/>
    <n v="46544"/>
    <x v="2"/>
    <n v="0.24"/>
    <n v="0.86"/>
    <n v="40729.21"/>
    <n v="0"/>
    <n v="43409.302325581397"/>
    <n v="3878.6666666666665"/>
    <n v="930.87999999999988"/>
    <n v="29"/>
    <n v="3397.2099999999991"/>
  </r>
  <r>
    <x v="186"/>
    <d v="2023-05-31T00:00:00"/>
    <s v="B0187"/>
    <x v="3"/>
    <n v="35157"/>
    <n v="16.3"/>
    <x v="0"/>
    <x v="1"/>
    <x v="6"/>
    <x v="1"/>
    <n v="45899"/>
    <x v="2"/>
    <n v="0.42"/>
    <n v="0.55000000000000004"/>
    <n v="12505.08"/>
    <n v="0"/>
    <n v="63921.818181818177"/>
    <n v="3824.9166666666665"/>
    <n v="1606.4649999999999"/>
    <n v="33"/>
    <n v="-22651.919999999998"/>
  </r>
  <r>
    <x v="187"/>
    <d v="2021-01-02T00:00:00"/>
    <s v="B0188"/>
    <x v="8"/>
    <n v="12593"/>
    <n v="24.6"/>
    <x v="0"/>
    <x v="1"/>
    <x v="5"/>
    <x v="0"/>
    <n v="59063"/>
    <x v="0"/>
    <n v="0.2"/>
    <n v="0.56000000000000005"/>
    <n v="3295.91"/>
    <n v="0"/>
    <n v="22487.499999999996"/>
    <n v="4921.916666666667"/>
    <n v="984.38333333333344"/>
    <n v="62"/>
    <n v="-9297.09"/>
  </r>
  <r>
    <x v="188"/>
    <d v="2023-06-16T00:00:00"/>
    <s v="B0189"/>
    <x v="2"/>
    <n v="18320"/>
    <n v="8.3000000000000007"/>
    <x v="1"/>
    <x v="0"/>
    <x v="1"/>
    <x v="3"/>
    <n v="120880"/>
    <x v="2"/>
    <n v="0.49"/>
    <n v="0.63"/>
    <n v="19840.560000000001"/>
    <n v="0"/>
    <n v="29079.365079365078"/>
    <n v="10073.333333333334"/>
    <n v="4935.9333333333334"/>
    <n v="33"/>
    <n v="1520.5600000000013"/>
  </r>
  <r>
    <x v="189"/>
    <d v="2021-09-11T00:00:00"/>
    <s v="B0190"/>
    <x v="0"/>
    <n v="28376"/>
    <n v="19"/>
    <x v="0"/>
    <x v="0"/>
    <x v="4"/>
    <x v="4"/>
    <n v="33748"/>
    <x v="0"/>
    <n v="0.24"/>
    <n v="0.73"/>
    <n v="33767.440000000002"/>
    <n v="0"/>
    <n v="38871.232876712333"/>
    <n v="2812.3333333333335"/>
    <n v="674.96"/>
    <n v="54"/>
    <n v="5391.4400000000023"/>
  </r>
  <r>
    <x v="190"/>
    <d v="2022-03-29T00:00:00"/>
    <s v="B0191"/>
    <x v="9"/>
    <n v="15199"/>
    <n v="16.7"/>
    <x v="0"/>
    <x v="1"/>
    <x v="4"/>
    <x v="0"/>
    <n v="135022"/>
    <x v="2"/>
    <n v="0.23"/>
    <n v="0.84"/>
    <n v="3413"/>
    <n v="0"/>
    <n v="18094.047619047618"/>
    <n v="11251.833333333334"/>
    <n v="2587.9216666666671"/>
    <n v="47"/>
    <n v="-11786"/>
  </r>
  <r>
    <x v="191"/>
    <d v="2023-11-27T00:00:00"/>
    <s v="B0192"/>
    <x v="5"/>
    <n v="16876"/>
    <n v="16.7"/>
    <x v="1"/>
    <x v="1"/>
    <x v="3"/>
    <x v="2"/>
    <n v="147269"/>
    <x v="1"/>
    <n v="0.22"/>
    <n v="0.88"/>
    <n v="3698.91"/>
    <n v="0"/>
    <n v="19177.272727272728"/>
    <n v="12272.416666666666"/>
    <n v="2699.9316666666664"/>
    <n v="27"/>
    <n v="-13177.09"/>
  </r>
  <r>
    <x v="192"/>
    <d v="2023-10-12T00:00:00"/>
    <s v="B0193"/>
    <x v="1"/>
    <n v="9245"/>
    <n v="19"/>
    <x v="0"/>
    <x v="2"/>
    <x v="0"/>
    <x v="1"/>
    <n v="96629"/>
    <x v="0"/>
    <n v="0.15"/>
    <n v="0.82"/>
    <n v="0"/>
    <n v="0"/>
    <n v="11274.39024390244"/>
    <n v="8052.416666666667"/>
    <n v="1207.8625"/>
    <n v="29"/>
    <n v="-9245"/>
  </r>
  <r>
    <x v="193"/>
    <d v="2021-01-09T00:00:00"/>
    <s v="B0194"/>
    <x v="0"/>
    <n v="8214"/>
    <n v="23.6"/>
    <x v="0"/>
    <x v="1"/>
    <x v="5"/>
    <x v="2"/>
    <n v="110764"/>
    <x v="1"/>
    <n v="0.14000000000000001"/>
    <n v="0.92"/>
    <n v="2776.51"/>
    <n v="0"/>
    <n v="8928.2608695652161"/>
    <n v="9230.3333333333339"/>
    <n v="1292.2466666666669"/>
    <n v="62"/>
    <n v="-5437.49"/>
  </r>
  <r>
    <x v="194"/>
    <d v="2023-03-27T00:00:00"/>
    <s v="B0195"/>
    <x v="6"/>
    <n v="1726"/>
    <n v="20.7"/>
    <x v="1"/>
    <x v="1"/>
    <x v="6"/>
    <x v="0"/>
    <n v="50884"/>
    <x v="0"/>
    <n v="0.36"/>
    <n v="0.83"/>
    <n v="470.61"/>
    <n v="0"/>
    <n v="2079.5180722891569"/>
    <n v="4240.333333333333"/>
    <n v="1526.5199999999998"/>
    <n v="35"/>
    <n v="-1255.3899999999999"/>
  </r>
  <r>
    <x v="195"/>
    <d v="2021-07-27T00:00:00"/>
    <s v="B0196"/>
    <x v="4"/>
    <n v="12362"/>
    <n v="6.1"/>
    <x v="1"/>
    <x v="0"/>
    <x v="0"/>
    <x v="4"/>
    <n v="55183"/>
    <x v="2"/>
    <n v="0.45"/>
    <n v="0.64"/>
    <n v="13116.08"/>
    <n v="0"/>
    <n v="19315.625"/>
    <n v="4598.583333333333"/>
    <n v="2069.3624999999997"/>
    <n v="55"/>
    <n v="754.07999999999993"/>
  </r>
  <r>
    <x v="196"/>
    <d v="2022-02-08T00:00:00"/>
    <s v="B0197"/>
    <x v="6"/>
    <n v="19297"/>
    <n v="22.1"/>
    <x v="0"/>
    <x v="0"/>
    <x v="4"/>
    <x v="3"/>
    <n v="111570"/>
    <x v="2"/>
    <n v="0.42"/>
    <n v="0.62"/>
    <n v="23561.64"/>
    <n v="0"/>
    <n v="31124.193548387098"/>
    <n v="9297.5"/>
    <n v="3904.95"/>
    <n v="49"/>
    <n v="4264.6399999999994"/>
  </r>
  <r>
    <x v="197"/>
    <d v="2021-06-01T00:00:00"/>
    <s v="B0198"/>
    <x v="6"/>
    <n v="31448"/>
    <n v="9.5"/>
    <x v="1"/>
    <x v="0"/>
    <x v="5"/>
    <x v="0"/>
    <n v="101246"/>
    <x v="1"/>
    <n v="0.16"/>
    <n v="0.81"/>
    <n v="34435.56"/>
    <n v="0"/>
    <n v="38824.691358024691"/>
    <n v="8437.1666666666661"/>
    <n v="1349.9466666666665"/>
    <n v="57"/>
    <n v="2987.5599999999977"/>
  </r>
  <r>
    <x v="198"/>
    <d v="2021-02-23T00:00:00"/>
    <s v="B0199"/>
    <x v="2"/>
    <n v="27172"/>
    <n v="12.5"/>
    <x v="0"/>
    <x v="1"/>
    <x v="5"/>
    <x v="4"/>
    <n v="138036"/>
    <x v="2"/>
    <n v="0.32"/>
    <n v="0.59"/>
    <n v="11741.28"/>
    <n v="0"/>
    <n v="46054.237288135599"/>
    <n v="11503"/>
    <n v="3680.96"/>
    <n v="60"/>
    <n v="-15430.72"/>
  </r>
  <r>
    <x v="199"/>
    <d v="2022-09-20T00:00:00"/>
    <s v="B0200"/>
    <x v="7"/>
    <n v="8657"/>
    <n v="14.2"/>
    <x v="1"/>
    <x v="1"/>
    <x v="5"/>
    <x v="0"/>
    <n v="49259"/>
    <x v="0"/>
    <n v="0.14000000000000001"/>
    <n v="0.54"/>
    <n v="3840.38"/>
    <n v="0"/>
    <n v="16031.48148148148"/>
    <n v="4104.916666666667"/>
    <n v="574.68833333333339"/>
    <n v="41"/>
    <n v="-4816.62"/>
  </r>
  <r>
    <x v="200"/>
    <d v="2022-08-10T00:00:00"/>
    <s v="B0201"/>
    <x v="9"/>
    <n v="19850"/>
    <n v="14.6"/>
    <x v="0"/>
    <x v="0"/>
    <x v="4"/>
    <x v="1"/>
    <n v="65959"/>
    <x v="2"/>
    <n v="0.12"/>
    <n v="0.74"/>
    <n v="22748.1"/>
    <n v="0"/>
    <n v="26824.324324324323"/>
    <n v="5496.583333333333"/>
    <n v="659.58999999999992"/>
    <n v="43"/>
    <n v="2898.0999999999985"/>
  </r>
  <r>
    <x v="201"/>
    <d v="2021-04-14T00:00:00"/>
    <s v="B0202"/>
    <x v="5"/>
    <n v="26425"/>
    <n v="13.7"/>
    <x v="1"/>
    <x v="0"/>
    <x v="5"/>
    <x v="2"/>
    <n v="146525"/>
    <x v="2"/>
    <n v="0.36"/>
    <n v="0.87"/>
    <n v="30045.22"/>
    <n v="0"/>
    <n v="30373.563218390806"/>
    <n v="12210.416666666666"/>
    <n v="4395.75"/>
    <n v="59"/>
    <n v="3620.2200000000012"/>
  </r>
  <r>
    <x v="202"/>
    <d v="2021-09-11T00:00:00"/>
    <s v="B0203"/>
    <x v="7"/>
    <n v="27685"/>
    <n v="23.7"/>
    <x v="0"/>
    <x v="0"/>
    <x v="5"/>
    <x v="3"/>
    <n v="63457"/>
    <x v="0"/>
    <n v="0.31"/>
    <n v="0.55000000000000004"/>
    <n v="34246.339999999997"/>
    <n v="0"/>
    <n v="50336.363636363632"/>
    <n v="5288.083333333333"/>
    <n v="1639.3058333333333"/>
    <n v="54"/>
    <n v="6561.3399999999965"/>
  </r>
  <r>
    <x v="203"/>
    <d v="2022-05-25T00:00:00"/>
    <s v="B0204"/>
    <x v="0"/>
    <n v="25578"/>
    <n v="19.100000000000001"/>
    <x v="0"/>
    <x v="3"/>
    <x v="1"/>
    <x v="4"/>
    <n v="115679"/>
    <x v="1"/>
    <n v="0.13"/>
    <n v="0.86"/>
    <n v="3866.58"/>
    <n v="7371.47"/>
    <n v="29741.860465116279"/>
    <n v="9639.9166666666661"/>
    <n v="1253.1891666666666"/>
    <n v="45"/>
    <n v="-14339.95"/>
  </r>
  <r>
    <x v="204"/>
    <d v="2021-04-09T00:00:00"/>
    <s v="B0205"/>
    <x v="6"/>
    <n v="29831"/>
    <n v="17.600000000000001"/>
    <x v="0"/>
    <x v="1"/>
    <x v="0"/>
    <x v="3"/>
    <n v="32103"/>
    <x v="1"/>
    <n v="0.11"/>
    <n v="0.87"/>
    <n v="3320.34"/>
    <n v="0"/>
    <n v="34288.505747126437"/>
    <n v="2675.25"/>
    <n v="294.27749999999997"/>
    <n v="59"/>
    <n v="-26510.66"/>
  </r>
  <r>
    <x v="205"/>
    <d v="2021-06-02T00:00:00"/>
    <s v="B0206"/>
    <x v="2"/>
    <n v="8906"/>
    <n v="6"/>
    <x v="1"/>
    <x v="1"/>
    <x v="1"/>
    <x v="3"/>
    <n v="95901"/>
    <x v="2"/>
    <n v="0.5"/>
    <n v="0.72"/>
    <n v="2971.76"/>
    <n v="0"/>
    <n v="12369.444444444445"/>
    <n v="7991.75"/>
    <n v="3995.875"/>
    <n v="57"/>
    <n v="-5934.24"/>
  </r>
  <r>
    <x v="206"/>
    <d v="2023-07-03T00:00:00"/>
    <s v="B0207"/>
    <x v="0"/>
    <n v="8287"/>
    <n v="23.1"/>
    <x v="1"/>
    <x v="1"/>
    <x v="2"/>
    <x v="3"/>
    <n v="142314"/>
    <x v="0"/>
    <n v="0.11"/>
    <n v="0.53"/>
    <n v="1537.67"/>
    <n v="0"/>
    <n v="15635.849056603773"/>
    <n v="11859.5"/>
    <n v="1304.5450000000001"/>
    <n v="32"/>
    <n v="-6749.33"/>
  </r>
  <r>
    <x v="207"/>
    <d v="2023-05-28T00:00:00"/>
    <s v="B0208"/>
    <x v="4"/>
    <n v="34660"/>
    <n v="23.2"/>
    <x v="0"/>
    <x v="3"/>
    <x v="5"/>
    <x v="4"/>
    <n v="74535"/>
    <x v="1"/>
    <n v="0.28000000000000003"/>
    <n v="0.57999999999999996"/>
    <n v="3659.1"/>
    <n v="4720.7299999999996"/>
    <n v="59758.620689655174"/>
    <n v="6211.25"/>
    <n v="1739.15"/>
    <n v="33"/>
    <n v="-26280.17"/>
  </r>
  <r>
    <x v="208"/>
    <d v="2021-12-04T00:00:00"/>
    <s v="B0209"/>
    <x v="9"/>
    <n v="11222"/>
    <n v="20.6"/>
    <x v="0"/>
    <x v="1"/>
    <x v="1"/>
    <x v="4"/>
    <n v="46103"/>
    <x v="1"/>
    <n v="0.3"/>
    <n v="0.82"/>
    <n v="5048.66"/>
    <n v="0"/>
    <n v="13685.365853658537"/>
    <n v="3841.9166666666665"/>
    <n v="1152.5749999999998"/>
    <n v="51"/>
    <n v="-6173.34"/>
  </r>
  <r>
    <x v="209"/>
    <d v="2023-04-02T00:00:00"/>
    <s v="B0210"/>
    <x v="5"/>
    <n v="38443"/>
    <n v="5.0999999999999996"/>
    <x v="1"/>
    <x v="1"/>
    <x v="5"/>
    <x v="3"/>
    <n v="128046"/>
    <x v="2"/>
    <n v="0.15"/>
    <n v="0.82"/>
    <n v="5847.39"/>
    <n v="0"/>
    <n v="46881.707317073175"/>
    <n v="10670.5"/>
    <n v="1600.575"/>
    <n v="35"/>
    <n v="-32595.61"/>
  </r>
  <r>
    <x v="210"/>
    <d v="2023-08-15T00:00:00"/>
    <s v="B0211"/>
    <x v="4"/>
    <n v="35701"/>
    <n v="6.1"/>
    <x v="1"/>
    <x v="0"/>
    <x v="6"/>
    <x v="2"/>
    <n v="120012"/>
    <x v="0"/>
    <n v="0.17"/>
    <n v="0.9"/>
    <n v="37878.76"/>
    <n v="0"/>
    <n v="39667.777777777774"/>
    <n v="10001"/>
    <n v="1700.17"/>
    <n v="31"/>
    <n v="2177.760000000002"/>
  </r>
  <r>
    <x v="211"/>
    <d v="2021-06-10T00:00:00"/>
    <s v="B0212"/>
    <x v="2"/>
    <n v="18764"/>
    <n v="9.5"/>
    <x v="1"/>
    <x v="0"/>
    <x v="2"/>
    <x v="0"/>
    <n v="108278"/>
    <x v="1"/>
    <n v="0.24"/>
    <n v="0.76"/>
    <n v="20546.580000000002"/>
    <n v="0"/>
    <n v="24689.473684210527"/>
    <n v="9023.1666666666661"/>
    <n v="2165.56"/>
    <n v="57"/>
    <n v="1782.5800000000017"/>
  </r>
  <r>
    <x v="212"/>
    <d v="2023-03-12T00:00:00"/>
    <s v="B0213"/>
    <x v="9"/>
    <n v="18674"/>
    <n v="7.6"/>
    <x v="1"/>
    <x v="0"/>
    <x v="0"/>
    <x v="3"/>
    <n v="42391"/>
    <x v="2"/>
    <n v="0.4"/>
    <n v="0.56000000000000005"/>
    <n v="20093.22"/>
    <n v="0"/>
    <n v="33346.428571428565"/>
    <n v="3532.5833333333335"/>
    <n v="1413.0333333333335"/>
    <n v="36"/>
    <n v="1419.2200000000012"/>
  </r>
  <r>
    <x v="213"/>
    <d v="2022-02-02T00:00:00"/>
    <s v="B0214"/>
    <x v="0"/>
    <n v="19024"/>
    <n v="13"/>
    <x v="1"/>
    <x v="0"/>
    <x v="4"/>
    <x v="1"/>
    <n v="132476"/>
    <x v="2"/>
    <n v="0.3"/>
    <n v="0.55000000000000004"/>
    <n v="21497.119999999999"/>
    <n v="0"/>
    <n v="34589.090909090904"/>
    <n v="11039.666666666666"/>
    <n v="3311.8999999999996"/>
    <n v="49"/>
    <n v="2473.119999999999"/>
  </r>
  <r>
    <x v="214"/>
    <d v="2023-03-27T00:00:00"/>
    <s v="B0215"/>
    <x v="6"/>
    <n v="24874"/>
    <n v="23.5"/>
    <x v="1"/>
    <x v="2"/>
    <x v="4"/>
    <x v="3"/>
    <n v="58901"/>
    <x v="2"/>
    <n v="0.36"/>
    <n v="0.82"/>
    <n v="0"/>
    <n v="0"/>
    <n v="30334.146341463416"/>
    <n v="4908.416666666667"/>
    <n v="1767.03"/>
    <n v="35"/>
    <n v="-24874"/>
  </r>
  <r>
    <x v="215"/>
    <d v="2022-02-05T00:00:00"/>
    <s v="B0216"/>
    <x v="6"/>
    <n v="33284"/>
    <n v="14.4"/>
    <x v="0"/>
    <x v="0"/>
    <x v="4"/>
    <x v="4"/>
    <n v="127537"/>
    <x v="2"/>
    <n v="0.49"/>
    <n v="0.57999999999999996"/>
    <n v="38076.9"/>
    <n v="0"/>
    <n v="57386.206896551725"/>
    <n v="10628.083333333334"/>
    <n v="5207.7608333333337"/>
    <n v="49"/>
    <n v="4792.9000000000015"/>
  </r>
  <r>
    <x v="216"/>
    <d v="2022-10-02T00:00:00"/>
    <s v="B0217"/>
    <x v="3"/>
    <n v="18602"/>
    <n v="5.3"/>
    <x v="1"/>
    <x v="3"/>
    <x v="0"/>
    <x v="0"/>
    <n v="111159"/>
    <x v="1"/>
    <n v="0.41"/>
    <n v="0.65"/>
    <n v="7046.14"/>
    <n v="4694.51"/>
    <n v="28618.461538461539"/>
    <n v="9263.25"/>
    <n v="3797.9324999999999"/>
    <n v="41"/>
    <n v="-6861.3499999999985"/>
  </r>
  <r>
    <x v="217"/>
    <d v="2023-11-23T00:00:00"/>
    <s v="B0218"/>
    <x v="6"/>
    <n v="38784"/>
    <n v="10.7"/>
    <x v="0"/>
    <x v="0"/>
    <x v="6"/>
    <x v="1"/>
    <n v="97914"/>
    <x v="0"/>
    <n v="0.27"/>
    <n v="0.72"/>
    <n v="42933.89"/>
    <n v="0"/>
    <n v="53866.666666666672"/>
    <n v="8159.5"/>
    <n v="2203.0650000000001"/>
    <n v="27"/>
    <n v="4149.8899999999994"/>
  </r>
  <r>
    <x v="218"/>
    <d v="2022-11-19T00:00:00"/>
    <s v="B0219"/>
    <x v="8"/>
    <n v="24265"/>
    <n v="5.9"/>
    <x v="1"/>
    <x v="0"/>
    <x v="0"/>
    <x v="0"/>
    <n v="80357"/>
    <x v="2"/>
    <n v="0.28000000000000003"/>
    <n v="0.51"/>
    <n v="25696.639999999999"/>
    <n v="0"/>
    <n v="47578.431372549021"/>
    <n v="6696.416666666667"/>
    <n v="1874.9966666666669"/>
    <n v="40"/>
    <n v="1431.6399999999994"/>
  </r>
  <r>
    <x v="219"/>
    <d v="2022-04-05T00:00:00"/>
    <s v="B0220"/>
    <x v="6"/>
    <n v="26931"/>
    <n v="5.7"/>
    <x v="1"/>
    <x v="3"/>
    <x v="5"/>
    <x v="0"/>
    <n v="116908"/>
    <x v="2"/>
    <n v="0.35"/>
    <n v="0.61"/>
    <n v="8489.4699999999993"/>
    <n v="8648.65"/>
    <n v="44149.180327868853"/>
    <n v="9742.3333333333339"/>
    <n v="3409.8166666666666"/>
    <n v="47"/>
    <n v="-9792.880000000001"/>
  </r>
  <r>
    <x v="220"/>
    <d v="2023-08-13T00:00:00"/>
    <s v="B0221"/>
    <x v="8"/>
    <n v="29841"/>
    <n v="10.5"/>
    <x v="0"/>
    <x v="0"/>
    <x v="1"/>
    <x v="1"/>
    <n v="140335"/>
    <x v="1"/>
    <n v="0.37"/>
    <n v="0.68"/>
    <n v="32974.300000000003"/>
    <n v="0"/>
    <n v="43883.823529411762"/>
    <n v="11694.583333333334"/>
    <n v="4326.9958333333334"/>
    <n v="31"/>
    <n v="3133.3000000000029"/>
  </r>
  <r>
    <x v="221"/>
    <d v="2022-04-15T00:00:00"/>
    <s v="B0222"/>
    <x v="1"/>
    <n v="30192"/>
    <n v="10.5"/>
    <x v="0"/>
    <x v="0"/>
    <x v="0"/>
    <x v="3"/>
    <n v="68437"/>
    <x v="2"/>
    <n v="0.3"/>
    <n v="0.63"/>
    <n v="33362.160000000003"/>
    <n v="0"/>
    <n v="47923.809523809527"/>
    <n v="5703.083333333333"/>
    <n v="1710.925"/>
    <n v="47"/>
    <n v="3170.1600000000035"/>
  </r>
  <r>
    <x v="222"/>
    <d v="2023-11-12T00:00:00"/>
    <s v="B0223"/>
    <x v="8"/>
    <n v="16585"/>
    <n v="20.7"/>
    <x v="1"/>
    <x v="0"/>
    <x v="2"/>
    <x v="3"/>
    <n v="65503"/>
    <x v="2"/>
    <n v="0.36"/>
    <n v="0.56000000000000005"/>
    <n v="20018.099999999999"/>
    <n v="0"/>
    <n v="29616.071428571428"/>
    <n v="5458.583333333333"/>
    <n v="1965.09"/>
    <n v="28"/>
    <n v="3433.0999999999985"/>
  </r>
  <r>
    <x v="223"/>
    <d v="2023-01-20T00:00:00"/>
    <s v="B0224"/>
    <x v="9"/>
    <n v="26559"/>
    <n v="24.5"/>
    <x v="0"/>
    <x v="1"/>
    <x v="6"/>
    <x v="3"/>
    <n v="126282"/>
    <x v="0"/>
    <n v="0.11"/>
    <n v="0.83"/>
    <n v="10442.84"/>
    <n v="0"/>
    <n v="31998.795180722893"/>
    <n v="10523.5"/>
    <n v="1157.585"/>
    <n v="37"/>
    <n v="-16116.16"/>
  </r>
  <r>
    <x v="224"/>
    <d v="2021-02-07T00:00:00"/>
    <s v="B0225"/>
    <x v="4"/>
    <n v="34742"/>
    <n v="12.4"/>
    <x v="0"/>
    <x v="0"/>
    <x v="5"/>
    <x v="2"/>
    <n v="123459"/>
    <x v="2"/>
    <n v="0.27"/>
    <n v="0.87"/>
    <n v="39050.01"/>
    <n v="0"/>
    <n v="39933.333333333336"/>
    <n v="10288.25"/>
    <n v="2777.8275000000003"/>
    <n v="61"/>
    <n v="4308.010000000002"/>
  </r>
  <r>
    <x v="225"/>
    <d v="2021-08-18T00:00:00"/>
    <s v="B0226"/>
    <x v="9"/>
    <n v="5133"/>
    <n v="13.6"/>
    <x v="0"/>
    <x v="1"/>
    <x v="4"/>
    <x v="3"/>
    <n v="105403"/>
    <x v="1"/>
    <n v="0.21"/>
    <n v="0.62"/>
    <n v="722"/>
    <n v="0"/>
    <n v="8279.032258064517"/>
    <n v="8783.5833333333339"/>
    <n v="1844.5525"/>
    <n v="55"/>
    <n v="-4411"/>
  </r>
  <r>
    <x v="226"/>
    <d v="2022-07-17T00:00:00"/>
    <s v="B0227"/>
    <x v="4"/>
    <n v="15663"/>
    <n v="21.9"/>
    <x v="0"/>
    <x v="1"/>
    <x v="0"/>
    <x v="1"/>
    <n v="71258"/>
    <x v="0"/>
    <n v="0.15"/>
    <n v="0.85"/>
    <n v="2433.83"/>
    <n v="0"/>
    <n v="18427.058823529413"/>
    <n v="5938.166666666667"/>
    <n v="890.72500000000002"/>
    <n v="44"/>
    <n v="-13229.17"/>
  </r>
  <r>
    <x v="227"/>
    <d v="2022-03-14T00:00:00"/>
    <s v="B0228"/>
    <x v="3"/>
    <n v="22754"/>
    <n v="10.4"/>
    <x v="1"/>
    <x v="1"/>
    <x v="1"/>
    <x v="2"/>
    <n v="63724"/>
    <x v="1"/>
    <n v="0.14000000000000001"/>
    <n v="0.67"/>
    <n v="6475.12"/>
    <n v="0"/>
    <n v="33961.194029850747"/>
    <n v="5310.333333333333"/>
    <n v="743.44666666666672"/>
    <n v="48"/>
    <n v="-16278.880000000001"/>
  </r>
  <r>
    <x v="228"/>
    <d v="2021-01-27T00:00:00"/>
    <s v="B0229"/>
    <x v="1"/>
    <n v="4972"/>
    <n v="8.1"/>
    <x v="0"/>
    <x v="1"/>
    <x v="0"/>
    <x v="3"/>
    <n v="94286"/>
    <x v="0"/>
    <n v="0.34"/>
    <n v="0.73"/>
    <n v="633.66"/>
    <n v="0"/>
    <n v="6810.9589041095896"/>
    <n v="7857.166666666667"/>
    <n v="2671.436666666667"/>
    <n v="61"/>
    <n v="-4338.34"/>
  </r>
  <r>
    <x v="229"/>
    <d v="2021-08-14T00:00:00"/>
    <s v="B0230"/>
    <x v="4"/>
    <n v="6295"/>
    <n v="22.1"/>
    <x v="1"/>
    <x v="0"/>
    <x v="1"/>
    <x v="2"/>
    <n v="104842"/>
    <x v="0"/>
    <n v="0.31"/>
    <n v="0.89"/>
    <n v="7686.2"/>
    <n v="0"/>
    <n v="7073.0337078651683"/>
    <n v="8736.8333333333339"/>
    <n v="2708.4183333333335"/>
    <n v="55"/>
    <n v="1391.1999999999998"/>
  </r>
  <r>
    <x v="230"/>
    <d v="2023-03-09T00:00:00"/>
    <s v="B0231"/>
    <x v="4"/>
    <n v="30125"/>
    <n v="5.9"/>
    <x v="1"/>
    <x v="0"/>
    <x v="6"/>
    <x v="1"/>
    <n v="134927"/>
    <x v="2"/>
    <n v="0.2"/>
    <n v="0.84"/>
    <n v="31902.38"/>
    <n v="0"/>
    <n v="35863.095238095237"/>
    <n v="11243.916666666666"/>
    <n v="2248.7833333333333"/>
    <n v="36"/>
    <n v="1777.380000000001"/>
  </r>
  <r>
    <x v="231"/>
    <d v="2021-10-11T00:00:00"/>
    <s v="B0232"/>
    <x v="2"/>
    <n v="10903"/>
    <n v="17.399999999999999"/>
    <x v="1"/>
    <x v="1"/>
    <x v="0"/>
    <x v="3"/>
    <n v="44908"/>
    <x v="2"/>
    <n v="0.28999999999999998"/>
    <n v="0.86"/>
    <n v="2043.7"/>
    <n v="0"/>
    <n v="12677.906976744187"/>
    <n v="3742.3333333333335"/>
    <n v="1085.2766666666666"/>
    <n v="53"/>
    <n v="-8859.2999999999993"/>
  </r>
  <r>
    <x v="232"/>
    <d v="2023-05-29T00:00:00"/>
    <s v="B0233"/>
    <x v="7"/>
    <n v="4020"/>
    <n v="16.2"/>
    <x v="1"/>
    <x v="0"/>
    <x v="6"/>
    <x v="4"/>
    <n v="122617"/>
    <x v="2"/>
    <n v="0.3"/>
    <n v="0.56000000000000005"/>
    <n v="4671.24"/>
    <n v="0"/>
    <n v="7178.5714285714275"/>
    <n v="10218.083333333334"/>
    <n v="3065.4250000000002"/>
    <n v="33"/>
    <n v="651.23999999999978"/>
  </r>
  <r>
    <x v="233"/>
    <d v="2023-08-18T00:00:00"/>
    <s v="B0234"/>
    <x v="7"/>
    <n v="21420"/>
    <n v="11.9"/>
    <x v="0"/>
    <x v="0"/>
    <x v="0"/>
    <x v="1"/>
    <n v="80626"/>
    <x v="1"/>
    <n v="0.18"/>
    <n v="0.53"/>
    <n v="23968.98"/>
    <n v="0"/>
    <n v="40415.094339622643"/>
    <n v="6718.833333333333"/>
    <n v="1209.3899999999999"/>
    <n v="31"/>
    <n v="2548.9799999999996"/>
  </r>
  <r>
    <x v="234"/>
    <d v="2022-03-29T00:00:00"/>
    <s v="B0235"/>
    <x v="2"/>
    <n v="22452"/>
    <n v="11.3"/>
    <x v="0"/>
    <x v="0"/>
    <x v="2"/>
    <x v="0"/>
    <n v="67228"/>
    <x v="2"/>
    <n v="0.36"/>
    <n v="0.9"/>
    <n v="24989.08"/>
    <n v="0"/>
    <n v="24946.666666666664"/>
    <n v="5602.333333333333"/>
    <n v="2016.84"/>
    <n v="47"/>
    <n v="2537.0800000000017"/>
  </r>
  <r>
    <x v="235"/>
    <d v="2023-10-17T00:00:00"/>
    <s v="B0236"/>
    <x v="6"/>
    <n v="39001"/>
    <n v="20.399999999999999"/>
    <x v="1"/>
    <x v="3"/>
    <x v="0"/>
    <x v="0"/>
    <n v="53386"/>
    <x v="2"/>
    <n v="0.41"/>
    <n v="0.67"/>
    <n v="7661.31"/>
    <n v="15157.1"/>
    <n v="58210.447761194024"/>
    <n v="4448.833333333333"/>
    <n v="1824.0216666666665"/>
    <n v="29"/>
    <n v="-16182.59"/>
  </r>
  <r>
    <x v="236"/>
    <d v="2023-03-27T00:00:00"/>
    <s v="B0237"/>
    <x v="2"/>
    <n v="10516"/>
    <n v="6.7"/>
    <x v="1"/>
    <x v="0"/>
    <x v="1"/>
    <x v="1"/>
    <n v="76754"/>
    <x v="0"/>
    <n v="0.42"/>
    <n v="0.63"/>
    <n v="11220.57"/>
    <n v="0"/>
    <n v="16692.063492063491"/>
    <n v="6396.166666666667"/>
    <n v="2686.39"/>
    <n v="35"/>
    <n v="704.56999999999971"/>
  </r>
  <r>
    <x v="237"/>
    <d v="2022-10-21T00:00:00"/>
    <s v="B0238"/>
    <x v="4"/>
    <n v="3396"/>
    <n v="9.6999999999999993"/>
    <x v="1"/>
    <x v="0"/>
    <x v="4"/>
    <x v="0"/>
    <n v="140942"/>
    <x v="2"/>
    <n v="0.34"/>
    <n v="0.83"/>
    <n v="3725.41"/>
    <n v="0"/>
    <n v="4091.5662650602412"/>
    <n v="11745.166666666666"/>
    <n v="3993.3566666666666"/>
    <n v="40"/>
    <n v="329.40999999999985"/>
  </r>
  <r>
    <x v="238"/>
    <d v="2022-07-01T00:00:00"/>
    <s v="B0239"/>
    <x v="4"/>
    <n v="19546"/>
    <n v="19.600000000000001"/>
    <x v="1"/>
    <x v="1"/>
    <x v="6"/>
    <x v="1"/>
    <n v="58302"/>
    <x v="2"/>
    <n v="0.3"/>
    <n v="0.88"/>
    <n v="2381.36"/>
    <n v="0"/>
    <n v="22211.363636363636"/>
    <n v="4858.5"/>
    <n v="1457.55"/>
    <n v="44"/>
    <n v="-17164.64"/>
  </r>
  <r>
    <x v="239"/>
    <d v="2023-12-09T00:00:00"/>
    <s v="B0240"/>
    <x v="2"/>
    <n v="20129"/>
    <n v="16"/>
    <x v="0"/>
    <x v="1"/>
    <x v="5"/>
    <x v="4"/>
    <n v="90815"/>
    <x v="2"/>
    <n v="0.12"/>
    <n v="0.89"/>
    <n v="2865.01"/>
    <n v="0"/>
    <n v="22616.853932584268"/>
    <n v="7567.916666666667"/>
    <n v="908.15"/>
    <n v="27"/>
    <n v="-17263.989999999998"/>
  </r>
  <r>
    <x v="240"/>
    <d v="2021-01-17T00:00:00"/>
    <s v="B0241"/>
    <x v="2"/>
    <n v="2591"/>
    <n v="7.6"/>
    <x v="1"/>
    <x v="0"/>
    <x v="0"/>
    <x v="1"/>
    <n v="114748"/>
    <x v="2"/>
    <n v="0.22"/>
    <n v="0.64"/>
    <n v="2787.92"/>
    <n v="0"/>
    <n v="4048.4375"/>
    <n v="9562.3333333333339"/>
    <n v="2103.7133333333336"/>
    <n v="62"/>
    <n v="196.92000000000007"/>
  </r>
  <r>
    <x v="241"/>
    <d v="2021-06-07T00:00:00"/>
    <s v="B0242"/>
    <x v="6"/>
    <n v="12303"/>
    <n v="22.6"/>
    <x v="0"/>
    <x v="0"/>
    <x v="5"/>
    <x v="3"/>
    <n v="93344"/>
    <x v="0"/>
    <n v="0.14000000000000001"/>
    <n v="0.88"/>
    <n v="15083.48"/>
    <n v="0"/>
    <n v="13980.681818181818"/>
    <n v="7778.666666666667"/>
    <n v="1089.0133333333335"/>
    <n v="57"/>
    <n v="2780.4799999999996"/>
  </r>
  <r>
    <x v="242"/>
    <d v="2022-04-22T00:00:00"/>
    <s v="B0243"/>
    <x v="9"/>
    <n v="31561"/>
    <n v="12.9"/>
    <x v="1"/>
    <x v="1"/>
    <x v="4"/>
    <x v="3"/>
    <n v="65618"/>
    <x v="2"/>
    <n v="0.49"/>
    <n v="0.52"/>
    <n v="12777.42"/>
    <n v="0"/>
    <n v="60694.230769230766"/>
    <n v="5468.166666666667"/>
    <n v="2679.4016666666666"/>
    <n v="46"/>
    <n v="-18783.580000000002"/>
  </r>
  <r>
    <x v="243"/>
    <d v="2023-12-06T00:00:00"/>
    <s v="B0244"/>
    <x v="1"/>
    <n v="7183"/>
    <n v="21.6"/>
    <x v="1"/>
    <x v="4"/>
    <x v="1"/>
    <x v="2"/>
    <n v="141603"/>
    <x v="0"/>
    <n v="0.15"/>
    <n v="0.52"/>
    <n v="0"/>
    <n v="0"/>
    <n v="13813.461538461537"/>
    <n v="11800.25"/>
    <n v="1770.0374999999999"/>
    <n v="27"/>
    <n v="-7183"/>
  </r>
  <r>
    <x v="244"/>
    <d v="2022-06-02T00:00:00"/>
    <s v="B0245"/>
    <x v="0"/>
    <n v="27572"/>
    <n v="20.8"/>
    <x v="1"/>
    <x v="1"/>
    <x v="2"/>
    <x v="0"/>
    <n v="106234"/>
    <x v="1"/>
    <n v="0.16"/>
    <n v="0.78"/>
    <n v="3453.07"/>
    <n v="0"/>
    <n v="35348.717948717946"/>
    <n v="8852.8333333333339"/>
    <n v="1416.4533333333334"/>
    <n v="45"/>
    <n v="-24118.93"/>
  </r>
  <r>
    <x v="245"/>
    <d v="2021-04-09T00:00:00"/>
    <s v="B0246"/>
    <x v="4"/>
    <n v="35080"/>
    <n v="17.5"/>
    <x v="1"/>
    <x v="0"/>
    <x v="4"/>
    <x v="0"/>
    <n v="91114"/>
    <x v="2"/>
    <n v="0.46"/>
    <n v="0.53"/>
    <n v="41219"/>
    <n v="0"/>
    <n v="66188.679245283012"/>
    <n v="7592.833333333333"/>
    <n v="3492.7033333333334"/>
    <n v="59"/>
    <n v="6139"/>
  </r>
  <r>
    <x v="246"/>
    <d v="2023-11-27T00:00:00"/>
    <s v="B0247"/>
    <x v="1"/>
    <n v="21695"/>
    <n v="14.9"/>
    <x v="0"/>
    <x v="0"/>
    <x v="4"/>
    <x v="1"/>
    <n v="147652"/>
    <x v="2"/>
    <n v="0.48"/>
    <n v="0.65"/>
    <n v="24927.56"/>
    <n v="0"/>
    <n v="33376.923076923078"/>
    <n v="12304.333333333334"/>
    <n v="5906.08"/>
    <n v="27"/>
    <n v="3232.5600000000013"/>
  </r>
  <r>
    <x v="247"/>
    <d v="2021-10-07T00:00:00"/>
    <s v="B0248"/>
    <x v="2"/>
    <n v="8314"/>
    <n v="24.6"/>
    <x v="0"/>
    <x v="3"/>
    <x v="0"/>
    <x v="0"/>
    <n v="100130"/>
    <x v="2"/>
    <n v="0.41"/>
    <n v="0.8"/>
    <n v="902.38"/>
    <n v="4096.3"/>
    <n v="10392.5"/>
    <n v="8344.1666666666661"/>
    <n v="3421.1083333333327"/>
    <n v="53"/>
    <n v="-3315.3199999999997"/>
  </r>
  <r>
    <x v="248"/>
    <d v="2022-05-12T00:00:00"/>
    <s v="B0249"/>
    <x v="6"/>
    <n v="20623"/>
    <n v="7.9"/>
    <x v="0"/>
    <x v="1"/>
    <x v="5"/>
    <x v="3"/>
    <n v="55525"/>
    <x v="0"/>
    <n v="0.1"/>
    <n v="0.65"/>
    <n v="6871.78"/>
    <n v="0"/>
    <n v="31727.692307692305"/>
    <n v="4627.083333333333"/>
    <n v="462.70833333333331"/>
    <n v="46"/>
    <n v="-13751.220000000001"/>
  </r>
  <r>
    <x v="249"/>
    <d v="2021-10-29T00:00:00"/>
    <s v="B0250"/>
    <x v="8"/>
    <n v="3139"/>
    <n v="19.5"/>
    <x v="1"/>
    <x v="0"/>
    <x v="4"/>
    <x v="4"/>
    <n v="109818"/>
    <x v="2"/>
    <n v="0.1"/>
    <n v="0.57999999999999996"/>
    <n v="3751.1"/>
    <n v="0"/>
    <n v="5412.0689655172418"/>
    <n v="9151.5"/>
    <n v="915.15000000000009"/>
    <n v="52"/>
    <n v="612.09999999999991"/>
  </r>
  <r>
    <x v="250"/>
    <d v="2021-06-30T00:00:00"/>
    <s v="B0251"/>
    <x v="6"/>
    <n v="32290"/>
    <n v="8.8000000000000007"/>
    <x v="1"/>
    <x v="0"/>
    <x v="4"/>
    <x v="1"/>
    <n v="144589"/>
    <x v="2"/>
    <n v="0.25"/>
    <n v="0.63"/>
    <n v="35131.519999999997"/>
    <n v="0"/>
    <n v="51253.968253968254"/>
    <n v="12049.083333333334"/>
    <n v="3012.2708333333335"/>
    <n v="56"/>
    <n v="2841.5199999999968"/>
  </r>
  <r>
    <x v="251"/>
    <d v="2022-08-30T00:00:00"/>
    <s v="B0252"/>
    <x v="5"/>
    <n v="19088"/>
    <n v="11.8"/>
    <x v="0"/>
    <x v="1"/>
    <x v="0"/>
    <x v="0"/>
    <n v="44334"/>
    <x v="1"/>
    <n v="0.16"/>
    <n v="0.71"/>
    <n v="9337.7000000000007"/>
    <n v="0"/>
    <n v="26884.507042253521"/>
    <n v="3694.5"/>
    <n v="591.12"/>
    <n v="42"/>
    <n v="-9750.2999999999993"/>
  </r>
  <r>
    <x v="252"/>
    <d v="2022-12-01T00:00:00"/>
    <s v="B0253"/>
    <x v="5"/>
    <n v="34130"/>
    <n v="11.2"/>
    <x v="0"/>
    <x v="0"/>
    <x v="4"/>
    <x v="3"/>
    <n v="124715"/>
    <x v="0"/>
    <n v="0.11"/>
    <n v="0.71"/>
    <n v="37952.559999999998"/>
    <n v="0"/>
    <n v="48070.42253521127"/>
    <n v="10392.916666666666"/>
    <n v="1143.2208333333333"/>
    <n v="39"/>
    <n v="3822.5599999999977"/>
  </r>
  <r>
    <x v="253"/>
    <d v="2023-09-20T00:00:00"/>
    <s v="B0254"/>
    <x v="1"/>
    <n v="33088"/>
    <n v="23.9"/>
    <x v="1"/>
    <x v="0"/>
    <x v="3"/>
    <x v="2"/>
    <n v="92767"/>
    <x v="0"/>
    <n v="0.28999999999999998"/>
    <n v="0.85"/>
    <n v="40996.03"/>
    <n v="0"/>
    <n v="38927.058823529413"/>
    <n v="7730.583333333333"/>
    <n v="2241.8691666666664"/>
    <n v="29"/>
    <n v="7908.0299999999988"/>
  </r>
  <r>
    <x v="254"/>
    <d v="2021-07-10T00:00:00"/>
    <s v="B0255"/>
    <x v="7"/>
    <n v="27292"/>
    <n v="24.3"/>
    <x v="1"/>
    <x v="0"/>
    <x v="4"/>
    <x v="0"/>
    <n v="36644"/>
    <x v="1"/>
    <n v="0.48"/>
    <n v="0.84"/>
    <n v="33923.96"/>
    <n v="0"/>
    <n v="32490.476190476191"/>
    <n v="3053.6666666666665"/>
    <n v="1465.7599999999998"/>
    <n v="56"/>
    <n v="6631.9599999999991"/>
  </r>
  <r>
    <x v="255"/>
    <d v="2021-09-10T00:00:00"/>
    <s v="B0256"/>
    <x v="5"/>
    <n v="21670"/>
    <n v="8.6999999999999993"/>
    <x v="0"/>
    <x v="0"/>
    <x v="5"/>
    <x v="4"/>
    <n v="131154"/>
    <x v="0"/>
    <n v="0.23"/>
    <n v="0.71"/>
    <n v="23555.29"/>
    <n v="0"/>
    <n v="30521.12676056338"/>
    <n v="10929.5"/>
    <n v="2513.7850000000003"/>
    <n v="54"/>
    <n v="1885.2900000000009"/>
  </r>
  <r>
    <x v="256"/>
    <d v="2023-09-08T00:00:00"/>
    <s v="B0257"/>
    <x v="5"/>
    <n v="4738"/>
    <n v="5.4"/>
    <x v="1"/>
    <x v="0"/>
    <x v="1"/>
    <x v="4"/>
    <n v="143237"/>
    <x v="2"/>
    <n v="0.36"/>
    <n v="0.88"/>
    <n v="4993.8500000000004"/>
    <n v="0"/>
    <n v="5384.090909090909"/>
    <n v="11936.416666666666"/>
    <n v="4297.1099999999997"/>
    <n v="30"/>
    <n v="255.85000000000036"/>
  </r>
  <r>
    <x v="257"/>
    <d v="2023-07-17T00:00:00"/>
    <s v="B0258"/>
    <x v="9"/>
    <n v="3469"/>
    <n v="19.399999999999999"/>
    <x v="1"/>
    <x v="1"/>
    <x v="1"/>
    <x v="0"/>
    <n v="62933"/>
    <x v="2"/>
    <n v="0.36"/>
    <n v="0.55000000000000004"/>
    <n v="690.49"/>
    <n v="0"/>
    <n v="6307.272727272727"/>
    <n v="5244.416666666667"/>
    <n v="1887.99"/>
    <n v="32"/>
    <n v="-2778.51"/>
  </r>
  <r>
    <x v="258"/>
    <d v="2021-05-08T00:00:00"/>
    <s v="B0259"/>
    <x v="8"/>
    <n v="23534"/>
    <n v="13.4"/>
    <x v="0"/>
    <x v="0"/>
    <x v="4"/>
    <x v="0"/>
    <n v="73469"/>
    <x v="1"/>
    <n v="0.2"/>
    <n v="0.61"/>
    <n v="26687.56"/>
    <n v="0"/>
    <n v="38580.327868852459"/>
    <n v="6122.416666666667"/>
    <n v="1224.4833333333333"/>
    <n v="58"/>
    <n v="3153.5600000000013"/>
  </r>
  <r>
    <x v="259"/>
    <d v="2021-01-18T00:00:00"/>
    <s v="B0260"/>
    <x v="9"/>
    <n v="10017"/>
    <n v="6.8"/>
    <x v="1"/>
    <x v="0"/>
    <x v="5"/>
    <x v="3"/>
    <n v="63687"/>
    <x v="0"/>
    <n v="0.36"/>
    <n v="0.87"/>
    <n v="10698.16"/>
    <n v="0"/>
    <n v="11513.793103448275"/>
    <n v="5307.25"/>
    <n v="1910.61"/>
    <n v="62"/>
    <n v="681.15999999999985"/>
  </r>
  <r>
    <x v="260"/>
    <d v="2022-07-20T00:00:00"/>
    <s v="B0261"/>
    <x v="8"/>
    <n v="3808"/>
    <n v="18.7"/>
    <x v="0"/>
    <x v="0"/>
    <x v="6"/>
    <x v="0"/>
    <n v="136609"/>
    <x v="0"/>
    <n v="0.18"/>
    <n v="0.67"/>
    <n v="4520.1000000000004"/>
    <n v="0"/>
    <n v="5683.5820895522384"/>
    <n v="11384.083333333334"/>
    <n v="2049.1350000000002"/>
    <n v="43"/>
    <n v="712.10000000000036"/>
  </r>
  <r>
    <x v="261"/>
    <d v="2022-07-24T00:00:00"/>
    <s v="B0262"/>
    <x v="3"/>
    <n v="13713"/>
    <n v="15.9"/>
    <x v="1"/>
    <x v="0"/>
    <x v="0"/>
    <x v="2"/>
    <n v="82656"/>
    <x v="0"/>
    <n v="0.15"/>
    <n v="0.94"/>
    <n v="15893.37"/>
    <n v="0"/>
    <n v="14588.297872340427"/>
    <n v="6888"/>
    <n v="1033.2"/>
    <n v="43"/>
    <n v="2180.3700000000008"/>
  </r>
  <r>
    <x v="262"/>
    <d v="2022-11-17T00:00:00"/>
    <s v="B0263"/>
    <x v="0"/>
    <n v="3719"/>
    <n v="24.6"/>
    <x v="0"/>
    <x v="0"/>
    <x v="4"/>
    <x v="3"/>
    <n v="47375"/>
    <x v="1"/>
    <n v="0.38"/>
    <n v="0.71"/>
    <n v="4633.87"/>
    <n v="0"/>
    <n v="5238.0281690140846"/>
    <n v="3947.9166666666665"/>
    <n v="1500.2083333333333"/>
    <n v="40"/>
    <n v="914.86999999999989"/>
  </r>
  <r>
    <x v="263"/>
    <d v="2022-09-18T00:00:00"/>
    <s v="B0264"/>
    <x v="4"/>
    <n v="23890"/>
    <n v="9.5"/>
    <x v="1"/>
    <x v="0"/>
    <x v="0"/>
    <x v="1"/>
    <n v="144019"/>
    <x v="2"/>
    <n v="0.15"/>
    <n v="0.86"/>
    <n v="26159.55"/>
    <n v="0"/>
    <n v="27779.069767441862"/>
    <n v="12001.583333333334"/>
    <n v="1800.2375"/>
    <n v="42"/>
    <n v="2269.5499999999993"/>
  </r>
  <r>
    <x v="264"/>
    <d v="2023-05-04T00:00:00"/>
    <s v="B0265"/>
    <x v="5"/>
    <n v="12700"/>
    <n v="13.1"/>
    <x v="0"/>
    <x v="1"/>
    <x v="4"/>
    <x v="2"/>
    <n v="95206"/>
    <x v="1"/>
    <n v="0.5"/>
    <n v="0.68"/>
    <n v="1313.12"/>
    <n v="0"/>
    <n v="18676.470588235294"/>
    <n v="7933.833333333333"/>
    <n v="3966.9166666666665"/>
    <n v="34"/>
    <n v="-11386.880000000001"/>
  </r>
  <r>
    <x v="265"/>
    <d v="2023-08-20T00:00:00"/>
    <s v="B0266"/>
    <x v="4"/>
    <n v="37509"/>
    <n v="15.9"/>
    <x v="0"/>
    <x v="0"/>
    <x v="4"/>
    <x v="3"/>
    <n v="126462"/>
    <x v="2"/>
    <n v="0.17"/>
    <n v="0.69"/>
    <n v="43472.93"/>
    <n v="0"/>
    <n v="54360.869565217392"/>
    <n v="10538.5"/>
    <n v="1791.5450000000001"/>
    <n v="30"/>
    <n v="5963.93"/>
  </r>
  <r>
    <x v="266"/>
    <d v="2021-06-04T00:00:00"/>
    <s v="B0267"/>
    <x v="5"/>
    <n v="37766"/>
    <n v="20.8"/>
    <x v="0"/>
    <x v="0"/>
    <x v="1"/>
    <x v="3"/>
    <n v="66607"/>
    <x v="1"/>
    <n v="0.34"/>
    <n v="0.67"/>
    <n v="45621.33"/>
    <n v="0"/>
    <n v="56367.164179104475"/>
    <n v="5550.583333333333"/>
    <n v="1887.1983333333333"/>
    <n v="57"/>
    <n v="7855.3300000000017"/>
  </r>
  <r>
    <x v="267"/>
    <d v="2022-05-05T00:00:00"/>
    <s v="B0268"/>
    <x v="9"/>
    <n v="27705"/>
    <n v="16"/>
    <x v="0"/>
    <x v="0"/>
    <x v="0"/>
    <x v="4"/>
    <n v="113178"/>
    <x v="2"/>
    <n v="0.26"/>
    <n v="0.82"/>
    <n v="32137.8"/>
    <n v="0"/>
    <n v="33786.585365853658"/>
    <n v="9431.5"/>
    <n v="2452.19"/>
    <n v="46"/>
    <n v="4432.7999999999993"/>
  </r>
  <r>
    <x v="268"/>
    <d v="2023-02-24T00:00:00"/>
    <s v="B0269"/>
    <x v="0"/>
    <n v="19787"/>
    <n v="17.3"/>
    <x v="1"/>
    <x v="0"/>
    <x v="5"/>
    <x v="3"/>
    <n v="53993"/>
    <x v="0"/>
    <n v="0.15"/>
    <n v="0.75"/>
    <n v="23210.15"/>
    <n v="0"/>
    <n v="26382.666666666668"/>
    <n v="4499.416666666667"/>
    <n v="674.91250000000002"/>
    <n v="36"/>
    <n v="3423.1500000000015"/>
  </r>
  <r>
    <x v="269"/>
    <d v="2021-09-03T00:00:00"/>
    <s v="B0270"/>
    <x v="9"/>
    <n v="27588"/>
    <n v="9.5"/>
    <x v="1"/>
    <x v="3"/>
    <x v="5"/>
    <x v="2"/>
    <n v="74386"/>
    <x v="0"/>
    <n v="0.11"/>
    <n v="0.92"/>
    <n v="7479.55"/>
    <n v="6127.76"/>
    <n v="29986.956521739128"/>
    <n v="6198.833333333333"/>
    <n v="681.87166666666667"/>
    <n v="54"/>
    <n v="-13980.689999999999"/>
  </r>
  <r>
    <x v="270"/>
    <d v="2023-11-29T00:00:00"/>
    <s v="B0271"/>
    <x v="9"/>
    <n v="27123"/>
    <n v="21.9"/>
    <x v="0"/>
    <x v="0"/>
    <x v="5"/>
    <x v="0"/>
    <n v="76287"/>
    <x v="0"/>
    <n v="0.35"/>
    <n v="0.61"/>
    <n v="33062.94"/>
    <n v="0"/>
    <n v="44463.934426229513"/>
    <n v="6357.25"/>
    <n v="2225.0374999999999"/>
    <n v="27"/>
    <n v="5939.9400000000023"/>
  </r>
  <r>
    <x v="271"/>
    <d v="2023-01-29T00:00:00"/>
    <s v="B0272"/>
    <x v="8"/>
    <n v="34062"/>
    <n v="13.6"/>
    <x v="1"/>
    <x v="3"/>
    <x v="1"/>
    <x v="2"/>
    <n v="116724"/>
    <x v="1"/>
    <n v="0.42"/>
    <n v="0.55000000000000004"/>
    <n v="12667.87"/>
    <n v="12334.49"/>
    <n v="61930.909090909088"/>
    <n v="9727"/>
    <n v="4085.3399999999997"/>
    <n v="37"/>
    <n v="-9059.64"/>
  </r>
  <r>
    <x v="272"/>
    <d v="2022-06-22T00:00:00"/>
    <s v="B0273"/>
    <x v="7"/>
    <n v="11177"/>
    <n v="7.8"/>
    <x v="1"/>
    <x v="0"/>
    <x v="4"/>
    <x v="1"/>
    <n v="128132"/>
    <x v="1"/>
    <n v="0.44"/>
    <n v="0.68"/>
    <n v="12048.81"/>
    <n v="0"/>
    <n v="16436.764705882353"/>
    <n v="10677.666666666666"/>
    <n v="4698.1733333333332"/>
    <n v="44"/>
    <n v="871.80999999999949"/>
  </r>
  <r>
    <x v="273"/>
    <d v="2023-07-10T00:00:00"/>
    <s v="B0274"/>
    <x v="6"/>
    <n v="22727"/>
    <n v="18.3"/>
    <x v="1"/>
    <x v="1"/>
    <x v="2"/>
    <x v="3"/>
    <n v="123308"/>
    <x v="1"/>
    <n v="0.28999999999999998"/>
    <n v="0.78"/>
    <n v="9155.07"/>
    <n v="0"/>
    <n v="29137.179487179485"/>
    <n v="10275.666666666666"/>
    <n v="2979.9433333333332"/>
    <n v="32"/>
    <n v="-13571.93"/>
  </r>
  <r>
    <x v="274"/>
    <d v="2022-02-12T00:00:00"/>
    <s v="B0275"/>
    <x v="1"/>
    <n v="31220"/>
    <n v="9.3000000000000007"/>
    <x v="1"/>
    <x v="0"/>
    <x v="5"/>
    <x v="3"/>
    <n v="126393"/>
    <x v="0"/>
    <n v="0.41"/>
    <n v="0.89"/>
    <n v="34123.46"/>
    <n v="0"/>
    <n v="35078.651685393255"/>
    <n v="10532.75"/>
    <n v="4318.4274999999998"/>
    <n v="49"/>
    <n v="2903.4599999999991"/>
  </r>
  <r>
    <x v="275"/>
    <d v="2022-06-09T00:00:00"/>
    <s v="B0276"/>
    <x v="4"/>
    <n v="10882"/>
    <n v="7"/>
    <x v="1"/>
    <x v="1"/>
    <x v="5"/>
    <x v="3"/>
    <n v="106312"/>
    <x v="2"/>
    <n v="0.37"/>
    <n v="0.66"/>
    <n v="3592.5"/>
    <n v="0"/>
    <n v="16487.878787878788"/>
    <n v="8859.3333333333339"/>
    <n v="3277.9533333333334"/>
    <n v="45"/>
    <n v="-7289.5"/>
  </r>
  <r>
    <x v="276"/>
    <d v="2023-04-08T00:00:00"/>
    <s v="B0277"/>
    <x v="3"/>
    <n v="2136"/>
    <n v="22.2"/>
    <x v="0"/>
    <x v="0"/>
    <x v="6"/>
    <x v="3"/>
    <n v="128371"/>
    <x v="0"/>
    <n v="0.39"/>
    <n v="0.79"/>
    <n v="2610.19"/>
    <n v="0"/>
    <n v="2703.7974683544303"/>
    <n v="10697.583333333334"/>
    <n v="4172.0575000000008"/>
    <n v="35"/>
    <n v="474.19000000000005"/>
  </r>
  <r>
    <x v="277"/>
    <d v="2023-06-22T00:00:00"/>
    <s v="B0278"/>
    <x v="5"/>
    <n v="35832"/>
    <n v="14.2"/>
    <x v="0"/>
    <x v="0"/>
    <x v="4"/>
    <x v="4"/>
    <n v="105324"/>
    <x v="0"/>
    <n v="0.3"/>
    <n v="0.66"/>
    <n v="40920.14"/>
    <n v="0"/>
    <n v="54290.909090909088"/>
    <n v="8777"/>
    <n v="2633.1"/>
    <n v="32"/>
    <n v="5088.1399999999994"/>
  </r>
  <r>
    <x v="278"/>
    <d v="2021-02-05T00:00:00"/>
    <s v="B0279"/>
    <x v="9"/>
    <n v="32966"/>
    <n v="20"/>
    <x v="0"/>
    <x v="1"/>
    <x v="0"/>
    <x v="4"/>
    <n v="101196"/>
    <x v="2"/>
    <n v="0.35"/>
    <n v="0.78"/>
    <n v="6322.07"/>
    <n v="0"/>
    <n v="42264.102564102563"/>
    <n v="8433"/>
    <n v="2951.5499999999997"/>
    <n v="61"/>
    <n v="-26643.93"/>
  </r>
  <r>
    <x v="279"/>
    <d v="2022-11-16T00:00:00"/>
    <s v="B0280"/>
    <x v="7"/>
    <n v="8009"/>
    <n v="10.8"/>
    <x v="0"/>
    <x v="1"/>
    <x v="1"/>
    <x v="0"/>
    <n v="100014"/>
    <x v="2"/>
    <n v="0.42"/>
    <n v="0.9"/>
    <n v="2353.41"/>
    <n v="0"/>
    <n v="8898.8888888888887"/>
    <n v="8334.5"/>
    <n v="3500.49"/>
    <n v="40"/>
    <n v="-5655.59"/>
  </r>
  <r>
    <x v="280"/>
    <d v="2021-01-20T00:00:00"/>
    <s v="B0281"/>
    <x v="9"/>
    <n v="13987"/>
    <n v="20.7"/>
    <x v="1"/>
    <x v="0"/>
    <x v="5"/>
    <x v="3"/>
    <n v="38210"/>
    <x v="2"/>
    <n v="0.26"/>
    <n v="0.6"/>
    <n v="16882.310000000001"/>
    <n v="0"/>
    <n v="23311.666666666668"/>
    <n v="3184.1666666666665"/>
    <n v="827.88333333333333"/>
    <n v="61"/>
    <n v="2895.3100000000013"/>
  </r>
  <r>
    <x v="281"/>
    <d v="2021-11-17T00:00:00"/>
    <s v="B0282"/>
    <x v="0"/>
    <n v="38311"/>
    <n v="7.2"/>
    <x v="1"/>
    <x v="0"/>
    <x v="2"/>
    <x v="1"/>
    <n v="40922"/>
    <x v="2"/>
    <n v="0.42"/>
    <n v="0.68"/>
    <n v="41069.39"/>
    <n v="0"/>
    <n v="56339.705882352937"/>
    <n v="3410.1666666666665"/>
    <n v="1432.27"/>
    <n v="52"/>
    <n v="2758.3899999999994"/>
  </r>
  <r>
    <x v="282"/>
    <d v="2022-05-27T00:00:00"/>
    <s v="B0283"/>
    <x v="8"/>
    <n v="32575"/>
    <n v="12.1"/>
    <x v="0"/>
    <x v="0"/>
    <x v="3"/>
    <x v="0"/>
    <n v="66289"/>
    <x v="0"/>
    <n v="0.34"/>
    <n v="0.95"/>
    <n v="36516.57"/>
    <n v="0"/>
    <n v="34289.473684210527"/>
    <n v="5524.083333333333"/>
    <n v="1878.1883333333333"/>
    <n v="45"/>
    <n v="3941.5699999999997"/>
  </r>
  <r>
    <x v="283"/>
    <d v="2022-02-04T00:00:00"/>
    <s v="B0284"/>
    <x v="3"/>
    <n v="2007"/>
    <n v="24.6"/>
    <x v="1"/>
    <x v="1"/>
    <x v="4"/>
    <x v="3"/>
    <n v="63340"/>
    <x v="1"/>
    <n v="0.17"/>
    <n v="0.89"/>
    <n v="182.76"/>
    <n v="0"/>
    <n v="2255.0561797752807"/>
    <n v="5278.333333333333"/>
    <n v="897.31666666666672"/>
    <n v="49"/>
    <n v="-1824.24"/>
  </r>
  <r>
    <x v="284"/>
    <d v="2022-10-16T00:00:00"/>
    <s v="B0285"/>
    <x v="6"/>
    <n v="6445"/>
    <n v="20.9"/>
    <x v="1"/>
    <x v="0"/>
    <x v="4"/>
    <x v="4"/>
    <n v="69850"/>
    <x v="0"/>
    <n v="0.11"/>
    <n v="0.75"/>
    <n v="7792"/>
    <n v="0"/>
    <n v="8593.3333333333339"/>
    <n v="5820.833333333333"/>
    <n v="640.29166666666663"/>
    <n v="41"/>
    <n v="1347"/>
  </r>
  <r>
    <x v="285"/>
    <d v="2023-08-30T00:00:00"/>
    <s v="B0286"/>
    <x v="0"/>
    <n v="11706"/>
    <n v="14.9"/>
    <x v="0"/>
    <x v="0"/>
    <x v="4"/>
    <x v="1"/>
    <n v="86984"/>
    <x v="2"/>
    <n v="0.25"/>
    <n v="0.73"/>
    <n v="13450.19"/>
    <n v="0"/>
    <n v="16035.616438356165"/>
    <n v="7248.666666666667"/>
    <n v="1812.1666666666667"/>
    <n v="30"/>
    <n v="1744.1900000000005"/>
  </r>
  <r>
    <x v="286"/>
    <d v="2022-04-16T00:00:00"/>
    <s v="B0287"/>
    <x v="2"/>
    <n v="30257"/>
    <n v="11.8"/>
    <x v="1"/>
    <x v="1"/>
    <x v="4"/>
    <x v="0"/>
    <n v="133699"/>
    <x v="1"/>
    <n v="0.32"/>
    <n v="0.63"/>
    <n v="10757.13"/>
    <n v="0"/>
    <n v="48026.984126984127"/>
    <n v="11141.583333333334"/>
    <n v="3565.3066666666668"/>
    <n v="47"/>
    <n v="-19499.870000000003"/>
  </r>
  <r>
    <x v="287"/>
    <d v="2023-04-14T00:00:00"/>
    <s v="B0288"/>
    <x v="3"/>
    <n v="22736"/>
    <n v="22.4"/>
    <x v="0"/>
    <x v="3"/>
    <x v="6"/>
    <x v="1"/>
    <n v="143711"/>
    <x v="1"/>
    <n v="0.44"/>
    <n v="0.73"/>
    <n v="7219.33"/>
    <n v="8265.9599999999991"/>
    <n v="31145.205479452055"/>
    <n v="11975.916666666666"/>
    <n v="5269.4033333333327"/>
    <n v="35"/>
    <n v="-7250.7100000000009"/>
  </r>
  <r>
    <x v="288"/>
    <d v="2022-12-28T00:00:00"/>
    <s v="B0289"/>
    <x v="9"/>
    <n v="14281"/>
    <n v="15.9"/>
    <x v="0"/>
    <x v="1"/>
    <x v="1"/>
    <x v="3"/>
    <n v="114178"/>
    <x v="0"/>
    <n v="0.15"/>
    <n v="0.88"/>
    <n v="6915.78"/>
    <n v="0"/>
    <n v="16228.40909090909"/>
    <n v="9514.8333333333339"/>
    <n v="1427.2250000000001"/>
    <n v="38"/>
    <n v="-7365.22"/>
  </r>
  <r>
    <x v="289"/>
    <d v="2023-05-04T00:00:00"/>
    <s v="B0290"/>
    <x v="0"/>
    <n v="2435"/>
    <n v="20.2"/>
    <x v="1"/>
    <x v="1"/>
    <x v="5"/>
    <x v="2"/>
    <n v="41094"/>
    <x v="0"/>
    <n v="0.42"/>
    <n v="0.81"/>
    <n v="407.08"/>
    <n v="0"/>
    <n v="3006.1728395061727"/>
    <n v="3424.5"/>
    <n v="1438.29"/>
    <n v="34"/>
    <n v="-2027.92"/>
  </r>
  <r>
    <x v="290"/>
    <d v="2021-02-20T00:00:00"/>
    <s v="B0291"/>
    <x v="6"/>
    <n v="34339"/>
    <n v="20.100000000000001"/>
    <x v="1"/>
    <x v="1"/>
    <x v="0"/>
    <x v="1"/>
    <n v="117959"/>
    <x v="0"/>
    <n v="0.45"/>
    <n v="0.63"/>
    <n v="2002.15"/>
    <n v="0"/>
    <n v="54506.349206349209"/>
    <n v="9829.9166666666661"/>
    <n v="4423.4624999999996"/>
    <n v="60"/>
    <n v="-32336.85"/>
  </r>
  <r>
    <x v="291"/>
    <d v="2022-07-29T00:00:00"/>
    <s v="B0292"/>
    <x v="7"/>
    <n v="36150"/>
    <n v="5.4"/>
    <x v="0"/>
    <x v="0"/>
    <x v="4"/>
    <x v="1"/>
    <n v="63418"/>
    <x v="1"/>
    <n v="0.16"/>
    <n v="0.59"/>
    <n v="38102.1"/>
    <n v="0"/>
    <n v="61271.186440677971"/>
    <n v="5284.833333333333"/>
    <n v="845.57333333333327"/>
    <n v="43"/>
    <n v="1952.0999999999985"/>
  </r>
  <r>
    <x v="292"/>
    <d v="2021-05-30T00:00:00"/>
    <s v="B0293"/>
    <x v="7"/>
    <n v="26821"/>
    <n v="7.5"/>
    <x v="0"/>
    <x v="0"/>
    <x v="4"/>
    <x v="4"/>
    <n v="35741"/>
    <x v="1"/>
    <n v="0.44"/>
    <n v="0.62"/>
    <n v="28832.57"/>
    <n v="0"/>
    <n v="43259.677419354841"/>
    <n v="2978.4166666666665"/>
    <n v="1310.5033333333333"/>
    <n v="57"/>
    <n v="2011.5699999999997"/>
  </r>
  <r>
    <x v="293"/>
    <d v="2021-11-10T00:00:00"/>
    <s v="B0294"/>
    <x v="4"/>
    <n v="27660"/>
    <n v="18.2"/>
    <x v="1"/>
    <x v="1"/>
    <x v="6"/>
    <x v="3"/>
    <n v="141585"/>
    <x v="1"/>
    <n v="0.5"/>
    <n v="0.57999999999999996"/>
    <n v="8174.19"/>
    <n v="0"/>
    <n v="47689.655172413797"/>
    <n v="11798.75"/>
    <n v="5899.375"/>
    <n v="52"/>
    <n v="-19485.810000000001"/>
  </r>
  <r>
    <x v="294"/>
    <d v="2022-07-24T00:00:00"/>
    <s v="B0295"/>
    <x v="6"/>
    <n v="6084"/>
    <n v="8.1999999999999993"/>
    <x v="0"/>
    <x v="0"/>
    <x v="0"/>
    <x v="1"/>
    <n v="102374"/>
    <x v="2"/>
    <n v="0.39"/>
    <n v="0.54"/>
    <n v="6582.89"/>
    <n v="0"/>
    <n v="11266.666666666666"/>
    <n v="8531.1666666666661"/>
    <n v="3327.1549999999997"/>
    <n v="43"/>
    <n v="498.89000000000033"/>
  </r>
  <r>
    <x v="295"/>
    <d v="2021-11-01T00:00:00"/>
    <s v="B0296"/>
    <x v="7"/>
    <n v="17661"/>
    <n v="10.1"/>
    <x v="0"/>
    <x v="3"/>
    <x v="6"/>
    <x v="3"/>
    <n v="147275"/>
    <x v="2"/>
    <n v="0.41"/>
    <n v="0.69"/>
    <n v="5510.89"/>
    <n v="3016.27"/>
    <n v="25595.652173913044"/>
    <n v="12272.916666666666"/>
    <n v="5031.895833333333"/>
    <n v="52"/>
    <n v="-9133.84"/>
  </r>
  <r>
    <x v="296"/>
    <d v="2022-11-13T00:00:00"/>
    <s v="B0297"/>
    <x v="0"/>
    <n v="14507"/>
    <n v="23.9"/>
    <x v="0"/>
    <x v="0"/>
    <x v="1"/>
    <x v="4"/>
    <n v="98798"/>
    <x v="0"/>
    <n v="0.5"/>
    <n v="0.55000000000000004"/>
    <n v="17974.169999999998"/>
    <n v="0"/>
    <n v="26376.363636363636"/>
    <n v="8233.1666666666661"/>
    <n v="4116.583333333333"/>
    <n v="40"/>
    <n v="3467.1699999999983"/>
  </r>
  <r>
    <x v="297"/>
    <d v="2023-04-18T00:00:00"/>
    <s v="B0298"/>
    <x v="4"/>
    <n v="8059"/>
    <n v="16.2"/>
    <x v="1"/>
    <x v="0"/>
    <x v="1"/>
    <x v="3"/>
    <n v="146026"/>
    <x v="1"/>
    <n v="0.34"/>
    <n v="0.57999999999999996"/>
    <n v="9364.56"/>
    <n v="0"/>
    <n v="13894.827586206897"/>
    <n v="12168.833333333334"/>
    <n v="4137.4033333333336"/>
    <n v="35"/>
    <n v="1305.5599999999995"/>
  </r>
  <r>
    <x v="298"/>
    <d v="2023-12-14T00:00:00"/>
    <s v="B0299"/>
    <x v="7"/>
    <n v="19271"/>
    <n v="20"/>
    <x v="0"/>
    <x v="3"/>
    <x v="4"/>
    <x v="4"/>
    <n v="100532"/>
    <x v="0"/>
    <n v="0.22"/>
    <n v="0.75"/>
    <n v="6496.68"/>
    <n v="2294.8000000000002"/>
    <n v="25694.666666666668"/>
    <n v="8377.6666666666661"/>
    <n v="1843.0866666666666"/>
    <n v="27"/>
    <n v="-10479.52"/>
  </r>
  <r>
    <x v="299"/>
    <d v="2023-09-30T00:00:00"/>
    <s v="B0300"/>
    <x v="3"/>
    <n v="8491"/>
    <n v="16.2"/>
    <x v="1"/>
    <x v="1"/>
    <x v="1"/>
    <x v="4"/>
    <n v="140130"/>
    <x v="1"/>
    <n v="0.44"/>
    <n v="0.56999999999999995"/>
    <n v="1164.82"/>
    <n v="0"/>
    <n v="14896.491228070177"/>
    <n v="11677.5"/>
    <n v="5138.1000000000004"/>
    <n v="29"/>
    <n v="-7326.18"/>
  </r>
  <r>
    <x v="300"/>
    <d v="2022-03-20T00:00:00"/>
    <s v="B0301"/>
    <x v="8"/>
    <n v="15859"/>
    <n v="16.100000000000001"/>
    <x v="0"/>
    <x v="0"/>
    <x v="5"/>
    <x v="0"/>
    <n v="52164"/>
    <x v="0"/>
    <n v="0.35"/>
    <n v="0.53"/>
    <n v="18412.3"/>
    <n v="0"/>
    <n v="29922.641509433961"/>
    <n v="4347"/>
    <n v="1521.4499999999998"/>
    <n v="47"/>
    <n v="2553.2999999999993"/>
  </r>
  <r>
    <x v="301"/>
    <d v="2022-09-05T00:00:00"/>
    <s v="B0302"/>
    <x v="2"/>
    <n v="9073"/>
    <n v="6.9"/>
    <x v="1"/>
    <x v="1"/>
    <x v="1"/>
    <x v="3"/>
    <n v="65595"/>
    <x v="2"/>
    <n v="0.33"/>
    <n v="0.64"/>
    <n v="1522.35"/>
    <n v="0"/>
    <n v="14176.5625"/>
    <n v="5466.25"/>
    <n v="1803.8625000000002"/>
    <n v="42"/>
    <n v="-7550.65"/>
  </r>
  <r>
    <x v="302"/>
    <d v="2023-09-20T00:00:00"/>
    <s v="B0303"/>
    <x v="6"/>
    <n v="10077"/>
    <n v="11.9"/>
    <x v="0"/>
    <x v="1"/>
    <x v="4"/>
    <x v="2"/>
    <n v="60257"/>
    <x v="1"/>
    <n v="0.2"/>
    <n v="0.6"/>
    <n v="2828.27"/>
    <n v="0"/>
    <n v="16795"/>
    <n v="5021.416666666667"/>
    <n v="1004.2833333333334"/>
    <n v="29"/>
    <n v="-7248.73"/>
  </r>
  <r>
    <x v="303"/>
    <d v="2021-09-21T00:00:00"/>
    <s v="B0304"/>
    <x v="0"/>
    <n v="21953"/>
    <n v="10.6"/>
    <x v="1"/>
    <x v="0"/>
    <x v="5"/>
    <x v="0"/>
    <n v="44211"/>
    <x v="2"/>
    <n v="0.4"/>
    <n v="0.73"/>
    <n v="24280.02"/>
    <n v="0"/>
    <n v="30072.60273972603"/>
    <n v="3684.25"/>
    <n v="1473.7"/>
    <n v="53"/>
    <n v="2327.0200000000004"/>
  </r>
  <r>
    <x v="304"/>
    <d v="2023-12-13T00:00:00"/>
    <s v="B0305"/>
    <x v="5"/>
    <n v="12383"/>
    <n v="12.8"/>
    <x v="1"/>
    <x v="0"/>
    <x v="1"/>
    <x v="4"/>
    <n v="125989"/>
    <x v="1"/>
    <n v="0.13"/>
    <n v="0.55000000000000004"/>
    <n v="13968.02"/>
    <n v="0"/>
    <n v="22514.545454545452"/>
    <n v="10499.083333333334"/>
    <n v="1364.8808333333334"/>
    <n v="27"/>
    <n v="1585.0200000000004"/>
  </r>
  <r>
    <x v="305"/>
    <d v="2023-10-01T00:00:00"/>
    <s v="B0306"/>
    <x v="9"/>
    <n v="3353"/>
    <n v="21"/>
    <x v="1"/>
    <x v="1"/>
    <x v="0"/>
    <x v="2"/>
    <n v="35232"/>
    <x v="0"/>
    <n v="0.47"/>
    <n v="0.84"/>
    <n v="666.48"/>
    <n v="0"/>
    <n v="3991.666666666667"/>
    <n v="2936"/>
    <n v="1379.9199999999998"/>
    <n v="29"/>
    <n v="-2686.52"/>
  </r>
  <r>
    <x v="306"/>
    <d v="2021-01-05T00:00:00"/>
    <s v="B0307"/>
    <x v="0"/>
    <n v="24821"/>
    <n v="12.4"/>
    <x v="0"/>
    <x v="3"/>
    <x v="4"/>
    <x v="1"/>
    <n v="97753"/>
    <x v="1"/>
    <n v="0.23"/>
    <n v="0.91"/>
    <n v="8889.73"/>
    <n v="5061.28"/>
    <n v="27275.824175824175"/>
    <n v="8146.083333333333"/>
    <n v="1873.5991666666666"/>
    <n v="62"/>
    <n v="-10869.990000000002"/>
  </r>
  <r>
    <x v="307"/>
    <d v="2023-02-13T00:00:00"/>
    <s v="B0308"/>
    <x v="7"/>
    <n v="38567"/>
    <n v="14"/>
    <x v="0"/>
    <x v="0"/>
    <x v="3"/>
    <x v="1"/>
    <n v="82691"/>
    <x v="2"/>
    <n v="0.15"/>
    <n v="0.83"/>
    <n v="43966.38"/>
    <n v="0"/>
    <n v="46466.265060240963"/>
    <n v="6890.916666666667"/>
    <n v="1033.6375"/>
    <n v="37"/>
    <n v="5399.3799999999974"/>
  </r>
  <r>
    <x v="308"/>
    <d v="2023-05-27T00:00:00"/>
    <s v="B0309"/>
    <x v="0"/>
    <n v="25860"/>
    <n v="12.9"/>
    <x v="0"/>
    <x v="3"/>
    <x v="0"/>
    <x v="0"/>
    <n v="119765"/>
    <x v="1"/>
    <n v="0.28000000000000003"/>
    <n v="0.74"/>
    <n v="6261.43"/>
    <n v="5898.18"/>
    <n v="34945.945945945947"/>
    <n v="9980.4166666666661"/>
    <n v="2794.5166666666669"/>
    <n v="33"/>
    <n v="-13700.39"/>
  </r>
  <r>
    <x v="309"/>
    <d v="2023-09-19T00:00:00"/>
    <s v="B0310"/>
    <x v="5"/>
    <n v="22195"/>
    <n v="6.9"/>
    <x v="1"/>
    <x v="3"/>
    <x v="4"/>
    <x v="2"/>
    <n v="109768"/>
    <x v="0"/>
    <n v="0.12"/>
    <n v="0.89"/>
    <n v="7543.49"/>
    <n v="5682.73"/>
    <n v="24938.20224719101"/>
    <n v="9147.3333333333339"/>
    <n v="1097.68"/>
    <n v="30"/>
    <n v="-8968.7800000000007"/>
  </r>
  <r>
    <x v="310"/>
    <d v="2023-06-03T00:00:00"/>
    <s v="B0311"/>
    <x v="9"/>
    <n v="12939"/>
    <n v="13.8"/>
    <x v="0"/>
    <x v="0"/>
    <x v="4"/>
    <x v="3"/>
    <n v="55613"/>
    <x v="1"/>
    <n v="0.37"/>
    <n v="0.81"/>
    <n v="14724.58"/>
    <n v="0"/>
    <n v="15974.074074074073"/>
    <n v="4634.416666666667"/>
    <n v="1714.7341666666669"/>
    <n v="33"/>
    <n v="1785.58"/>
  </r>
  <r>
    <x v="311"/>
    <d v="2021-02-16T00:00:00"/>
    <s v="B0312"/>
    <x v="4"/>
    <n v="26338"/>
    <n v="8.9"/>
    <x v="1"/>
    <x v="1"/>
    <x v="1"/>
    <x v="2"/>
    <n v="44026"/>
    <x v="2"/>
    <n v="0.46"/>
    <n v="0.5"/>
    <n v="8198.4599999999991"/>
    <n v="0"/>
    <n v="52676"/>
    <n v="3668.8333333333335"/>
    <n v="1687.6633333333334"/>
    <n v="61"/>
    <n v="-18139.54"/>
  </r>
  <r>
    <x v="312"/>
    <d v="2023-05-17T00:00:00"/>
    <s v="B0313"/>
    <x v="7"/>
    <n v="22730"/>
    <n v="8.6999999999999993"/>
    <x v="0"/>
    <x v="0"/>
    <x v="0"/>
    <x v="0"/>
    <n v="83535"/>
    <x v="0"/>
    <n v="0.43"/>
    <n v="0.68"/>
    <n v="24707.51"/>
    <n v="0"/>
    <n v="33426.470588235294"/>
    <n v="6961.25"/>
    <n v="2993.3375000000001"/>
    <n v="34"/>
    <n v="1977.5099999999984"/>
  </r>
  <r>
    <x v="313"/>
    <d v="2023-04-03T00:00:00"/>
    <s v="B0314"/>
    <x v="1"/>
    <n v="22427"/>
    <n v="6.9"/>
    <x v="1"/>
    <x v="0"/>
    <x v="5"/>
    <x v="3"/>
    <n v="124090"/>
    <x v="2"/>
    <n v="0.15"/>
    <n v="0.88"/>
    <n v="23974.46"/>
    <n v="0"/>
    <n v="25485.227272727272"/>
    <n v="10340.833333333334"/>
    <n v="1551.125"/>
    <n v="35"/>
    <n v="1547.4599999999991"/>
  </r>
  <r>
    <x v="314"/>
    <d v="2023-07-25T00:00:00"/>
    <s v="B0315"/>
    <x v="7"/>
    <n v="36196"/>
    <n v="12.1"/>
    <x v="1"/>
    <x v="1"/>
    <x v="0"/>
    <x v="3"/>
    <n v="60908"/>
    <x v="1"/>
    <n v="0.15"/>
    <n v="0.66"/>
    <n v="14402.05"/>
    <n v="0"/>
    <n v="54842.42424242424"/>
    <n v="5075.666666666667"/>
    <n v="761.35"/>
    <n v="31"/>
    <n v="-21793.95"/>
  </r>
  <r>
    <x v="315"/>
    <d v="2022-10-18T00:00:00"/>
    <s v="B0316"/>
    <x v="2"/>
    <n v="28083"/>
    <n v="20.100000000000001"/>
    <x v="1"/>
    <x v="3"/>
    <x v="0"/>
    <x v="1"/>
    <n v="82113"/>
    <x v="2"/>
    <n v="0.43"/>
    <n v="0.52"/>
    <n v="5611.04"/>
    <n v="8802.11"/>
    <n v="54005.769230769227"/>
    <n v="6842.75"/>
    <n v="2942.3825000000002"/>
    <n v="41"/>
    <n v="-13669.849999999999"/>
  </r>
  <r>
    <x v="316"/>
    <d v="2021-09-26T00:00:00"/>
    <s v="B0317"/>
    <x v="1"/>
    <n v="22510"/>
    <n v="10.5"/>
    <x v="0"/>
    <x v="1"/>
    <x v="1"/>
    <x v="2"/>
    <n v="49610"/>
    <x v="1"/>
    <n v="0.47"/>
    <n v="0.84"/>
    <n v="9547.33"/>
    <n v="0"/>
    <n v="26797.61904761905"/>
    <n v="4134.166666666667"/>
    <n v="1943.0583333333334"/>
    <n v="53"/>
    <n v="-12962.67"/>
  </r>
  <r>
    <x v="317"/>
    <d v="2022-01-05T00:00:00"/>
    <s v="B0318"/>
    <x v="2"/>
    <n v="8813"/>
    <n v="11.2"/>
    <x v="0"/>
    <x v="0"/>
    <x v="4"/>
    <x v="3"/>
    <n v="76646"/>
    <x v="0"/>
    <n v="0.28000000000000003"/>
    <n v="0.86"/>
    <n v="9800.06"/>
    <n v="0"/>
    <n v="10247.674418604651"/>
    <n v="6387.166666666667"/>
    <n v="1788.406666666667"/>
    <n v="50"/>
    <n v="987.05999999999949"/>
  </r>
  <r>
    <x v="318"/>
    <d v="2022-09-28T00:00:00"/>
    <s v="B0319"/>
    <x v="5"/>
    <n v="32598"/>
    <n v="17.899999999999999"/>
    <x v="0"/>
    <x v="0"/>
    <x v="3"/>
    <x v="0"/>
    <n v="135141"/>
    <x v="2"/>
    <n v="0.3"/>
    <n v="0.56999999999999995"/>
    <n v="38433.040000000001"/>
    <n v="0"/>
    <n v="57189.473684210534"/>
    <n v="11261.75"/>
    <n v="3378.5250000000001"/>
    <n v="41"/>
    <n v="5835.0400000000009"/>
  </r>
  <r>
    <x v="319"/>
    <d v="2022-10-19T00:00:00"/>
    <s v="B0320"/>
    <x v="6"/>
    <n v="28570"/>
    <n v="8.9"/>
    <x v="1"/>
    <x v="0"/>
    <x v="0"/>
    <x v="1"/>
    <n v="93185"/>
    <x v="2"/>
    <n v="0.23"/>
    <n v="0.74"/>
    <n v="31112.73"/>
    <n v="0"/>
    <n v="38608.108108108107"/>
    <n v="7765.416666666667"/>
    <n v="1786.0458333333336"/>
    <n v="41"/>
    <n v="2542.7299999999996"/>
  </r>
  <r>
    <x v="320"/>
    <d v="2021-04-30T00:00:00"/>
    <s v="B0321"/>
    <x v="9"/>
    <n v="28082"/>
    <n v="22.9"/>
    <x v="1"/>
    <x v="0"/>
    <x v="4"/>
    <x v="3"/>
    <n v="102567"/>
    <x v="1"/>
    <n v="0.46"/>
    <n v="0.59"/>
    <n v="34512.78"/>
    <n v="0"/>
    <n v="47596.610169491527"/>
    <n v="8547.25"/>
    <n v="3931.7350000000001"/>
    <n v="58"/>
    <n v="6430.7799999999988"/>
  </r>
  <r>
    <x v="321"/>
    <d v="2023-04-11T00:00:00"/>
    <s v="B0322"/>
    <x v="8"/>
    <n v="30241"/>
    <n v="15.4"/>
    <x v="0"/>
    <x v="0"/>
    <x v="0"/>
    <x v="2"/>
    <n v="77574"/>
    <x v="2"/>
    <n v="0.36"/>
    <n v="0.82"/>
    <n v="34898.11"/>
    <n v="0"/>
    <n v="36879.268292682929"/>
    <n v="6464.5"/>
    <n v="2327.2199999999998"/>
    <n v="35"/>
    <n v="4657.1100000000006"/>
  </r>
  <r>
    <x v="322"/>
    <d v="2023-12-18T00:00:00"/>
    <s v="B0323"/>
    <x v="4"/>
    <n v="31678"/>
    <n v="14"/>
    <x v="0"/>
    <x v="1"/>
    <x v="4"/>
    <x v="1"/>
    <n v="121051"/>
    <x v="2"/>
    <n v="0.22"/>
    <n v="0.62"/>
    <n v="5497.96"/>
    <n v="0"/>
    <n v="51093.548387096773"/>
    <n v="10087.583333333334"/>
    <n v="2219.2683333333334"/>
    <n v="27"/>
    <n v="-26180.04"/>
  </r>
  <r>
    <x v="323"/>
    <d v="2023-01-11T00:00:00"/>
    <s v="B0324"/>
    <x v="8"/>
    <n v="12745"/>
    <n v="16.2"/>
    <x v="0"/>
    <x v="0"/>
    <x v="3"/>
    <x v="2"/>
    <n v="132020"/>
    <x v="0"/>
    <n v="0.22"/>
    <n v="0.64"/>
    <n v="14809.69"/>
    <n v="0"/>
    <n v="19914.0625"/>
    <n v="11001.666666666666"/>
    <n v="2420.3666666666663"/>
    <n v="38"/>
    <n v="2064.6900000000005"/>
  </r>
  <r>
    <x v="324"/>
    <d v="2021-04-27T00:00:00"/>
    <s v="B0325"/>
    <x v="3"/>
    <n v="27029"/>
    <n v="8.3000000000000007"/>
    <x v="1"/>
    <x v="1"/>
    <x v="2"/>
    <x v="2"/>
    <n v="66182"/>
    <x v="1"/>
    <n v="0.46"/>
    <n v="0.88"/>
    <n v="7993.68"/>
    <n v="0"/>
    <n v="30714.772727272728"/>
    <n v="5515.166666666667"/>
    <n v="2536.9766666666669"/>
    <n v="58"/>
    <n v="-19035.32"/>
  </r>
  <r>
    <x v="325"/>
    <d v="2023-03-02T00:00:00"/>
    <s v="B0326"/>
    <x v="3"/>
    <n v="14025"/>
    <n v="17.3"/>
    <x v="1"/>
    <x v="0"/>
    <x v="0"/>
    <x v="2"/>
    <n v="146136"/>
    <x v="1"/>
    <n v="0.11"/>
    <n v="0.71"/>
    <n v="16451.32"/>
    <n v="0"/>
    <n v="19753.521126760563"/>
    <n v="12178"/>
    <n v="1339.58"/>
    <n v="36"/>
    <n v="2426.3199999999997"/>
  </r>
  <r>
    <x v="326"/>
    <d v="2023-10-10T00:00:00"/>
    <s v="B0327"/>
    <x v="5"/>
    <n v="37124"/>
    <n v="12.3"/>
    <x v="1"/>
    <x v="1"/>
    <x v="5"/>
    <x v="1"/>
    <n v="30570"/>
    <x v="0"/>
    <n v="0.23"/>
    <n v="0.8"/>
    <n v="5431.36"/>
    <n v="0"/>
    <n v="46405"/>
    <n v="2547.5"/>
    <n v="585.92500000000007"/>
    <n v="29"/>
    <n v="-31692.639999999999"/>
  </r>
  <r>
    <x v="327"/>
    <d v="2023-12-18T00:00:00"/>
    <s v="B0328"/>
    <x v="6"/>
    <n v="15288"/>
    <n v="22.9"/>
    <x v="1"/>
    <x v="0"/>
    <x v="1"/>
    <x v="3"/>
    <n v="127790"/>
    <x v="0"/>
    <n v="0.32"/>
    <n v="0.68"/>
    <n v="18788.95"/>
    <n v="0"/>
    <n v="22482.352941176468"/>
    <n v="10649.166666666666"/>
    <n v="3407.7333333333331"/>
    <n v="27"/>
    <n v="3500.9500000000007"/>
  </r>
  <r>
    <x v="328"/>
    <d v="2022-09-26T00:00:00"/>
    <s v="B0329"/>
    <x v="3"/>
    <n v="24650"/>
    <n v="8.4"/>
    <x v="1"/>
    <x v="0"/>
    <x v="0"/>
    <x v="4"/>
    <n v="49288"/>
    <x v="1"/>
    <n v="0.16"/>
    <n v="0.63"/>
    <n v="26720.6"/>
    <n v="0"/>
    <n v="39126.984126984127"/>
    <n v="4107.333333333333"/>
    <n v="657.17333333333329"/>
    <n v="41"/>
    <n v="2070.5999999999985"/>
  </r>
  <r>
    <x v="329"/>
    <d v="2022-05-28T00:00:00"/>
    <s v="B0330"/>
    <x v="7"/>
    <n v="7540"/>
    <n v="15.1"/>
    <x v="0"/>
    <x v="0"/>
    <x v="0"/>
    <x v="3"/>
    <n v="108824"/>
    <x v="0"/>
    <n v="0.14000000000000001"/>
    <n v="0.78"/>
    <n v="8678.5400000000009"/>
    <n v="0"/>
    <n v="9666.6666666666661"/>
    <n v="9068.6666666666661"/>
    <n v="1269.6133333333335"/>
    <n v="45"/>
    <n v="1138.5400000000009"/>
  </r>
  <r>
    <x v="330"/>
    <d v="2023-03-13T00:00:00"/>
    <s v="B0331"/>
    <x v="0"/>
    <n v="33232"/>
    <n v="17"/>
    <x v="1"/>
    <x v="0"/>
    <x v="2"/>
    <x v="1"/>
    <n v="59877"/>
    <x v="0"/>
    <n v="0.43"/>
    <n v="0.56999999999999995"/>
    <n v="38881.440000000002"/>
    <n v="0"/>
    <n v="58301.754385964916"/>
    <n v="4989.75"/>
    <n v="2145.5924999999997"/>
    <n v="36"/>
    <n v="5649.4400000000023"/>
  </r>
  <r>
    <x v="331"/>
    <d v="2022-07-14T00:00:00"/>
    <s v="B0332"/>
    <x v="2"/>
    <n v="17422"/>
    <n v="5.7"/>
    <x v="1"/>
    <x v="3"/>
    <x v="3"/>
    <x v="4"/>
    <n v="114425"/>
    <x v="0"/>
    <n v="0.46"/>
    <n v="0.67"/>
    <n v="4227.59"/>
    <n v="6267.26"/>
    <n v="26002.985074626864"/>
    <n v="9535.4166666666661"/>
    <n v="4386.291666666667"/>
    <n v="44"/>
    <n v="-6927.15"/>
  </r>
  <r>
    <x v="332"/>
    <d v="2022-05-03T00:00:00"/>
    <s v="B0333"/>
    <x v="3"/>
    <n v="4342"/>
    <n v="12.3"/>
    <x v="1"/>
    <x v="0"/>
    <x v="3"/>
    <x v="4"/>
    <n v="30917"/>
    <x v="1"/>
    <n v="0.43"/>
    <n v="0.59"/>
    <n v="4876.07"/>
    <n v="0"/>
    <n v="7359.3220338983056"/>
    <n v="2576.4166666666665"/>
    <n v="1107.8591666666666"/>
    <n v="46"/>
    <n v="534.06999999999971"/>
  </r>
  <r>
    <x v="333"/>
    <d v="2023-06-16T00:00:00"/>
    <s v="B0334"/>
    <x v="5"/>
    <n v="36612"/>
    <n v="19.7"/>
    <x v="1"/>
    <x v="1"/>
    <x v="6"/>
    <x v="4"/>
    <n v="105602"/>
    <x v="0"/>
    <n v="0.46"/>
    <n v="0.81"/>
    <n v="7072.66"/>
    <n v="0"/>
    <n v="45200"/>
    <n v="8800.1666666666661"/>
    <n v="4048.0766666666664"/>
    <n v="33"/>
    <n v="-29539.34"/>
  </r>
  <r>
    <x v="334"/>
    <d v="2022-12-05T00:00:00"/>
    <s v="B0335"/>
    <x v="2"/>
    <n v="11396"/>
    <n v="21.4"/>
    <x v="1"/>
    <x v="2"/>
    <x v="1"/>
    <x v="0"/>
    <n v="125040"/>
    <x v="2"/>
    <n v="0.32"/>
    <n v="0.92"/>
    <n v="0"/>
    <n v="0"/>
    <n v="12386.95652173913"/>
    <n v="10420"/>
    <n v="3334.4"/>
    <n v="39"/>
    <n v="-11396"/>
  </r>
  <r>
    <x v="335"/>
    <d v="2022-08-04T00:00:00"/>
    <s v="B0336"/>
    <x v="7"/>
    <n v="18482"/>
    <n v="11.3"/>
    <x v="0"/>
    <x v="1"/>
    <x v="4"/>
    <x v="1"/>
    <n v="94575"/>
    <x v="2"/>
    <n v="0.42"/>
    <n v="0.95"/>
    <n v="3142.25"/>
    <n v="0"/>
    <n v="19454.736842105263"/>
    <n v="7881.25"/>
    <n v="3310.125"/>
    <n v="43"/>
    <n v="-15339.75"/>
  </r>
  <r>
    <x v="336"/>
    <d v="2023-03-01T00:00:00"/>
    <s v="B0337"/>
    <x v="6"/>
    <n v="24411"/>
    <n v="21"/>
    <x v="1"/>
    <x v="0"/>
    <x v="0"/>
    <x v="0"/>
    <n v="102518"/>
    <x v="1"/>
    <n v="0.25"/>
    <n v="0.7"/>
    <n v="29537.31"/>
    <n v="0"/>
    <n v="34872.857142857145"/>
    <n v="8543.1666666666661"/>
    <n v="2135.7916666666665"/>
    <n v="36"/>
    <n v="5126.3100000000013"/>
  </r>
  <r>
    <x v="337"/>
    <d v="2023-05-11T00:00:00"/>
    <s v="B0338"/>
    <x v="9"/>
    <n v="14261"/>
    <n v="24.4"/>
    <x v="1"/>
    <x v="3"/>
    <x v="0"/>
    <x v="4"/>
    <n v="69104"/>
    <x v="0"/>
    <n v="0.37"/>
    <n v="0.61"/>
    <n v="5563.15"/>
    <n v="3087.26"/>
    <n v="23378.688524590165"/>
    <n v="5758.666666666667"/>
    <n v="2130.7066666666669"/>
    <n v="34"/>
    <n v="-5610.59"/>
  </r>
  <r>
    <x v="338"/>
    <d v="2021-09-04T00:00:00"/>
    <s v="B0339"/>
    <x v="8"/>
    <n v="4093"/>
    <n v="22.1"/>
    <x v="1"/>
    <x v="0"/>
    <x v="1"/>
    <x v="0"/>
    <n v="48062"/>
    <x v="2"/>
    <n v="0.5"/>
    <n v="0.7"/>
    <n v="4997.55"/>
    <n v="0"/>
    <n v="5847.1428571428578"/>
    <n v="4005.1666666666665"/>
    <n v="2002.5833333333333"/>
    <n v="54"/>
    <n v="904.55000000000018"/>
  </r>
  <r>
    <x v="339"/>
    <d v="2021-06-03T00:00:00"/>
    <s v="B0340"/>
    <x v="7"/>
    <n v="12722"/>
    <n v="7.4"/>
    <x v="0"/>
    <x v="0"/>
    <x v="6"/>
    <x v="0"/>
    <n v="46999"/>
    <x v="1"/>
    <n v="0.19"/>
    <n v="0.88"/>
    <n v="13663.43"/>
    <n v="0"/>
    <n v="14456.818181818182"/>
    <n v="3916.5833333333335"/>
    <n v="744.15083333333337"/>
    <n v="57"/>
    <n v="941.43000000000029"/>
  </r>
  <r>
    <x v="340"/>
    <d v="2023-09-24T00:00:00"/>
    <s v="B0341"/>
    <x v="4"/>
    <n v="23042"/>
    <n v="19.8"/>
    <x v="0"/>
    <x v="3"/>
    <x v="6"/>
    <x v="1"/>
    <n v="91845"/>
    <x v="2"/>
    <n v="0.26"/>
    <n v="0.59"/>
    <n v="3410.73"/>
    <n v="2992.03"/>
    <n v="39054.237288135599"/>
    <n v="7653.75"/>
    <n v="1989.9750000000001"/>
    <n v="29"/>
    <n v="-16639.239999999998"/>
  </r>
  <r>
    <x v="341"/>
    <d v="2022-11-28T00:00:00"/>
    <s v="B0342"/>
    <x v="1"/>
    <n v="29087"/>
    <n v="11.4"/>
    <x v="0"/>
    <x v="1"/>
    <x v="2"/>
    <x v="2"/>
    <n v="39941"/>
    <x v="0"/>
    <n v="0.28999999999999998"/>
    <n v="0.93"/>
    <n v="11759.78"/>
    <n v="0"/>
    <n v="31276.344086021505"/>
    <n v="3328.4166666666665"/>
    <n v="965.24083333333317"/>
    <n v="39"/>
    <n v="-17327.22"/>
  </r>
  <r>
    <x v="342"/>
    <d v="2023-12-29T00:00:00"/>
    <s v="B0343"/>
    <x v="5"/>
    <n v="33347"/>
    <n v="24.8"/>
    <x v="1"/>
    <x v="0"/>
    <x v="6"/>
    <x v="0"/>
    <n v="91169"/>
    <x v="1"/>
    <n v="0.16"/>
    <n v="0.65"/>
    <n v="41617.06"/>
    <n v="0"/>
    <n v="51303.076923076922"/>
    <n v="7597.416666666667"/>
    <n v="1215.5866666666668"/>
    <n v="26"/>
    <n v="8270.0599999999977"/>
  </r>
  <r>
    <x v="343"/>
    <d v="2023-12-07T00:00:00"/>
    <s v="B0344"/>
    <x v="8"/>
    <n v="34756"/>
    <n v="14.7"/>
    <x v="0"/>
    <x v="0"/>
    <x v="3"/>
    <x v="0"/>
    <n v="53470"/>
    <x v="2"/>
    <n v="0.13"/>
    <n v="0.94"/>
    <n v="39865.129999999997"/>
    <n v="0"/>
    <n v="36974.468085106382"/>
    <n v="4455.833333333333"/>
    <n v="579.25833333333333"/>
    <n v="27"/>
    <n v="5109.1299999999974"/>
  </r>
  <r>
    <x v="344"/>
    <d v="2023-10-06T00:00:00"/>
    <s v="B0345"/>
    <x v="4"/>
    <n v="17335"/>
    <n v="7.4"/>
    <x v="1"/>
    <x v="0"/>
    <x v="0"/>
    <x v="4"/>
    <n v="140684"/>
    <x v="1"/>
    <n v="0.43"/>
    <n v="0.88"/>
    <n v="18617.79"/>
    <n v="0"/>
    <n v="19698.863636363636"/>
    <n v="11723.666666666666"/>
    <n v="5041.1766666666663"/>
    <n v="29"/>
    <n v="1282.7900000000009"/>
  </r>
  <r>
    <x v="345"/>
    <d v="2021-04-04T00:00:00"/>
    <s v="B0346"/>
    <x v="9"/>
    <n v="29602"/>
    <n v="19.5"/>
    <x v="1"/>
    <x v="0"/>
    <x v="1"/>
    <x v="4"/>
    <n v="89821"/>
    <x v="2"/>
    <n v="0.49"/>
    <n v="0.86"/>
    <n v="35374.39"/>
    <n v="0"/>
    <n v="34420.930232558138"/>
    <n v="7485.083333333333"/>
    <n v="3667.6908333333331"/>
    <n v="59"/>
    <n v="5772.3899999999994"/>
  </r>
  <r>
    <x v="346"/>
    <d v="2023-08-16T00:00:00"/>
    <s v="B0347"/>
    <x v="4"/>
    <n v="35450"/>
    <n v="11.5"/>
    <x v="0"/>
    <x v="0"/>
    <x v="5"/>
    <x v="4"/>
    <n v="116669"/>
    <x v="2"/>
    <n v="0.26"/>
    <n v="0.64"/>
    <n v="39526.75"/>
    <n v="0"/>
    <n v="55390.625"/>
    <n v="9722.4166666666661"/>
    <n v="2527.8283333333334"/>
    <n v="31"/>
    <n v="4076.75"/>
  </r>
  <r>
    <x v="347"/>
    <d v="2023-10-09T00:00:00"/>
    <s v="B0348"/>
    <x v="6"/>
    <n v="33196"/>
    <n v="24.9"/>
    <x v="1"/>
    <x v="2"/>
    <x v="4"/>
    <x v="3"/>
    <n v="148193"/>
    <x v="0"/>
    <n v="0.14000000000000001"/>
    <n v="0.5"/>
    <n v="0"/>
    <n v="0"/>
    <n v="66392"/>
    <n v="12349.416666666666"/>
    <n v="1728.9183333333335"/>
    <n v="29"/>
    <n v="-33196"/>
  </r>
  <r>
    <x v="348"/>
    <d v="2022-03-29T00:00:00"/>
    <s v="B0349"/>
    <x v="1"/>
    <n v="6626"/>
    <n v="24.6"/>
    <x v="1"/>
    <x v="3"/>
    <x v="3"/>
    <x v="0"/>
    <n v="74435"/>
    <x v="0"/>
    <n v="0.13"/>
    <n v="0.67"/>
    <n v="2618.92"/>
    <n v="2120.33"/>
    <n v="9889.552238805969"/>
    <n v="6202.916666666667"/>
    <n v="806.37916666666672"/>
    <n v="47"/>
    <n v="-1886.75"/>
  </r>
  <r>
    <x v="349"/>
    <d v="2023-07-01T00:00:00"/>
    <s v="B0350"/>
    <x v="2"/>
    <n v="8424"/>
    <n v="18.100000000000001"/>
    <x v="1"/>
    <x v="3"/>
    <x v="2"/>
    <x v="4"/>
    <n v="34529"/>
    <x v="2"/>
    <n v="0.46"/>
    <n v="0.64"/>
    <n v="892.7"/>
    <n v="1919.6"/>
    <n v="13162.5"/>
    <n v="2877.4166666666665"/>
    <n v="1323.6116666666667"/>
    <n v="32"/>
    <n v="-5611.7"/>
  </r>
  <r>
    <x v="350"/>
    <d v="2021-08-06T00:00:00"/>
    <s v="B0351"/>
    <x v="8"/>
    <n v="13857"/>
    <n v="7.6"/>
    <x v="0"/>
    <x v="0"/>
    <x v="0"/>
    <x v="1"/>
    <n v="113055"/>
    <x v="1"/>
    <n v="0.28999999999999998"/>
    <n v="0.52"/>
    <n v="14910.13"/>
    <n v="0"/>
    <n v="26648.076923076922"/>
    <n v="9421.25"/>
    <n v="2732.1624999999999"/>
    <n v="55"/>
    <n v="1053.1299999999992"/>
  </r>
  <r>
    <x v="351"/>
    <d v="2022-04-19T00:00:00"/>
    <s v="B0352"/>
    <x v="1"/>
    <n v="20982"/>
    <n v="18.7"/>
    <x v="1"/>
    <x v="1"/>
    <x v="0"/>
    <x v="3"/>
    <n v="42192"/>
    <x v="1"/>
    <n v="0.23"/>
    <n v="0.73"/>
    <n v="7649.25"/>
    <n v="0"/>
    <n v="28742.465753424658"/>
    <n v="3516"/>
    <n v="808.68000000000006"/>
    <n v="47"/>
    <n v="-13332.75"/>
  </r>
  <r>
    <x v="352"/>
    <d v="2022-03-08T00:00:00"/>
    <s v="B0353"/>
    <x v="0"/>
    <n v="12425"/>
    <n v="6.9"/>
    <x v="1"/>
    <x v="3"/>
    <x v="1"/>
    <x v="2"/>
    <n v="104102"/>
    <x v="0"/>
    <n v="0.28999999999999998"/>
    <n v="0.68"/>
    <n v="2185.23"/>
    <n v="5996.91"/>
    <n v="18272.058823529409"/>
    <n v="8675.1666666666661"/>
    <n v="2515.7983333333332"/>
    <n v="48"/>
    <n v="-4242.8600000000006"/>
  </r>
  <r>
    <x v="353"/>
    <d v="2021-12-07T00:00:00"/>
    <s v="B0354"/>
    <x v="7"/>
    <n v="2980"/>
    <n v="5.6"/>
    <x v="0"/>
    <x v="3"/>
    <x v="5"/>
    <x v="0"/>
    <n v="102762"/>
    <x v="2"/>
    <n v="0.23"/>
    <n v="0.79"/>
    <n v="334.2"/>
    <n v="420.5"/>
    <n v="3772.1518987341769"/>
    <n v="8563.5"/>
    <n v="1969.605"/>
    <n v="51"/>
    <n v="-2225.3000000000002"/>
  </r>
  <r>
    <x v="354"/>
    <d v="2022-07-05T00:00:00"/>
    <s v="B0355"/>
    <x v="0"/>
    <n v="27431"/>
    <n v="21.5"/>
    <x v="1"/>
    <x v="0"/>
    <x v="2"/>
    <x v="0"/>
    <n v="133466"/>
    <x v="0"/>
    <n v="0.3"/>
    <n v="0.78"/>
    <n v="33328.660000000003"/>
    <n v="0"/>
    <n v="35167.948717948719"/>
    <n v="11122.166666666666"/>
    <n v="3336.6499999999996"/>
    <n v="44"/>
    <n v="5897.6600000000035"/>
  </r>
  <r>
    <x v="355"/>
    <d v="2021-12-23T00:00:00"/>
    <s v="B0356"/>
    <x v="7"/>
    <n v="20440"/>
    <n v="9.1999999999999993"/>
    <x v="1"/>
    <x v="0"/>
    <x v="0"/>
    <x v="1"/>
    <n v="144894"/>
    <x v="2"/>
    <n v="0.44"/>
    <n v="0.55000000000000004"/>
    <n v="22320.48"/>
    <n v="0"/>
    <n v="37163.63636363636"/>
    <n v="12074.5"/>
    <n v="5312.78"/>
    <n v="50"/>
    <n v="1880.4799999999996"/>
  </r>
  <r>
    <x v="356"/>
    <d v="2021-01-23T00:00:00"/>
    <s v="B0357"/>
    <x v="6"/>
    <n v="18175"/>
    <n v="12.6"/>
    <x v="0"/>
    <x v="0"/>
    <x v="0"/>
    <x v="2"/>
    <n v="116795"/>
    <x v="2"/>
    <n v="0.34"/>
    <n v="0.94"/>
    <n v="20465.05"/>
    <n v="0"/>
    <n v="19335.106382978724"/>
    <n v="9732.9166666666661"/>
    <n v="3309.1916666666666"/>
    <n v="61"/>
    <n v="2290.0499999999993"/>
  </r>
  <r>
    <x v="357"/>
    <d v="2022-06-06T00:00:00"/>
    <s v="B0358"/>
    <x v="1"/>
    <n v="27385"/>
    <n v="24.5"/>
    <x v="1"/>
    <x v="1"/>
    <x v="4"/>
    <x v="2"/>
    <n v="64087"/>
    <x v="0"/>
    <n v="0.38"/>
    <n v="0.57999999999999996"/>
    <n v="6334.16"/>
    <n v="0"/>
    <n v="47215.517241379312"/>
    <n v="5340.583333333333"/>
    <n v="2029.4216666666666"/>
    <n v="45"/>
    <n v="-21050.84"/>
  </r>
  <r>
    <x v="358"/>
    <d v="2023-03-13T00:00:00"/>
    <s v="B0359"/>
    <x v="9"/>
    <n v="39158"/>
    <n v="11.7"/>
    <x v="1"/>
    <x v="1"/>
    <x v="0"/>
    <x v="3"/>
    <n v="96677"/>
    <x v="1"/>
    <n v="0.25"/>
    <n v="0.7"/>
    <n v="18437.47"/>
    <n v="0"/>
    <n v="55940"/>
    <n v="8056.416666666667"/>
    <n v="2014.1041666666667"/>
    <n v="36"/>
    <n v="-20720.53"/>
  </r>
  <r>
    <x v="359"/>
    <d v="2023-02-01T00:00:00"/>
    <s v="B0360"/>
    <x v="3"/>
    <n v="24019"/>
    <n v="10.9"/>
    <x v="1"/>
    <x v="1"/>
    <x v="0"/>
    <x v="0"/>
    <n v="34627"/>
    <x v="0"/>
    <n v="0.4"/>
    <n v="0.72"/>
    <n v="1328.11"/>
    <n v="0"/>
    <n v="33359.722222222226"/>
    <n v="2885.5833333333335"/>
    <n v="1154.2333333333333"/>
    <n v="37"/>
    <n v="-22690.89"/>
  </r>
  <r>
    <x v="360"/>
    <d v="2022-03-18T00:00:00"/>
    <s v="B0361"/>
    <x v="4"/>
    <n v="19639"/>
    <n v="23.4"/>
    <x v="1"/>
    <x v="0"/>
    <x v="2"/>
    <x v="4"/>
    <n v="86541"/>
    <x v="2"/>
    <n v="0.37"/>
    <n v="0.87"/>
    <n v="24234.53"/>
    <n v="0"/>
    <n v="22573.563218390806"/>
    <n v="7211.75"/>
    <n v="2668.3474999999999"/>
    <n v="48"/>
    <n v="4595.5299999999988"/>
  </r>
  <r>
    <x v="361"/>
    <d v="2023-02-08T00:00:00"/>
    <s v="B0362"/>
    <x v="3"/>
    <n v="20994"/>
    <n v="7.2"/>
    <x v="1"/>
    <x v="0"/>
    <x v="4"/>
    <x v="1"/>
    <n v="142805"/>
    <x v="0"/>
    <n v="0.15"/>
    <n v="0.54"/>
    <n v="22505.57"/>
    <n v="0"/>
    <n v="38877.777777777774"/>
    <n v="11900.416666666666"/>
    <n v="1785.0624999999998"/>
    <n v="37"/>
    <n v="1511.5699999999997"/>
  </r>
  <r>
    <x v="362"/>
    <d v="2023-10-13T00:00:00"/>
    <s v="B0363"/>
    <x v="1"/>
    <n v="35375"/>
    <n v="20.2"/>
    <x v="0"/>
    <x v="0"/>
    <x v="4"/>
    <x v="1"/>
    <n v="98226"/>
    <x v="1"/>
    <n v="0.33"/>
    <n v="0.69"/>
    <n v="42520.75"/>
    <n v="0"/>
    <n v="51268.115942028991"/>
    <n v="8185.5"/>
    <n v="2701.2150000000001"/>
    <n v="29"/>
    <n v="7145.75"/>
  </r>
  <r>
    <x v="363"/>
    <d v="2022-05-31T00:00:00"/>
    <s v="B0364"/>
    <x v="0"/>
    <n v="22563"/>
    <n v="24.8"/>
    <x v="0"/>
    <x v="0"/>
    <x v="0"/>
    <x v="1"/>
    <n v="135627"/>
    <x v="1"/>
    <n v="0.2"/>
    <n v="0.78"/>
    <n v="28158.62"/>
    <n v="0"/>
    <n v="28926.923076923074"/>
    <n v="11302.25"/>
    <n v="2260.4500000000003"/>
    <n v="45"/>
    <n v="5595.619999999999"/>
  </r>
  <r>
    <x v="364"/>
    <d v="2023-11-06T00:00:00"/>
    <s v="B0365"/>
    <x v="3"/>
    <n v="6776"/>
    <n v="23"/>
    <x v="0"/>
    <x v="0"/>
    <x v="4"/>
    <x v="1"/>
    <n v="33255"/>
    <x v="2"/>
    <n v="0.42"/>
    <n v="0.6"/>
    <n v="8334.48"/>
    <n v="0"/>
    <n v="11293.333333333334"/>
    <n v="2771.25"/>
    <n v="1163.925"/>
    <n v="28"/>
    <n v="1558.4799999999996"/>
  </r>
  <r>
    <x v="365"/>
    <d v="2023-03-03T00:00:00"/>
    <s v="B0366"/>
    <x v="5"/>
    <n v="37444"/>
    <n v="18"/>
    <x v="0"/>
    <x v="1"/>
    <x v="6"/>
    <x v="4"/>
    <n v="87433"/>
    <x v="0"/>
    <n v="0.27"/>
    <n v="0.78"/>
    <n v="11777.96"/>
    <n v="0"/>
    <n v="48005.128205128203"/>
    <n v="7286.083333333333"/>
    <n v="1967.2425000000001"/>
    <n v="36"/>
    <n v="-25666.04"/>
  </r>
  <r>
    <x v="366"/>
    <d v="2021-12-02T00:00:00"/>
    <s v="B0367"/>
    <x v="3"/>
    <n v="4380"/>
    <n v="11.3"/>
    <x v="1"/>
    <x v="0"/>
    <x v="5"/>
    <x v="4"/>
    <n v="35213"/>
    <x v="1"/>
    <n v="0.5"/>
    <n v="0.92"/>
    <n v="4874.9399999999996"/>
    <n v="0"/>
    <n v="4760.869565217391"/>
    <n v="2934.4166666666665"/>
    <n v="1467.2083333333333"/>
    <n v="51"/>
    <n v="494.9399999999996"/>
  </r>
  <r>
    <x v="367"/>
    <d v="2021-09-15T00:00:00"/>
    <s v="B0368"/>
    <x v="7"/>
    <n v="9711"/>
    <n v="10.1"/>
    <x v="1"/>
    <x v="1"/>
    <x v="1"/>
    <x v="3"/>
    <n v="132412"/>
    <x v="0"/>
    <n v="0.14000000000000001"/>
    <n v="0.95"/>
    <n v="2676.63"/>
    <n v="0"/>
    <n v="10222.105263157895"/>
    <n v="11034.333333333334"/>
    <n v="1544.8066666666668"/>
    <n v="54"/>
    <n v="-7034.37"/>
  </r>
  <r>
    <x v="368"/>
    <d v="2022-05-12T00:00:00"/>
    <s v="B0369"/>
    <x v="5"/>
    <n v="9782"/>
    <n v="21.4"/>
    <x v="1"/>
    <x v="0"/>
    <x v="4"/>
    <x v="0"/>
    <n v="49404"/>
    <x v="1"/>
    <n v="0.41"/>
    <n v="0.51"/>
    <n v="11875.35"/>
    <n v="0"/>
    <n v="19180.392156862745"/>
    <n v="4117"/>
    <n v="1687.9699999999998"/>
    <n v="46"/>
    <n v="2093.3500000000004"/>
  </r>
  <r>
    <x v="369"/>
    <d v="2023-06-15T00:00:00"/>
    <s v="B0370"/>
    <x v="8"/>
    <n v="18434"/>
    <n v="22.6"/>
    <x v="1"/>
    <x v="0"/>
    <x v="4"/>
    <x v="4"/>
    <n v="146545"/>
    <x v="2"/>
    <n v="0.37"/>
    <n v="0.61"/>
    <n v="22600.080000000002"/>
    <n v="0"/>
    <n v="30219.672131147541"/>
    <n v="12212.083333333334"/>
    <n v="4518.4708333333338"/>
    <n v="33"/>
    <n v="4166.0800000000017"/>
  </r>
  <r>
    <x v="370"/>
    <d v="2021-06-09T00:00:00"/>
    <s v="B0371"/>
    <x v="3"/>
    <n v="21017"/>
    <n v="15.5"/>
    <x v="1"/>
    <x v="0"/>
    <x v="5"/>
    <x v="3"/>
    <n v="55380"/>
    <x v="2"/>
    <n v="0.41"/>
    <n v="0.64"/>
    <n v="24274.639999999999"/>
    <n v="0"/>
    <n v="32839.0625"/>
    <n v="4615"/>
    <n v="1892.1499999999999"/>
    <n v="57"/>
    <n v="3257.6399999999994"/>
  </r>
  <r>
    <x v="371"/>
    <d v="2023-05-02T00:00:00"/>
    <s v="B0372"/>
    <x v="5"/>
    <n v="31707"/>
    <n v="9.9"/>
    <x v="0"/>
    <x v="3"/>
    <x v="4"/>
    <x v="2"/>
    <n v="121056"/>
    <x v="0"/>
    <n v="0.22"/>
    <n v="0.68"/>
    <n v="11478.42"/>
    <n v="11714.89"/>
    <n v="46627.941176470587"/>
    <n v="10088"/>
    <n v="2219.36"/>
    <n v="34"/>
    <n v="-8513.6900000000023"/>
  </r>
  <r>
    <x v="372"/>
    <d v="2022-11-21T00:00:00"/>
    <s v="B0373"/>
    <x v="1"/>
    <n v="18343"/>
    <n v="7.3"/>
    <x v="0"/>
    <x v="0"/>
    <x v="6"/>
    <x v="0"/>
    <n v="49173"/>
    <x v="2"/>
    <n v="0.3"/>
    <n v="0.61"/>
    <n v="19682.04"/>
    <n v="0"/>
    <n v="30070.491803278688"/>
    <n v="4097.75"/>
    <n v="1229.325"/>
    <n v="39"/>
    <n v="1339.0400000000009"/>
  </r>
  <r>
    <x v="373"/>
    <d v="2022-01-15T00:00:00"/>
    <s v="B0374"/>
    <x v="4"/>
    <n v="39827"/>
    <n v="6.7"/>
    <x v="1"/>
    <x v="1"/>
    <x v="4"/>
    <x v="4"/>
    <n v="83027"/>
    <x v="1"/>
    <n v="0.42"/>
    <n v="0.59"/>
    <n v="3496.84"/>
    <n v="0"/>
    <n v="67503.389830508473"/>
    <n v="6918.916666666667"/>
    <n v="2905.9450000000002"/>
    <n v="50"/>
    <n v="-36330.160000000003"/>
  </r>
  <r>
    <x v="374"/>
    <d v="2023-08-15T00:00:00"/>
    <s v="B0375"/>
    <x v="8"/>
    <n v="6655"/>
    <n v="19.399999999999999"/>
    <x v="1"/>
    <x v="0"/>
    <x v="1"/>
    <x v="2"/>
    <n v="53989"/>
    <x v="2"/>
    <n v="0.19"/>
    <n v="0.93"/>
    <n v="7946.07"/>
    <n v="0"/>
    <n v="7155.9139784946237"/>
    <n v="4499.083333333333"/>
    <n v="854.82583333333332"/>
    <n v="31"/>
    <n v="1291.0699999999997"/>
  </r>
  <r>
    <x v="375"/>
    <d v="2022-11-22T00:00:00"/>
    <s v="B0376"/>
    <x v="9"/>
    <n v="16251"/>
    <n v="13.4"/>
    <x v="1"/>
    <x v="3"/>
    <x v="0"/>
    <x v="3"/>
    <n v="138106"/>
    <x v="1"/>
    <n v="0.19"/>
    <n v="0.91"/>
    <n v="4947.74"/>
    <n v="1644.69"/>
    <n v="17858.241758241758"/>
    <n v="11508.833333333334"/>
    <n v="2186.6783333333333"/>
    <n v="39"/>
    <n v="-9658.57"/>
  </r>
  <r>
    <x v="376"/>
    <d v="2023-12-03T00:00:00"/>
    <s v="B0377"/>
    <x v="9"/>
    <n v="1526"/>
    <n v="23.1"/>
    <x v="0"/>
    <x v="1"/>
    <x v="1"/>
    <x v="4"/>
    <n v="54519"/>
    <x v="1"/>
    <n v="0.32"/>
    <n v="0.52"/>
    <n v="543.33000000000004"/>
    <n v="0"/>
    <n v="2934.6153846153843"/>
    <n v="4543.25"/>
    <n v="1453.84"/>
    <n v="27"/>
    <n v="-982.67"/>
  </r>
  <r>
    <x v="377"/>
    <d v="2021-10-12T00:00:00"/>
    <s v="B0378"/>
    <x v="6"/>
    <n v="4224"/>
    <n v="19.8"/>
    <x v="1"/>
    <x v="0"/>
    <x v="2"/>
    <x v="4"/>
    <n v="52439"/>
    <x v="2"/>
    <n v="0.31"/>
    <n v="0.65"/>
    <n v="5060.3500000000004"/>
    <n v="0"/>
    <n v="6498.4615384615381"/>
    <n v="4369.916666666667"/>
    <n v="1354.6741666666667"/>
    <n v="53"/>
    <n v="836.35000000000036"/>
  </r>
  <r>
    <x v="378"/>
    <d v="2022-02-01T00:00:00"/>
    <s v="B0379"/>
    <x v="3"/>
    <n v="12536"/>
    <n v="8.8000000000000007"/>
    <x v="1"/>
    <x v="1"/>
    <x v="5"/>
    <x v="2"/>
    <n v="148570"/>
    <x v="1"/>
    <n v="0.21"/>
    <n v="0.68"/>
    <n v="4401.21"/>
    <n v="0"/>
    <n v="18435.294117647056"/>
    <n v="12380.833333333334"/>
    <n v="2599.9749999999999"/>
    <n v="49"/>
    <n v="-8134.79"/>
  </r>
  <r>
    <x v="379"/>
    <d v="2021-01-12T00:00:00"/>
    <s v="B0380"/>
    <x v="4"/>
    <n v="29541"/>
    <n v="17.3"/>
    <x v="1"/>
    <x v="0"/>
    <x v="5"/>
    <x v="4"/>
    <n v="106949"/>
    <x v="1"/>
    <n v="0.22"/>
    <n v="0.61"/>
    <n v="34651.589999999997"/>
    <n v="0"/>
    <n v="48427.868852459018"/>
    <n v="8912.4166666666661"/>
    <n v="1960.7316666666666"/>
    <n v="62"/>
    <n v="5110.5899999999965"/>
  </r>
  <r>
    <x v="380"/>
    <d v="2022-05-14T00:00:00"/>
    <s v="B0381"/>
    <x v="2"/>
    <n v="14547"/>
    <n v="13.7"/>
    <x v="0"/>
    <x v="3"/>
    <x v="3"/>
    <x v="1"/>
    <n v="44995"/>
    <x v="0"/>
    <n v="0.21"/>
    <n v="0.78"/>
    <n v="5567.14"/>
    <n v="1935.32"/>
    <n v="18650"/>
    <n v="3749.5833333333335"/>
    <n v="787.41250000000002"/>
    <n v="46"/>
    <n v="-7044.54"/>
  </r>
  <r>
    <x v="381"/>
    <d v="2023-01-24T00:00:00"/>
    <s v="B0382"/>
    <x v="5"/>
    <n v="35531"/>
    <n v="16.5"/>
    <x v="1"/>
    <x v="0"/>
    <x v="5"/>
    <x v="4"/>
    <n v="53559"/>
    <x v="0"/>
    <n v="0.41"/>
    <n v="0.79"/>
    <n v="41393.620000000003"/>
    <n v="0"/>
    <n v="44975.949367088608"/>
    <n v="4463.25"/>
    <n v="1829.9324999999999"/>
    <n v="37"/>
    <n v="5862.6200000000026"/>
  </r>
  <r>
    <x v="382"/>
    <d v="2021-02-04T00:00:00"/>
    <s v="B0383"/>
    <x v="8"/>
    <n v="9712"/>
    <n v="19.8"/>
    <x v="0"/>
    <x v="0"/>
    <x v="4"/>
    <x v="0"/>
    <n v="140887"/>
    <x v="0"/>
    <n v="0.36"/>
    <n v="0.88"/>
    <n v="11634.98"/>
    <n v="0"/>
    <n v="11036.363636363636"/>
    <n v="11740.583333333334"/>
    <n v="4226.6099999999997"/>
    <n v="61"/>
    <n v="1922.9799999999996"/>
  </r>
  <r>
    <x v="383"/>
    <d v="2022-12-28T00:00:00"/>
    <s v="B0384"/>
    <x v="1"/>
    <n v="39565"/>
    <n v="21.1"/>
    <x v="0"/>
    <x v="1"/>
    <x v="4"/>
    <x v="2"/>
    <n v="119049"/>
    <x v="2"/>
    <n v="0.43"/>
    <n v="0.83"/>
    <n v="16632.71"/>
    <n v="0"/>
    <n v="47668.674698795185"/>
    <n v="9920.75"/>
    <n v="4265.9224999999997"/>
    <n v="38"/>
    <n v="-22932.29"/>
  </r>
  <r>
    <x v="384"/>
    <d v="2023-04-29T00:00:00"/>
    <s v="B0385"/>
    <x v="3"/>
    <n v="10208"/>
    <n v="21.9"/>
    <x v="0"/>
    <x v="1"/>
    <x v="1"/>
    <x v="0"/>
    <n v="35021"/>
    <x v="0"/>
    <n v="0.49"/>
    <n v="0.74"/>
    <n v="703.21"/>
    <n v="0"/>
    <n v="13794.594594594595"/>
    <n v="2918.4166666666665"/>
    <n v="1430.0241666666666"/>
    <n v="34"/>
    <n v="-9504.7900000000009"/>
  </r>
  <r>
    <x v="385"/>
    <d v="2021-03-31T00:00:00"/>
    <s v="B0386"/>
    <x v="1"/>
    <n v="6109"/>
    <n v="10.1"/>
    <x v="0"/>
    <x v="0"/>
    <x v="1"/>
    <x v="3"/>
    <n v="128000"/>
    <x v="1"/>
    <n v="0.28999999999999998"/>
    <n v="0.79"/>
    <n v="6726.01"/>
    <n v="0"/>
    <n v="7732.9113924050625"/>
    <n v="10666.666666666666"/>
    <n v="3093.333333333333"/>
    <n v="59"/>
    <n v="617.01000000000022"/>
  </r>
  <r>
    <x v="386"/>
    <d v="2023-02-15T00:00:00"/>
    <s v="B0387"/>
    <x v="2"/>
    <n v="36201"/>
    <n v="5.6"/>
    <x v="0"/>
    <x v="1"/>
    <x v="4"/>
    <x v="0"/>
    <n v="51119"/>
    <x v="2"/>
    <n v="0.13"/>
    <n v="0.62"/>
    <n v="9484.2000000000007"/>
    <n v="0"/>
    <n v="58388.709677419356"/>
    <n v="4259.916666666667"/>
    <n v="553.78916666666669"/>
    <n v="37"/>
    <n v="-26716.799999999999"/>
  </r>
  <r>
    <x v="387"/>
    <d v="2022-08-28T00:00:00"/>
    <s v="B0388"/>
    <x v="6"/>
    <n v="17967"/>
    <n v="19.8"/>
    <x v="0"/>
    <x v="0"/>
    <x v="4"/>
    <x v="1"/>
    <n v="81539"/>
    <x v="2"/>
    <n v="0.12"/>
    <n v="0.77"/>
    <n v="21524.47"/>
    <n v="0"/>
    <n v="23333.766233766233"/>
    <n v="6794.916666666667"/>
    <n v="815.39"/>
    <n v="42"/>
    <n v="3557.4700000000012"/>
  </r>
  <r>
    <x v="388"/>
    <d v="2023-08-28T00:00:00"/>
    <s v="B0389"/>
    <x v="2"/>
    <n v="30759"/>
    <n v="7.1"/>
    <x v="1"/>
    <x v="0"/>
    <x v="3"/>
    <x v="1"/>
    <n v="124835"/>
    <x v="2"/>
    <n v="0.22"/>
    <n v="0.72"/>
    <n v="32942.89"/>
    <n v="0"/>
    <n v="42720.833333333336"/>
    <n v="10402.916666666666"/>
    <n v="2288.6416666666664"/>
    <n v="30"/>
    <n v="2183.8899999999994"/>
  </r>
  <r>
    <x v="389"/>
    <d v="2023-10-19T00:00:00"/>
    <s v="B0390"/>
    <x v="7"/>
    <n v="21172"/>
    <n v="11.3"/>
    <x v="1"/>
    <x v="1"/>
    <x v="0"/>
    <x v="0"/>
    <n v="69350"/>
    <x v="2"/>
    <n v="0.47"/>
    <n v="0.56000000000000005"/>
    <n v="4850.0600000000004"/>
    <n v="0"/>
    <n v="37807.142857142855"/>
    <n v="5779.166666666667"/>
    <n v="2716.2083333333335"/>
    <n v="29"/>
    <n v="-16321.939999999999"/>
  </r>
  <r>
    <x v="390"/>
    <d v="2022-02-22T00:00:00"/>
    <s v="B0391"/>
    <x v="0"/>
    <n v="37935"/>
    <n v="5.0999999999999996"/>
    <x v="1"/>
    <x v="0"/>
    <x v="4"/>
    <x v="3"/>
    <n v="76223"/>
    <x v="1"/>
    <n v="0.31"/>
    <n v="0.61"/>
    <n v="39869.68"/>
    <n v="0"/>
    <n v="62188.524590163935"/>
    <n v="6351.916666666667"/>
    <n v="1969.0941666666668"/>
    <n v="48"/>
    <n v="1934.6800000000003"/>
  </r>
  <r>
    <x v="391"/>
    <d v="2021-04-25T00:00:00"/>
    <s v="B0392"/>
    <x v="8"/>
    <n v="27589"/>
    <n v="18.600000000000001"/>
    <x v="0"/>
    <x v="0"/>
    <x v="0"/>
    <x v="4"/>
    <n v="55517"/>
    <x v="1"/>
    <n v="0.21"/>
    <n v="0.63"/>
    <n v="32720.55"/>
    <n v="0"/>
    <n v="43792.063492063491"/>
    <n v="4626.416666666667"/>
    <n v="971.54750000000001"/>
    <n v="58"/>
    <n v="5131.5499999999993"/>
  </r>
  <r>
    <x v="392"/>
    <d v="2022-09-09T00:00:00"/>
    <s v="B0393"/>
    <x v="0"/>
    <n v="31015"/>
    <n v="8.3000000000000007"/>
    <x v="1"/>
    <x v="1"/>
    <x v="6"/>
    <x v="1"/>
    <n v="108653"/>
    <x v="0"/>
    <n v="0.26"/>
    <n v="0.92"/>
    <n v="5879.4"/>
    <n v="0"/>
    <n v="33711.956521739128"/>
    <n v="9054.4166666666661"/>
    <n v="2354.1483333333331"/>
    <n v="42"/>
    <n v="-25135.599999999999"/>
  </r>
  <r>
    <x v="393"/>
    <d v="2023-04-06T00:00:00"/>
    <s v="B0394"/>
    <x v="2"/>
    <n v="30009"/>
    <n v="18.100000000000001"/>
    <x v="0"/>
    <x v="0"/>
    <x v="0"/>
    <x v="0"/>
    <n v="52250"/>
    <x v="2"/>
    <n v="0.34"/>
    <n v="0.6"/>
    <n v="35440.629999999997"/>
    <n v="0"/>
    <n v="50015"/>
    <n v="4354.166666666667"/>
    <n v="1480.416666666667"/>
    <n v="35"/>
    <n v="5431.6299999999974"/>
  </r>
  <r>
    <x v="394"/>
    <d v="2022-02-17T00:00:00"/>
    <s v="B0395"/>
    <x v="6"/>
    <n v="18773"/>
    <n v="24.8"/>
    <x v="0"/>
    <x v="1"/>
    <x v="1"/>
    <x v="0"/>
    <n v="114486"/>
    <x v="0"/>
    <n v="0.36"/>
    <n v="0.63"/>
    <n v="4751.47"/>
    <n v="0"/>
    <n v="29798.4126984127"/>
    <n v="9540.5"/>
    <n v="3434.58"/>
    <n v="49"/>
    <n v="-14021.529999999999"/>
  </r>
  <r>
    <x v="395"/>
    <d v="2022-12-30T00:00:00"/>
    <s v="B0396"/>
    <x v="6"/>
    <n v="27143"/>
    <n v="6.5"/>
    <x v="0"/>
    <x v="0"/>
    <x v="0"/>
    <x v="0"/>
    <n v="112895"/>
    <x v="1"/>
    <n v="0.16"/>
    <n v="0.67"/>
    <n v="28907.3"/>
    <n v="0"/>
    <n v="40511.940298507463"/>
    <n v="9407.9166666666661"/>
    <n v="1505.2666666666667"/>
    <n v="38"/>
    <n v="1764.2999999999993"/>
  </r>
  <r>
    <x v="396"/>
    <d v="2023-10-18T00:00:00"/>
    <s v="B0397"/>
    <x v="9"/>
    <n v="7154"/>
    <n v="6.5"/>
    <x v="1"/>
    <x v="0"/>
    <x v="1"/>
    <x v="4"/>
    <n v="119132"/>
    <x v="2"/>
    <n v="0.49"/>
    <n v="0.8"/>
    <n v="7619.01"/>
    <n v="0"/>
    <n v="8942.5"/>
    <n v="9927.6666666666661"/>
    <n v="4864.5566666666664"/>
    <n v="29"/>
    <n v="465.01000000000022"/>
  </r>
  <r>
    <x v="397"/>
    <d v="2023-01-31T00:00:00"/>
    <s v="B0398"/>
    <x v="3"/>
    <n v="22804"/>
    <n v="11.8"/>
    <x v="0"/>
    <x v="0"/>
    <x v="6"/>
    <x v="2"/>
    <n v="121066"/>
    <x v="1"/>
    <n v="0.32"/>
    <n v="0.55000000000000004"/>
    <n v="25494.87"/>
    <n v="0"/>
    <n v="41461.818181818177"/>
    <n v="10088.833333333334"/>
    <n v="3228.4266666666667"/>
    <n v="37"/>
    <n v="2690.869999999999"/>
  </r>
  <r>
    <x v="398"/>
    <d v="2022-11-07T00:00:00"/>
    <s v="B0399"/>
    <x v="9"/>
    <n v="21581"/>
    <n v="22.3"/>
    <x v="0"/>
    <x v="1"/>
    <x v="4"/>
    <x v="3"/>
    <n v="96798"/>
    <x v="0"/>
    <n v="0.15"/>
    <n v="0.93"/>
    <n v="4810.13"/>
    <n v="0"/>
    <n v="23205.37634408602"/>
    <n v="8066.5"/>
    <n v="1209.9749999999999"/>
    <n v="40"/>
    <n v="-16770.87"/>
  </r>
  <r>
    <x v="399"/>
    <d v="2022-04-02T00:00:00"/>
    <s v="B0400"/>
    <x v="8"/>
    <n v="31087"/>
    <n v="9.3000000000000007"/>
    <x v="1"/>
    <x v="1"/>
    <x v="5"/>
    <x v="2"/>
    <n v="84199"/>
    <x v="1"/>
    <n v="0.46"/>
    <n v="0.89"/>
    <n v="7602.33"/>
    <n v="0"/>
    <n v="34929.213483146064"/>
    <n v="7016.583333333333"/>
    <n v="3227.6283333333336"/>
    <n v="47"/>
    <n v="-23484.67"/>
  </r>
  <r>
    <x v="400"/>
    <d v="2023-07-09T00:00:00"/>
    <s v="B0401"/>
    <x v="8"/>
    <n v="33981"/>
    <n v="12.2"/>
    <x v="1"/>
    <x v="0"/>
    <x v="4"/>
    <x v="3"/>
    <n v="89546"/>
    <x v="2"/>
    <n v="0.13"/>
    <n v="0.76"/>
    <n v="38126.68"/>
    <n v="0"/>
    <n v="44711.84210526316"/>
    <n v="7462.166666666667"/>
    <n v="970.08166666666671"/>
    <n v="32"/>
    <n v="4145.68"/>
  </r>
  <r>
    <x v="401"/>
    <d v="2021-07-11T00:00:00"/>
    <s v="B0402"/>
    <x v="8"/>
    <n v="4762"/>
    <n v="6.4"/>
    <x v="0"/>
    <x v="0"/>
    <x v="4"/>
    <x v="3"/>
    <n v="135686"/>
    <x v="2"/>
    <n v="0.46"/>
    <n v="0.8"/>
    <n v="5066.7700000000004"/>
    <n v="0"/>
    <n v="5952.5"/>
    <n v="11307.166666666666"/>
    <n v="5201.2966666666662"/>
    <n v="56"/>
    <n v="304.77000000000044"/>
  </r>
  <r>
    <x v="402"/>
    <d v="2023-01-09T00:00:00"/>
    <s v="B0403"/>
    <x v="1"/>
    <n v="10768"/>
    <n v="20.3"/>
    <x v="0"/>
    <x v="3"/>
    <x v="6"/>
    <x v="0"/>
    <n v="118151"/>
    <x v="0"/>
    <n v="0.5"/>
    <n v="0.51"/>
    <n v="4240.21"/>
    <n v="804.81"/>
    <n v="21113.725490196077"/>
    <n v="9845.9166666666661"/>
    <n v="4922.958333333333"/>
    <n v="38"/>
    <n v="-5722.98"/>
  </r>
  <r>
    <x v="403"/>
    <d v="2023-09-05T00:00:00"/>
    <s v="B0404"/>
    <x v="9"/>
    <n v="39559"/>
    <n v="13.2"/>
    <x v="1"/>
    <x v="0"/>
    <x v="4"/>
    <x v="1"/>
    <n v="33327"/>
    <x v="2"/>
    <n v="0.38"/>
    <n v="0.65"/>
    <n v="44780.79"/>
    <n v="0"/>
    <n v="60860"/>
    <n v="2777.25"/>
    <n v="1055.355"/>
    <n v="30"/>
    <n v="5221.7900000000009"/>
  </r>
  <r>
    <x v="404"/>
    <d v="2023-10-06T00:00:00"/>
    <s v="B0405"/>
    <x v="1"/>
    <n v="9783"/>
    <n v="20.2"/>
    <x v="1"/>
    <x v="3"/>
    <x v="1"/>
    <x v="0"/>
    <n v="59768"/>
    <x v="1"/>
    <n v="0.41"/>
    <n v="0.86"/>
    <n v="1238.43"/>
    <n v="3866.9"/>
    <n v="11375.581395348838"/>
    <n v="4980.666666666667"/>
    <n v="2042.0733333333333"/>
    <n v="29"/>
    <n v="-4677.67"/>
  </r>
  <r>
    <x v="405"/>
    <d v="2021-04-06T00:00:00"/>
    <s v="B0406"/>
    <x v="0"/>
    <n v="30781"/>
    <n v="23.1"/>
    <x v="1"/>
    <x v="0"/>
    <x v="0"/>
    <x v="4"/>
    <n v="94418"/>
    <x v="1"/>
    <n v="0.23"/>
    <n v="0.53"/>
    <n v="37891.410000000003"/>
    <n v="0"/>
    <n v="58077.358490566032"/>
    <n v="7868.166666666667"/>
    <n v="1809.6783333333335"/>
    <n v="59"/>
    <n v="7110.4100000000035"/>
  </r>
  <r>
    <x v="406"/>
    <d v="2022-10-25T00:00:00"/>
    <s v="B0407"/>
    <x v="3"/>
    <n v="31811"/>
    <n v="9.6999999999999993"/>
    <x v="0"/>
    <x v="1"/>
    <x v="0"/>
    <x v="3"/>
    <n v="124386"/>
    <x v="1"/>
    <n v="0.48"/>
    <n v="0.63"/>
    <n v="14792.24"/>
    <n v="0"/>
    <n v="50493.650793650791"/>
    <n v="10365.5"/>
    <n v="4975.4399999999996"/>
    <n v="40"/>
    <n v="-17018.760000000002"/>
  </r>
  <r>
    <x v="407"/>
    <d v="2021-02-06T00:00:00"/>
    <s v="B0408"/>
    <x v="2"/>
    <n v="36488"/>
    <n v="21.1"/>
    <x v="1"/>
    <x v="0"/>
    <x v="4"/>
    <x v="1"/>
    <n v="146947"/>
    <x v="1"/>
    <n v="0.31"/>
    <n v="0.76"/>
    <n v="44186.97"/>
    <n v="0"/>
    <n v="48010.526315789473"/>
    <n v="12245.583333333334"/>
    <n v="3796.1308333333336"/>
    <n v="61"/>
    <n v="7698.9700000000012"/>
  </r>
  <r>
    <x v="408"/>
    <d v="2021-10-06T00:00:00"/>
    <s v="B0409"/>
    <x v="5"/>
    <n v="9905"/>
    <n v="6.2"/>
    <x v="1"/>
    <x v="3"/>
    <x v="5"/>
    <x v="3"/>
    <n v="72788"/>
    <x v="0"/>
    <n v="0.39"/>
    <n v="0.62"/>
    <n v="2417.52"/>
    <n v="3932.05"/>
    <n v="15975.806451612903"/>
    <n v="6065.666666666667"/>
    <n v="2365.61"/>
    <n v="53"/>
    <n v="-3555.4300000000003"/>
  </r>
  <r>
    <x v="409"/>
    <d v="2021-08-05T00:00:00"/>
    <s v="B0410"/>
    <x v="9"/>
    <n v="10127"/>
    <n v="23"/>
    <x v="1"/>
    <x v="1"/>
    <x v="5"/>
    <x v="3"/>
    <n v="145945"/>
    <x v="1"/>
    <n v="0.47"/>
    <n v="0.92"/>
    <n v="3348.84"/>
    <n v="0"/>
    <n v="11007.608695652174"/>
    <n v="12162.083333333334"/>
    <n v="5716.1791666666668"/>
    <n v="55"/>
    <n v="-6778.16"/>
  </r>
  <r>
    <x v="410"/>
    <d v="2023-05-17T00:00:00"/>
    <s v="B0411"/>
    <x v="5"/>
    <n v="23431"/>
    <n v="18"/>
    <x v="0"/>
    <x v="0"/>
    <x v="1"/>
    <x v="0"/>
    <n v="112384"/>
    <x v="0"/>
    <n v="0.49"/>
    <n v="0.56000000000000005"/>
    <n v="27648.58"/>
    <n v="0"/>
    <n v="41841.071428571428"/>
    <n v="9365.3333333333339"/>
    <n v="4589.0133333333333"/>
    <n v="34"/>
    <n v="4217.5800000000017"/>
  </r>
  <r>
    <x v="411"/>
    <d v="2023-05-23T00:00:00"/>
    <s v="B0412"/>
    <x v="6"/>
    <n v="7368"/>
    <n v="22.5"/>
    <x v="1"/>
    <x v="0"/>
    <x v="0"/>
    <x v="1"/>
    <n v="76830"/>
    <x v="1"/>
    <n v="0.43"/>
    <n v="0.86"/>
    <n v="9025.7999999999993"/>
    <n v="0"/>
    <n v="8567.4418604651164"/>
    <n v="6402.5"/>
    <n v="2753.0749999999998"/>
    <n v="33"/>
    <n v="1657.7999999999993"/>
  </r>
  <r>
    <x v="412"/>
    <d v="2021-03-03T00:00:00"/>
    <s v="B0413"/>
    <x v="9"/>
    <n v="28424"/>
    <n v="5"/>
    <x v="1"/>
    <x v="1"/>
    <x v="0"/>
    <x v="1"/>
    <n v="82446"/>
    <x v="0"/>
    <n v="0.22"/>
    <n v="0.73"/>
    <n v="12039.9"/>
    <n v="0"/>
    <n v="38936.986301369863"/>
    <n v="6870.5"/>
    <n v="1511.51"/>
    <n v="60"/>
    <n v="-16384.099999999999"/>
  </r>
  <r>
    <x v="413"/>
    <d v="2022-08-19T00:00:00"/>
    <s v="B0414"/>
    <x v="0"/>
    <n v="19333"/>
    <n v="8.4"/>
    <x v="1"/>
    <x v="1"/>
    <x v="1"/>
    <x v="3"/>
    <n v="135078"/>
    <x v="1"/>
    <n v="0.49"/>
    <n v="0.84"/>
    <n v="4102.62"/>
    <n v="0"/>
    <n v="23015.476190476191"/>
    <n v="11256.5"/>
    <n v="5515.6849999999995"/>
    <n v="43"/>
    <n v="-15230.380000000001"/>
  </r>
  <r>
    <x v="414"/>
    <d v="2022-12-30T00:00:00"/>
    <s v="B0415"/>
    <x v="9"/>
    <n v="24116"/>
    <n v="12.8"/>
    <x v="1"/>
    <x v="0"/>
    <x v="6"/>
    <x v="1"/>
    <n v="45160"/>
    <x v="1"/>
    <n v="0.35"/>
    <n v="0.64"/>
    <n v="27202.85"/>
    <n v="0"/>
    <n v="37681.25"/>
    <n v="3763.3333333333335"/>
    <n v="1317.1666666666667"/>
    <n v="38"/>
    <n v="3086.8499999999985"/>
  </r>
  <r>
    <x v="415"/>
    <d v="2022-02-01T00:00:00"/>
    <s v="B0416"/>
    <x v="1"/>
    <n v="16525"/>
    <n v="12.6"/>
    <x v="1"/>
    <x v="0"/>
    <x v="0"/>
    <x v="1"/>
    <n v="86583"/>
    <x v="0"/>
    <n v="0.47"/>
    <n v="0.73"/>
    <n v="18607.150000000001"/>
    <n v="0"/>
    <n v="22636.986301369863"/>
    <n v="7215.25"/>
    <n v="3391.1675"/>
    <n v="49"/>
    <n v="2082.1500000000015"/>
  </r>
  <r>
    <x v="416"/>
    <d v="2022-11-30T00:00:00"/>
    <s v="B0417"/>
    <x v="3"/>
    <n v="24398"/>
    <n v="9.5"/>
    <x v="0"/>
    <x v="1"/>
    <x v="5"/>
    <x v="0"/>
    <n v="63998"/>
    <x v="2"/>
    <n v="0.37"/>
    <n v="0.89"/>
    <n v="5945.55"/>
    <n v="0"/>
    <n v="27413.483146067414"/>
    <n v="5333.166666666667"/>
    <n v="1973.2716666666668"/>
    <n v="39"/>
    <n v="-18452.45"/>
  </r>
  <r>
    <x v="417"/>
    <d v="2023-11-09T00:00:00"/>
    <s v="B0418"/>
    <x v="2"/>
    <n v="33857"/>
    <n v="12.6"/>
    <x v="0"/>
    <x v="0"/>
    <x v="4"/>
    <x v="2"/>
    <n v="57230"/>
    <x v="2"/>
    <n v="0.22"/>
    <n v="0.71"/>
    <n v="38122.980000000003"/>
    <n v="0"/>
    <n v="47685.915492957749"/>
    <n v="4769.166666666667"/>
    <n v="1049.2166666666667"/>
    <n v="28"/>
    <n v="4265.9800000000032"/>
  </r>
  <r>
    <x v="418"/>
    <d v="2021-06-26T00:00:00"/>
    <s v="B0419"/>
    <x v="4"/>
    <n v="11361"/>
    <n v="7.6"/>
    <x v="0"/>
    <x v="1"/>
    <x v="6"/>
    <x v="4"/>
    <n v="39076"/>
    <x v="2"/>
    <n v="0.25"/>
    <n v="0.66"/>
    <n v="2661.69"/>
    <n v="0"/>
    <n v="17213.636363636364"/>
    <n v="3256.3333333333335"/>
    <n v="814.08333333333337"/>
    <n v="56"/>
    <n v="-8699.31"/>
  </r>
  <r>
    <x v="419"/>
    <d v="2022-01-31T00:00:00"/>
    <s v="B0420"/>
    <x v="2"/>
    <n v="17369"/>
    <n v="13.3"/>
    <x v="1"/>
    <x v="0"/>
    <x v="6"/>
    <x v="2"/>
    <n v="99341"/>
    <x v="0"/>
    <n v="0.32"/>
    <n v="0.74"/>
    <n v="19679.080000000002"/>
    <n v="0"/>
    <n v="23471.621621621623"/>
    <n v="8278.4166666666661"/>
    <n v="2649.0933333333332"/>
    <n v="49"/>
    <n v="2310.0800000000017"/>
  </r>
  <r>
    <x v="420"/>
    <d v="2022-03-21T00:00:00"/>
    <s v="B0421"/>
    <x v="2"/>
    <n v="4041"/>
    <n v="21"/>
    <x v="0"/>
    <x v="3"/>
    <x v="6"/>
    <x v="1"/>
    <n v="61085"/>
    <x v="2"/>
    <n v="0.42"/>
    <n v="0.82"/>
    <n v="858.39"/>
    <n v="1009"/>
    <n v="4928.0487804878048"/>
    <n v="5090.416666666667"/>
    <n v="2137.9749999999999"/>
    <n v="47"/>
    <n v="-2173.61"/>
  </r>
  <r>
    <x v="421"/>
    <d v="2021-03-17T00:00:00"/>
    <s v="B0422"/>
    <x v="6"/>
    <n v="1105"/>
    <n v="14.6"/>
    <x v="0"/>
    <x v="3"/>
    <x v="1"/>
    <x v="3"/>
    <n v="85571"/>
    <x v="2"/>
    <n v="0.23"/>
    <n v="0.7"/>
    <n v="417.31"/>
    <n v="388.04"/>
    <n v="1578.5714285714287"/>
    <n v="7130.916666666667"/>
    <n v="1640.1108333333334"/>
    <n v="60"/>
    <n v="-299.64999999999998"/>
  </r>
  <r>
    <x v="422"/>
    <d v="2021-09-22T00:00:00"/>
    <s v="B0423"/>
    <x v="0"/>
    <n v="10078"/>
    <n v="5.4"/>
    <x v="0"/>
    <x v="4"/>
    <x v="4"/>
    <x v="4"/>
    <n v="44715"/>
    <x v="0"/>
    <n v="0.33"/>
    <n v="0.92"/>
    <n v="0"/>
    <n v="0"/>
    <n v="10954.347826086956"/>
    <n v="3726.25"/>
    <n v="1229.6625000000001"/>
    <n v="53"/>
    <n v="-10078"/>
  </r>
  <r>
    <x v="423"/>
    <d v="2022-03-31T00:00:00"/>
    <s v="B0424"/>
    <x v="5"/>
    <n v="26003"/>
    <n v="13.4"/>
    <x v="1"/>
    <x v="0"/>
    <x v="6"/>
    <x v="4"/>
    <n v="35750"/>
    <x v="2"/>
    <n v="0.24"/>
    <n v="0.63"/>
    <n v="29487.4"/>
    <n v="0"/>
    <n v="41274.603174603173"/>
    <n v="2979.1666666666665"/>
    <n v="714.99999999999989"/>
    <n v="47"/>
    <n v="3484.4000000000015"/>
  </r>
  <r>
    <x v="424"/>
    <d v="2022-12-19T00:00:00"/>
    <s v="B0425"/>
    <x v="0"/>
    <n v="7090"/>
    <n v="5.5"/>
    <x v="1"/>
    <x v="3"/>
    <x v="5"/>
    <x v="3"/>
    <n v="143931"/>
    <x v="2"/>
    <n v="0.43"/>
    <n v="0.71"/>
    <n v="2472.13"/>
    <n v="1824.75"/>
    <n v="9985.9154929577471"/>
    <n v="11994.25"/>
    <n v="5157.5275000000001"/>
    <n v="39"/>
    <n v="-2793.12"/>
  </r>
  <r>
    <x v="425"/>
    <d v="2023-01-05T00:00:00"/>
    <s v="B0426"/>
    <x v="4"/>
    <n v="39850"/>
    <n v="24.3"/>
    <x v="0"/>
    <x v="0"/>
    <x v="0"/>
    <x v="4"/>
    <n v="108768"/>
    <x v="2"/>
    <n v="0.28999999999999998"/>
    <n v="0.84"/>
    <n v="49533.55"/>
    <n v="0"/>
    <n v="47440.476190476191"/>
    <n v="9064"/>
    <n v="2628.56"/>
    <n v="38"/>
    <n v="9683.5500000000029"/>
  </r>
  <r>
    <x v="426"/>
    <d v="2023-05-01T00:00:00"/>
    <s v="B0427"/>
    <x v="6"/>
    <n v="2925"/>
    <n v="7.5"/>
    <x v="0"/>
    <x v="1"/>
    <x v="5"/>
    <x v="3"/>
    <n v="148544"/>
    <x v="0"/>
    <n v="0.13"/>
    <n v="0.81"/>
    <n v="289.72000000000003"/>
    <n v="0"/>
    <n v="3611.1111111111109"/>
    <n v="12378.666666666666"/>
    <n v="1609.2266666666667"/>
    <n v="34"/>
    <n v="-2635.2799999999997"/>
  </r>
  <r>
    <x v="427"/>
    <d v="2021-05-24T00:00:00"/>
    <s v="B0428"/>
    <x v="3"/>
    <n v="19440"/>
    <n v="19.2"/>
    <x v="1"/>
    <x v="0"/>
    <x v="2"/>
    <x v="4"/>
    <n v="65903"/>
    <x v="0"/>
    <n v="0.17"/>
    <n v="0.89"/>
    <n v="23172.48"/>
    <n v="0"/>
    <n v="21842.696629213482"/>
    <n v="5491.916666666667"/>
    <n v="933.6258333333335"/>
    <n v="57"/>
    <n v="3732.4799999999996"/>
  </r>
  <r>
    <x v="428"/>
    <d v="2023-06-04T00:00:00"/>
    <s v="B0429"/>
    <x v="2"/>
    <n v="27015"/>
    <n v="24.5"/>
    <x v="1"/>
    <x v="0"/>
    <x v="2"/>
    <x v="2"/>
    <n v="102489"/>
    <x v="2"/>
    <n v="0.12"/>
    <n v="0.95"/>
    <n v="33633.68"/>
    <n v="0"/>
    <n v="28436.84210526316"/>
    <n v="8540.75"/>
    <n v="1024.8899999999999"/>
    <n v="33"/>
    <n v="6618.68"/>
  </r>
  <r>
    <x v="429"/>
    <d v="2023-12-29T00:00:00"/>
    <s v="B0430"/>
    <x v="1"/>
    <n v="34320"/>
    <n v="21.5"/>
    <x v="0"/>
    <x v="3"/>
    <x v="0"/>
    <x v="4"/>
    <n v="62093"/>
    <x v="2"/>
    <n v="0.3"/>
    <n v="0.69"/>
    <n v="4545.24"/>
    <n v="12356.63"/>
    <n v="49739.130434782615"/>
    <n v="5174.416666666667"/>
    <n v="1552.325"/>
    <n v="26"/>
    <n v="-17418.13"/>
  </r>
  <r>
    <x v="430"/>
    <d v="2022-01-31T00:00:00"/>
    <s v="B0431"/>
    <x v="6"/>
    <n v="26291"/>
    <n v="19"/>
    <x v="1"/>
    <x v="0"/>
    <x v="1"/>
    <x v="0"/>
    <n v="121036"/>
    <x v="0"/>
    <n v="0.14000000000000001"/>
    <n v="0.55000000000000004"/>
    <n v="31286.29"/>
    <n v="0"/>
    <n v="47801.818181818177"/>
    <n v="10086.333333333334"/>
    <n v="1412.0866666666668"/>
    <n v="49"/>
    <n v="4995.2900000000009"/>
  </r>
  <r>
    <x v="431"/>
    <d v="2023-11-15T00:00:00"/>
    <s v="B0432"/>
    <x v="8"/>
    <n v="37679"/>
    <n v="21.8"/>
    <x v="0"/>
    <x v="1"/>
    <x v="6"/>
    <x v="3"/>
    <n v="117954"/>
    <x v="2"/>
    <n v="0.15"/>
    <n v="0.51"/>
    <n v="9138.7099999999991"/>
    <n v="0"/>
    <n v="73880.392156862741"/>
    <n v="9829.5"/>
    <n v="1474.425"/>
    <n v="28"/>
    <n v="-28540.29"/>
  </r>
  <r>
    <x v="432"/>
    <d v="2023-08-06T00:00:00"/>
    <s v="B0433"/>
    <x v="9"/>
    <n v="27289"/>
    <n v="24.6"/>
    <x v="1"/>
    <x v="1"/>
    <x v="4"/>
    <x v="4"/>
    <n v="149277"/>
    <x v="0"/>
    <n v="0.48"/>
    <n v="0.83"/>
    <n v="2575.9699999999998"/>
    <n v="0"/>
    <n v="32878.313253012049"/>
    <n v="12439.75"/>
    <n v="5971.08"/>
    <n v="31"/>
    <n v="-24713.03"/>
  </r>
  <r>
    <x v="433"/>
    <d v="2023-06-10T00:00:00"/>
    <s v="B0434"/>
    <x v="0"/>
    <n v="4389"/>
    <n v="17.399999999999999"/>
    <x v="0"/>
    <x v="1"/>
    <x v="5"/>
    <x v="3"/>
    <n v="64314"/>
    <x v="2"/>
    <n v="0.45"/>
    <n v="0.89"/>
    <n v="1442.19"/>
    <n v="0"/>
    <n v="4931.4606741573034"/>
    <n v="5359.5"/>
    <n v="2411.7750000000001"/>
    <n v="33"/>
    <n v="-2946.81"/>
  </r>
  <r>
    <x v="434"/>
    <d v="2022-07-23T00:00:00"/>
    <s v="B0435"/>
    <x v="6"/>
    <n v="26683"/>
    <n v="16.2"/>
    <x v="0"/>
    <x v="0"/>
    <x v="1"/>
    <x v="0"/>
    <n v="78225"/>
    <x v="0"/>
    <n v="0.28000000000000003"/>
    <n v="0.6"/>
    <n v="31005.65"/>
    <n v="0"/>
    <n v="44471.666666666672"/>
    <n v="6518.75"/>
    <n v="1825.2500000000002"/>
    <n v="43"/>
    <n v="4322.6500000000015"/>
  </r>
  <r>
    <x v="435"/>
    <d v="2023-11-29T00:00:00"/>
    <s v="B0436"/>
    <x v="8"/>
    <n v="14629"/>
    <n v="17.600000000000001"/>
    <x v="1"/>
    <x v="0"/>
    <x v="4"/>
    <x v="4"/>
    <n v="117985"/>
    <x v="1"/>
    <n v="0.49"/>
    <n v="0.56999999999999995"/>
    <n v="17203.7"/>
    <n v="0"/>
    <n v="25664.912280701756"/>
    <n v="9832.0833333333339"/>
    <n v="4817.7208333333338"/>
    <n v="27"/>
    <n v="2574.7000000000007"/>
  </r>
  <r>
    <x v="436"/>
    <d v="2021-04-19T00:00:00"/>
    <s v="B0437"/>
    <x v="5"/>
    <n v="25826"/>
    <n v="15.7"/>
    <x v="0"/>
    <x v="1"/>
    <x v="0"/>
    <x v="4"/>
    <n v="113014"/>
    <x v="1"/>
    <n v="0.1"/>
    <n v="0.53"/>
    <n v="2961.24"/>
    <n v="0"/>
    <n v="48728.301886792447"/>
    <n v="9417.8333333333339"/>
    <n v="941.78333333333342"/>
    <n v="59"/>
    <n v="-22864.760000000002"/>
  </r>
  <r>
    <x v="437"/>
    <d v="2023-12-02T00:00:00"/>
    <s v="B0438"/>
    <x v="4"/>
    <n v="36198"/>
    <n v="17.7"/>
    <x v="0"/>
    <x v="0"/>
    <x v="1"/>
    <x v="0"/>
    <n v="65179"/>
    <x v="0"/>
    <n v="0.35"/>
    <n v="0.87"/>
    <n v="42605.05"/>
    <n v="0"/>
    <n v="41606.896551724138"/>
    <n v="5431.583333333333"/>
    <n v="1901.0541666666663"/>
    <n v="27"/>
    <n v="6407.0500000000029"/>
  </r>
  <r>
    <x v="438"/>
    <d v="2023-07-24T00:00:00"/>
    <s v="B0439"/>
    <x v="4"/>
    <n v="27630"/>
    <n v="14"/>
    <x v="0"/>
    <x v="0"/>
    <x v="2"/>
    <x v="0"/>
    <n v="147305"/>
    <x v="1"/>
    <n v="0.35"/>
    <n v="0.64"/>
    <n v="31498.2"/>
    <n v="0"/>
    <n v="43171.875"/>
    <n v="12275.416666666666"/>
    <n v="4296.395833333333"/>
    <n v="31"/>
    <n v="3868.2000000000007"/>
  </r>
  <r>
    <x v="439"/>
    <d v="2022-02-02T00:00:00"/>
    <s v="B0440"/>
    <x v="2"/>
    <n v="34226"/>
    <n v="9.4"/>
    <x v="1"/>
    <x v="0"/>
    <x v="1"/>
    <x v="0"/>
    <n v="142417"/>
    <x v="2"/>
    <n v="0.28000000000000003"/>
    <n v="0.68"/>
    <n v="37443.24"/>
    <n v="0"/>
    <n v="50332.352941176468"/>
    <n v="11868.083333333334"/>
    <n v="3323.063333333334"/>
    <n v="49"/>
    <n v="3217.239999999998"/>
  </r>
  <r>
    <x v="440"/>
    <d v="2022-09-26T00:00:00"/>
    <s v="B0441"/>
    <x v="2"/>
    <n v="33975"/>
    <n v="7.4"/>
    <x v="1"/>
    <x v="0"/>
    <x v="1"/>
    <x v="3"/>
    <n v="55338"/>
    <x v="0"/>
    <n v="0.26"/>
    <n v="0.73"/>
    <n v="36489.15"/>
    <n v="0"/>
    <n v="46541.095890410958"/>
    <n v="4611.5"/>
    <n v="1198.99"/>
    <n v="41"/>
    <n v="2514.1500000000015"/>
  </r>
  <r>
    <x v="441"/>
    <d v="2023-01-03T00:00:00"/>
    <s v="B0442"/>
    <x v="6"/>
    <n v="1899"/>
    <n v="6.4"/>
    <x v="1"/>
    <x v="3"/>
    <x v="4"/>
    <x v="0"/>
    <n v="122435"/>
    <x v="0"/>
    <n v="0.28000000000000003"/>
    <n v="0.88"/>
    <n v="487.5"/>
    <n v="737.8"/>
    <n v="2157.9545454545455"/>
    <n v="10202.916666666666"/>
    <n v="2856.8166666666666"/>
    <n v="38"/>
    <n v="-673.7"/>
  </r>
  <r>
    <x v="442"/>
    <d v="2021-08-23T00:00:00"/>
    <s v="B0443"/>
    <x v="6"/>
    <n v="12653"/>
    <n v="10.3"/>
    <x v="0"/>
    <x v="0"/>
    <x v="0"/>
    <x v="3"/>
    <n v="99681"/>
    <x v="2"/>
    <n v="0.27"/>
    <n v="0.79"/>
    <n v="13956.26"/>
    <n v="0"/>
    <n v="16016.455696202531"/>
    <n v="8306.75"/>
    <n v="2242.8225000000002"/>
    <n v="54"/>
    <n v="1303.2600000000002"/>
  </r>
  <r>
    <x v="443"/>
    <d v="2022-10-20T00:00:00"/>
    <s v="B0444"/>
    <x v="3"/>
    <n v="28961"/>
    <n v="5.9"/>
    <x v="1"/>
    <x v="1"/>
    <x v="1"/>
    <x v="2"/>
    <n v="62101"/>
    <x v="2"/>
    <n v="0.39"/>
    <n v="0.78"/>
    <n v="1542.14"/>
    <n v="0"/>
    <n v="37129.48717948718"/>
    <n v="5175.083333333333"/>
    <n v="2018.2825"/>
    <n v="40"/>
    <n v="-27418.86"/>
  </r>
  <r>
    <x v="444"/>
    <d v="2023-01-21T00:00:00"/>
    <s v="B0445"/>
    <x v="9"/>
    <n v="17405"/>
    <n v="16.3"/>
    <x v="0"/>
    <x v="0"/>
    <x v="4"/>
    <x v="4"/>
    <n v="32775"/>
    <x v="0"/>
    <n v="0.15"/>
    <n v="0.57999999999999996"/>
    <n v="20242.02"/>
    <n v="0"/>
    <n v="30008.620689655174"/>
    <n v="2731.25"/>
    <n v="409.6875"/>
    <n v="37"/>
    <n v="2837.0200000000004"/>
  </r>
  <r>
    <x v="445"/>
    <d v="2022-08-11T00:00:00"/>
    <s v="B0446"/>
    <x v="7"/>
    <n v="9601"/>
    <n v="10.7"/>
    <x v="0"/>
    <x v="0"/>
    <x v="6"/>
    <x v="4"/>
    <n v="141497"/>
    <x v="2"/>
    <n v="0.18"/>
    <n v="0.73"/>
    <n v="10628.31"/>
    <n v="0"/>
    <n v="13152.054794520549"/>
    <n v="11791.416666666666"/>
    <n v="2122.4549999999999"/>
    <n v="43"/>
    <n v="1027.3099999999995"/>
  </r>
  <r>
    <x v="446"/>
    <d v="2023-10-30T00:00:00"/>
    <s v="B0447"/>
    <x v="5"/>
    <n v="34662"/>
    <n v="21.5"/>
    <x v="1"/>
    <x v="0"/>
    <x v="0"/>
    <x v="1"/>
    <n v="127183"/>
    <x v="0"/>
    <n v="0.17"/>
    <n v="0.82"/>
    <n v="42114.33"/>
    <n v="0"/>
    <n v="42270.731707317078"/>
    <n v="10598.583333333334"/>
    <n v="1801.7591666666669"/>
    <n v="28"/>
    <n v="7452.3300000000017"/>
  </r>
  <r>
    <x v="447"/>
    <d v="2023-08-12T00:00:00"/>
    <s v="B0448"/>
    <x v="2"/>
    <n v="34282"/>
    <n v="6.5"/>
    <x v="1"/>
    <x v="0"/>
    <x v="4"/>
    <x v="2"/>
    <n v="75619"/>
    <x v="2"/>
    <n v="0.2"/>
    <n v="0.94"/>
    <n v="36510.33"/>
    <n v="0"/>
    <n v="36470.212765957447"/>
    <n v="6301.583333333333"/>
    <n v="1260.3166666666666"/>
    <n v="31"/>
    <n v="2228.3300000000017"/>
  </r>
  <r>
    <x v="448"/>
    <d v="2022-05-07T00:00:00"/>
    <s v="B0449"/>
    <x v="7"/>
    <n v="22288"/>
    <n v="9.5"/>
    <x v="0"/>
    <x v="0"/>
    <x v="4"/>
    <x v="0"/>
    <n v="75838"/>
    <x v="0"/>
    <n v="0.31"/>
    <n v="0.59"/>
    <n v="24405.360000000001"/>
    <n v="0"/>
    <n v="37776.271186440681"/>
    <n v="6319.833333333333"/>
    <n v="1959.1483333333333"/>
    <n v="46"/>
    <n v="2117.3600000000006"/>
  </r>
  <r>
    <x v="449"/>
    <d v="2023-07-02T00:00:00"/>
    <s v="B0450"/>
    <x v="7"/>
    <n v="30545"/>
    <n v="19.600000000000001"/>
    <x v="0"/>
    <x v="1"/>
    <x v="2"/>
    <x v="0"/>
    <n v="49539"/>
    <x v="2"/>
    <n v="0.14000000000000001"/>
    <n v="0.5"/>
    <n v="5878.95"/>
    <n v="0"/>
    <n v="61090"/>
    <n v="4128.25"/>
    <n v="577.95500000000004"/>
    <n v="32"/>
    <n v="-24666.05"/>
  </r>
  <r>
    <x v="450"/>
    <d v="2021-06-19T00:00:00"/>
    <s v="B0451"/>
    <x v="9"/>
    <n v="37877"/>
    <n v="17"/>
    <x v="1"/>
    <x v="0"/>
    <x v="0"/>
    <x v="2"/>
    <n v="132274"/>
    <x v="2"/>
    <n v="0.45"/>
    <n v="0.53"/>
    <n v="44316.09"/>
    <n v="0"/>
    <n v="71466.037735849051"/>
    <n v="11022.833333333334"/>
    <n v="4960.2750000000005"/>
    <n v="57"/>
    <n v="6439.0899999999965"/>
  </r>
  <r>
    <x v="451"/>
    <d v="2023-08-04T00:00:00"/>
    <s v="B0452"/>
    <x v="1"/>
    <n v="16313"/>
    <n v="6.3"/>
    <x v="1"/>
    <x v="0"/>
    <x v="0"/>
    <x v="0"/>
    <n v="87124"/>
    <x v="1"/>
    <n v="0.22"/>
    <n v="0.67"/>
    <n v="17340.72"/>
    <n v="0"/>
    <n v="24347.761194029848"/>
    <n v="7260.333333333333"/>
    <n v="1597.2733333333333"/>
    <n v="31"/>
    <n v="1027.7200000000012"/>
  </r>
  <r>
    <x v="452"/>
    <d v="2023-03-06T00:00:00"/>
    <s v="B0453"/>
    <x v="1"/>
    <n v="16349"/>
    <n v="22.5"/>
    <x v="1"/>
    <x v="0"/>
    <x v="0"/>
    <x v="1"/>
    <n v="95149"/>
    <x v="1"/>
    <n v="0.17"/>
    <n v="0.87"/>
    <n v="20027.53"/>
    <n v="0"/>
    <n v="18791.954022988506"/>
    <n v="7929.083333333333"/>
    <n v="1347.9441666666667"/>
    <n v="36"/>
    <n v="3678.5299999999988"/>
  </r>
  <r>
    <x v="453"/>
    <d v="2022-09-26T00:00:00"/>
    <s v="B0454"/>
    <x v="2"/>
    <n v="8179"/>
    <n v="22.5"/>
    <x v="0"/>
    <x v="0"/>
    <x v="6"/>
    <x v="3"/>
    <n v="56616"/>
    <x v="1"/>
    <n v="0.37"/>
    <n v="0.5"/>
    <n v="10019.280000000001"/>
    <n v="0"/>
    <n v="16358"/>
    <n v="4718"/>
    <n v="1745.66"/>
    <n v="41"/>
    <n v="1840.2800000000007"/>
  </r>
  <r>
    <x v="454"/>
    <d v="2021-01-29T00:00:00"/>
    <s v="B0455"/>
    <x v="8"/>
    <n v="11326"/>
    <n v="11.6"/>
    <x v="0"/>
    <x v="3"/>
    <x v="0"/>
    <x v="4"/>
    <n v="109655"/>
    <x v="2"/>
    <n v="0.12"/>
    <n v="0.71"/>
    <n v="3433.56"/>
    <n v="1960.48"/>
    <n v="15952.112676056338"/>
    <n v="9137.9166666666661"/>
    <n v="1096.55"/>
    <n v="61"/>
    <n v="-5931.96"/>
  </r>
  <r>
    <x v="455"/>
    <d v="2021-12-05T00:00:00"/>
    <s v="B0456"/>
    <x v="9"/>
    <n v="2560"/>
    <n v="11.8"/>
    <x v="0"/>
    <x v="0"/>
    <x v="0"/>
    <x v="2"/>
    <n v="120695"/>
    <x v="0"/>
    <n v="0.35"/>
    <n v="0.65"/>
    <n v="2862.08"/>
    <n v="0"/>
    <n v="3938.4615384615381"/>
    <n v="10057.916666666666"/>
    <n v="3520.270833333333"/>
    <n v="51"/>
    <n v="302.07999999999993"/>
  </r>
  <r>
    <x v="456"/>
    <d v="2022-05-15T00:00:00"/>
    <s v="B0457"/>
    <x v="9"/>
    <n v="14612"/>
    <n v="24.8"/>
    <x v="0"/>
    <x v="0"/>
    <x v="0"/>
    <x v="4"/>
    <n v="84567"/>
    <x v="2"/>
    <n v="0.38"/>
    <n v="0.52"/>
    <n v="18235.78"/>
    <n v="0"/>
    <n v="28100"/>
    <n v="7047.25"/>
    <n v="2677.9549999999999"/>
    <n v="46"/>
    <n v="3623.7799999999988"/>
  </r>
  <r>
    <x v="457"/>
    <d v="2022-05-26T00:00:00"/>
    <s v="B0458"/>
    <x v="0"/>
    <n v="18650"/>
    <n v="17.5"/>
    <x v="0"/>
    <x v="0"/>
    <x v="1"/>
    <x v="3"/>
    <n v="67099"/>
    <x v="1"/>
    <n v="0.19"/>
    <n v="0.7"/>
    <n v="21913.75"/>
    <n v="0"/>
    <n v="26642.857142857145"/>
    <n v="5591.583333333333"/>
    <n v="1062.4008333333334"/>
    <n v="45"/>
    <n v="3263.75"/>
  </r>
  <r>
    <x v="458"/>
    <d v="2021-08-05T00:00:00"/>
    <s v="B0459"/>
    <x v="7"/>
    <n v="27745"/>
    <n v="15.6"/>
    <x v="1"/>
    <x v="2"/>
    <x v="0"/>
    <x v="2"/>
    <n v="105831"/>
    <x v="2"/>
    <n v="0.12"/>
    <n v="0.61"/>
    <n v="0"/>
    <n v="0"/>
    <n v="45483.606557377047"/>
    <n v="8819.25"/>
    <n v="1058.31"/>
    <n v="55"/>
    <n v="-27745"/>
  </r>
  <r>
    <x v="459"/>
    <d v="2023-12-30T00:00:00"/>
    <s v="B0460"/>
    <x v="0"/>
    <n v="32890"/>
    <n v="21.8"/>
    <x v="1"/>
    <x v="0"/>
    <x v="4"/>
    <x v="3"/>
    <n v="130246"/>
    <x v="1"/>
    <n v="0.25"/>
    <n v="0.66"/>
    <n v="40060.019999999997"/>
    <n v="0"/>
    <n v="49833.333333333328"/>
    <n v="10853.833333333334"/>
    <n v="2713.4583333333335"/>
    <n v="26"/>
    <n v="7170.0199999999968"/>
  </r>
  <r>
    <x v="460"/>
    <d v="2022-03-21T00:00:00"/>
    <s v="B0461"/>
    <x v="7"/>
    <n v="21022"/>
    <n v="10.7"/>
    <x v="0"/>
    <x v="1"/>
    <x v="4"/>
    <x v="0"/>
    <n v="91799"/>
    <x v="1"/>
    <n v="0.14000000000000001"/>
    <n v="0.82"/>
    <n v="5630.06"/>
    <n v="0"/>
    <n v="25636.585365853662"/>
    <n v="7649.916666666667"/>
    <n v="1070.9883333333335"/>
    <n v="47"/>
    <n v="-15391.939999999999"/>
  </r>
  <r>
    <x v="461"/>
    <d v="2023-05-26T00:00:00"/>
    <s v="B0462"/>
    <x v="1"/>
    <n v="5780"/>
    <n v="13.6"/>
    <x v="0"/>
    <x v="0"/>
    <x v="5"/>
    <x v="0"/>
    <n v="120221"/>
    <x v="0"/>
    <n v="0.15"/>
    <n v="0.73"/>
    <n v="6566.08"/>
    <n v="0"/>
    <n v="7917.8082191780823"/>
    <n v="10018.416666666666"/>
    <n v="1502.7624999999998"/>
    <n v="33"/>
    <n v="786.07999999999993"/>
  </r>
  <r>
    <x v="462"/>
    <d v="2021-06-16T00:00:00"/>
    <s v="B0463"/>
    <x v="2"/>
    <n v="19311"/>
    <n v="10.4"/>
    <x v="1"/>
    <x v="3"/>
    <x v="1"/>
    <x v="0"/>
    <n v="144879"/>
    <x v="0"/>
    <n v="0.2"/>
    <n v="0.56000000000000005"/>
    <n v="7598.51"/>
    <n v="3245.92"/>
    <n v="34483.928571428565"/>
    <n v="12073.25"/>
    <n v="2414.65"/>
    <n v="57"/>
    <n v="-8466.57"/>
  </r>
  <r>
    <x v="463"/>
    <d v="2021-04-01T00:00:00"/>
    <s v="B0464"/>
    <x v="5"/>
    <n v="29380"/>
    <n v="20.8"/>
    <x v="1"/>
    <x v="3"/>
    <x v="5"/>
    <x v="3"/>
    <n v="55479"/>
    <x v="1"/>
    <n v="0.22"/>
    <n v="0.93"/>
    <n v="10642.35"/>
    <n v="10361.469999999999"/>
    <n v="31591.397849462363"/>
    <n v="4623.25"/>
    <n v="1017.115"/>
    <n v="59"/>
    <n v="-8376.18"/>
  </r>
  <r>
    <x v="464"/>
    <d v="2022-12-15T00:00:00"/>
    <s v="B0465"/>
    <x v="1"/>
    <n v="3356"/>
    <n v="16.5"/>
    <x v="1"/>
    <x v="1"/>
    <x v="2"/>
    <x v="3"/>
    <n v="76172"/>
    <x v="1"/>
    <n v="0.31"/>
    <n v="0.79"/>
    <n v="710.07"/>
    <n v="0"/>
    <n v="4248.1012658227846"/>
    <n v="6347.666666666667"/>
    <n v="1967.7766666666666"/>
    <n v="39"/>
    <n v="-2645.93"/>
  </r>
  <r>
    <x v="465"/>
    <d v="2021-02-08T00:00:00"/>
    <s v="B0466"/>
    <x v="9"/>
    <n v="5790"/>
    <n v="18.2"/>
    <x v="1"/>
    <x v="0"/>
    <x v="2"/>
    <x v="3"/>
    <n v="129165"/>
    <x v="2"/>
    <n v="0.37"/>
    <n v="0.84"/>
    <n v="6843.78"/>
    <n v="0"/>
    <n v="6892.8571428571431"/>
    <n v="10763.75"/>
    <n v="3982.5875000000001"/>
    <n v="61"/>
    <n v="1053.7799999999997"/>
  </r>
  <r>
    <x v="466"/>
    <d v="2021-06-22T00:00:00"/>
    <s v="B0467"/>
    <x v="5"/>
    <n v="27911"/>
    <n v="10"/>
    <x v="0"/>
    <x v="0"/>
    <x v="4"/>
    <x v="4"/>
    <n v="85863"/>
    <x v="1"/>
    <n v="0.34"/>
    <n v="0.54"/>
    <n v="30702.1"/>
    <n v="0"/>
    <n v="51687.037037037036"/>
    <n v="7155.25"/>
    <n v="2432.7850000000003"/>
    <n v="56"/>
    <n v="2791.0999999999985"/>
  </r>
  <r>
    <x v="467"/>
    <d v="2022-10-15T00:00:00"/>
    <s v="B0468"/>
    <x v="6"/>
    <n v="25363"/>
    <n v="9.4"/>
    <x v="1"/>
    <x v="0"/>
    <x v="1"/>
    <x v="3"/>
    <n v="72043"/>
    <x v="2"/>
    <n v="0.16"/>
    <n v="0.52"/>
    <n v="27747.119999999999"/>
    <n v="0"/>
    <n v="48775"/>
    <n v="6003.583333333333"/>
    <n v="960.57333333333327"/>
    <n v="41"/>
    <n v="2384.119999999999"/>
  </r>
  <r>
    <x v="468"/>
    <d v="2023-01-24T00:00:00"/>
    <s v="B0469"/>
    <x v="5"/>
    <n v="21049"/>
    <n v="14.8"/>
    <x v="0"/>
    <x v="0"/>
    <x v="1"/>
    <x v="0"/>
    <n v="112569"/>
    <x v="1"/>
    <n v="0.17"/>
    <n v="0.51"/>
    <n v="24164.25"/>
    <n v="0"/>
    <n v="41272.549019607839"/>
    <n v="9380.75"/>
    <n v="1594.7275000000002"/>
    <n v="37"/>
    <n v="3115.25"/>
  </r>
  <r>
    <x v="469"/>
    <d v="2023-12-18T00:00:00"/>
    <s v="B0470"/>
    <x v="5"/>
    <n v="11181"/>
    <n v="19.8"/>
    <x v="1"/>
    <x v="0"/>
    <x v="2"/>
    <x v="1"/>
    <n v="132438"/>
    <x v="0"/>
    <n v="0.45"/>
    <n v="0.57999999999999996"/>
    <n v="13394.84"/>
    <n v="0"/>
    <n v="19277.586206896554"/>
    <n v="11036.5"/>
    <n v="4966.4250000000002"/>
    <n v="27"/>
    <n v="2213.84"/>
  </r>
  <r>
    <x v="470"/>
    <d v="2022-04-21T00:00:00"/>
    <s v="B0471"/>
    <x v="1"/>
    <n v="17082"/>
    <n v="15.5"/>
    <x v="1"/>
    <x v="0"/>
    <x v="4"/>
    <x v="3"/>
    <n v="140107"/>
    <x v="0"/>
    <n v="0.32"/>
    <n v="0.69"/>
    <n v="19729.71"/>
    <n v="0"/>
    <n v="24756.521739130436"/>
    <n v="11675.583333333334"/>
    <n v="3736.186666666667"/>
    <n v="46"/>
    <n v="2647.7099999999991"/>
  </r>
  <r>
    <x v="471"/>
    <d v="2022-04-01T00:00:00"/>
    <s v="B0472"/>
    <x v="9"/>
    <n v="1661"/>
    <n v="5.7"/>
    <x v="1"/>
    <x v="1"/>
    <x v="5"/>
    <x v="1"/>
    <n v="45408"/>
    <x v="1"/>
    <n v="0.45"/>
    <n v="0.92"/>
    <n v="117.05"/>
    <n v="0"/>
    <n v="1805.4347826086955"/>
    <n v="3784"/>
    <n v="1702.8"/>
    <n v="47"/>
    <n v="-1543.95"/>
  </r>
  <r>
    <x v="472"/>
    <d v="2023-04-09T00:00:00"/>
    <s v="B0473"/>
    <x v="5"/>
    <n v="38412"/>
    <n v="22.4"/>
    <x v="0"/>
    <x v="0"/>
    <x v="4"/>
    <x v="0"/>
    <n v="87980"/>
    <x v="2"/>
    <n v="0.25"/>
    <n v="0.71"/>
    <n v="47016.29"/>
    <n v="0"/>
    <n v="54101.408450704228"/>
    <n v="7331.666666666667"/>
    <n v="1832.9166666666667"/>
    <n v="35"/>
    <n v="8604.2900000000009"/>
  </r>
  <r>
    <x v="473"/>
    <d v="2023-06-14T00:00:00"/>
    <s v="B0474"/>
    <x v="1"/>
    <n v="3920"/>
    <n v="6.3"/>
    <x v="0"/>
    <x v="0"/>
    <x v="6"/>
    <x v="3"/>
    <n v="112956"/>
    <x v="2"/>
    <n v="0.35"/>
    <n v="0.63"/>
    <n v="4166.96"/>
    <n v="0"/>
    <n v="6222.2222222222226"/>
    <n v="9413"/>
    <n v="3294.5499999999997"/>
    <n v="33"/>
    <n v="246.96000000000004"/>
  </r>
  <r>
    <x v="474"/>
    <d v="2023-10-22T00:00:00"/>
    <s v="B0475"/>
    <x v="1"/>
    <n v="26658"/>
    <n v="24.1"/>
    <x v="1"/>
    <x v="0"/>
    <x v="0"/>
    <x v="4"/>
    <n v="46351"/>
    <x v="2"/>
    <n v="0.31"/>
    <n v="0.75"/>
    <n v="33082.58"/>
    <n v="0"/>
    <n v="35544"/>
    <n v="3862.5833333333335"/>
    <n v="1197.4008333333334"/>
    <n v="28"/>
    <n v="6424.5800000000017"/>
  </r>
  <r>
    <x v="475"/>
    <d v="2022-01-22T00:00:00"/>
    <s v="B0476"/>
    <x v="5"/>
    <n v="15025"/>
    <n v="5.5"/>
    <x v="0"/>
    <x v="4"/>
    <x v="0"/>
    <x v="4"/>
    <n v="34131"/>
    <x v="1"/>
    <n v="0.23"/>
    <n v="0.55000000000000004"/>
    <n v="0"/>
    <n v="0"/>
    <n v="27318.181818181816"/>
    <n v="2844.25"/>
    <n v="654.17750000000001"/>
    <n v="49"/>
    <n v="-15025"/>
  </r>
  <r>
    <x v="476"/>
    <d v="2021-12-14T00:00:00"/>
    <s v="B0477"/>
    <x v="7"/>
    <n v="9946"/>
    <n v="18.899999999999999"/>
    <x v="0"/>
    <x v="0"/>
    <x v="4"/>
    <x v="1"/>
    <n v="146836"/>
    <x v="1"/>
    <n v="0.28999999999999998"/>
    <n v="0.77"/>
    <n v="11825.79"/>
    <n v="0"/>
    <n v="12916.883116883117"/>
    <n v="12236.333333333334"/>
    <n v="3548.5366666666664"/>
    <n v="51"/>
    <n v="1879.7900000000009"/>
  </r>
  <r>
    <x v="477"/>
    <d v="2021-07-09T00:00:00"/>
    <s v="B0478"/>
    <x v="9"/>
    <n v="29706"/>
    <n v="6.6"/>
    <x v="1"/>
    <x v="1"/>
    <x v="0"/>
    <x v="4"/>
    <n v="74825"/>
    <x v="0"/>
    <n v="0.3"/>
    <n v="0.76"/>
    <n v="12789.38"/>
    <n v="0"/>
    <n v="39086.84210526316"/>
    <n v="6235.416666666667"/>
    <n v="1870.625"/>
    <n v="56"/>
    <n v="-16916.620000000003"/>
  </r>
  <r>
    <x v="478"/>
    <d v="2022-05-20T00:00:00"/>
    <s v="B0479"/>
    <x v="4"/>
    <n v="17309"/>
    <n v="23.2"/>
    <x v="1"/>
    <x v="0"/>
    <x v="5"/>
    <x v="4"/>
    <n v="41349"/>
    <x v="0"/>
    <n v="0.18"/>
    <n v="0.86"/>
    <n v="21324.69"/>
    <n v="0"/>
    <n v="20126.744186046511"/>
    <n v="3445.75"/>
    <n v="620.23500000000001"/>
    <n v="45"/>
    <n v="4015.6899999999987"/>
  </r>
  <r>
    <x v="479"/>
    <d v="2023-04-04T00:00:00"/>
    <s v="B0480"/>
    <x v="5"/>
    <n v="34120"/>
    <n v="14.3"/>
    <x v="0"/>
    <x v="0"/>
    <x v="0"/>
    <x v="4"/>
    <n v="90931"/>
    <x v="1"/>
    <n v="0.23"/>
    <n v="0.94"/>
    <n v="38999.160000000003"/>
    <n v="0"/>
    <n v="36297.872340425536"/>
    <n v="7577.583333333333"/>
    <n v="1742.8441666666668"/>
    <n v="35"/>
    <n v="4879.1600000000035"/>
  </r>
  <r>
    <x v="480"/>
    <d v="2023-07-18T00:00:00"/>
    <s v="B0481"/>
    <x v="0"/>
    <n v="31027"/>
    <n v="7.8"/>
    <x v="0"/>
    <x v="0"/>
    <x v="4"/>
    <x v="0"/>
    <n v="74254"/>
    <x v="0"/>
    <n v="0.42"/>
    <n v="0.61"/>
    <n v="33447.11"/>
    <n v="0"/>
    <n v="50863.934426229513"/>
    <n v="6187.833333333333"/>
    <n v="2598.89"/>
    <n v="32"/>
    <n v="2420.1100000000006"/>
  </r>
  <r>
    <x v="481"/>
    <d v="2023-07-23T00:00:00"/>
    <s v="B0482"/>
    <x v="0"/>
    <n v="8005"/>
    <n v="11.8"/>
    <x v="0"/>
    <x v="0"/>
    <x v="2"/>
    <x v="4"/>
    <n v="68225"/>
    <x v="2"/>
    <n v="0.47"/>
    <n v="0.73"/>
    <n v="8949.59"/>
    <n v="0"/>
    <n v="10965.753424657534"/>
    <n v="5685.416666666667"/>
    <n v="2672.1458333333335"/>
    <n v="31"/>
    <n v="944.59000000000015"/>
  </r>
  <r>
    <x v="482"/>
    <d v="2021-05-14T00:00:00"/>
    <s v="B0483"/>
    <x v="6"/>
    <n v="1956"/>
    <n v="8.3000000000000007"/>
    <x v="1"/>
    <x v="1"/>
    <x v="4"/>
    <x v="2"/>
    <n v="134383"/>
    <x v="2"/>
    <n v="0.24"/>
    <n v="0.91"/>
    <n v="899.87"/>
    <n v="0"/>
    <n v="2149.4505494505493"/>
    <n v="11198.583333333334"/>
    <n v="2687.66"/>
    <n v="58"/>
    <n v="-1056.1300000000001"/>
  </r>
  <r>
    <x v="483"/>
    <d v="2021-02-27T00:00:00"/>
    <s v="B0484"/>
    <x v="9"/>
    <n v="35839"/>
    <n v="8.4"/>
    <x v="1"/>
    <x v="1"/>
    <x v="1"/>
    <x v="3"/>
    <n v="42453"/>
    <x v="1"/>
    <n v="0.22"/>
    <n v="0.85"/>
    <n v="15026.66"/>
    <n v="0"/>
    <n v="42163.529411764706"/>
    <n v="3537.75"/>
    <n v="778.30499999999995"/>
    <n v="60"/>
    <n v="-20812.34"/>
  </r>
  <r>
    <x v="484"/>
    <d v="2022-11-16T00:00:00"/>
    <s v="B0485"/>
    <x v="1"/>
    <n v="9595"/>
    <n v="24"/>
    <x v="0"/>
    <x v="0"/>
    <x v="0"/>
    <x v="4"/>
    <n v="48814"/>
    <x v="2"/>
    <n v="0.18"/>
    <n v="0.72"/>
    <n v="11897.8"/>
    <n v="0"/>
    <n v="13326.388888888889"/>
    <n v="4067.8333333333335"/>
    <n v="732.21"/>
    <n v="40"/>
    <n v="2302.7999999999993"/>
  </r>
  <r>
    <x v="485"/>
    <d v="2022-11-03T00:00:00"/>
    <s v="B0486"/>
    <x v="3"/>
    <n v="13803"/>
    <n v="13.9"/>
    <x v="1"/>
    <x v="2"/>
    <x v="0"/>
    <x v="4"/>
    <n v="48263"/>
    <x v="1"/>
    <n v="0.37"/>
    <n v="0.93"/>
    <n v="0"/>
    <n v="0"/>
    <n v="14841.935483870968"/>
    <n v="4021.9166666666665"/>
    <n v="1488.1091666666666"/>
    <n v="40"/>
    <n v="-13803"/>
  </r>
  <r>
    <x v="486"/>
    <d v="2021-06-22T00:00:00"/>
    <s v="B0487"/>
    <x v="2"/>
    <n v="26963"/>
    <n v="20.8"/>
    <x v="1"/>
    <x v="0"/>
    <x v="6"/>
    <x v="4"/>
    <n v="107694"/>
    <x v="2"/>
    <n v="0.23"/>
    <n v="0.53"/>
    <n v="32571.3"/>
    <n v="0"/>
    <n v="50873.584905660377"/>
    <n v="8974.5"/>
    <n v="2064.1350000000002"/>
    <n v="56"/>
    <n v="5608.2999999999993"/>
  </r>
  <r>
    <x v="487"/>
    <d v="2023-03-26T00:00:00"/>
    <s v="B0488"/>
    <x v="8"/>
    <n v="37221"/>
    <n v="17.8"/>
    <x v="0"/>
    <x v="4"/>
    <x v="1"/>
    <x v="2"/>
    <n v="45735"/>
    <x v="1"/>
    <n v="0.5"/>
    <n v="0.92"/>
    <n v="0"/>
    <n v="0"/>
    <n v="40457.608695652169"/>
    <n v="3811.25"/>
    <n v="1905.625"/>
    <n v="35"/>
    <n v="-37221"/>
  </r>
  <r>
    <x v="488"/>
    <d v="2021-03-21T00:00:00"/>
    <s v="B0489"/>
    <x v="3"/>
    <n v="34723"/>
    <n v="18.5"/>
    <x v="0"/>
    <x v="4"/>
    <x v="4"/>
    <x v="4"/>
    <n v="45830"/>
    <x v="2"/>
    <n v="0.23"/>
    <n v="0.52"/>
    <n v="0"/>
    <n v="0"/>
    <n v="66775"/>
    <n v="3819.1666666666665"/>
    <n v="878.4083333333333"/>
    <n v="59"/>
    <n v="-34723"/>
  </r>
  <r>
    <x v="489"/>
    <d v="2023-06-05T00:00:00"/>
    <s v="B0490"/>
    <x v="9"/>
    <n v="16282"/>
    <n v="7.6"/>
    <x v="1"/>
    <x v="0"/>
    <x v="2"/>
    <x v="4"/>
    <n v="77893"/>
    <x v="2"/>
    <n v="0.26"/>
    <n v="0.75"/>
    <n v="17519.43"/>
    <n v="0"/>
    <n v="21709.333333333332"/>
    <n v="6491.083333333333"/>
    <n v="1687.6816666666666"/>
    <n v="33"/>
    <n v="1237.4300000000003"/>
  </r>
  <r>
    <x v="490"/>
    <d v="2021-07-22T00:00:00"/>
    <s v="B0491"/>
    <x v="9"/>
    <n v="5703"/>
    <n v="9.6999999999999993"/>
    <x v="1"/>
    <x v="0"/>
    <x v="2"/>
    <x v="3"/>
    <n v="74673"/>
    <x v="0"/>
    <n v="0.34"/>
    <n v="0.9"/>
    <n v="6256.19"/>
    <n v="0"/>
    <n v="6336.6666666666661"/>
    <n v="6222.75"/>
    <n v="2115.7350000000001"/>
    <n v="55"/>
    <n v="553.1899999999996"/>
  </r>
  <r>
    <x v="491"/>
    <d v="2023-02-03T00:00:00"/>
    <s v="B0492"/>
    <x v="5"/>
    <n v="7563"/>
    <n v="20.7"/>
    <x v="0"/>
    <x v="0"/>
    <x v="3"/>
    <x v="2"/>
    <n v="119462"/>
    <x v="0"/>
    <n v="0.42"/>
    <n v="0.62"/>
    <n v="9128.5400000000009"/>
    <n v="0"/>
    <n v="12198.387096774193"/>
    <n v="9955.1666666666661"/>
    <n v="4181.1699999999992"/>
    <n v="37"/>
    <n v="1565.5400000000009"/>
  </r>
  <r>
    <x v="492"/>
    <d v="2021-02-16T00:00:00"/>
    <s v="B0493"/>
    <x v="5"/>
    <n v="26849"/>
    <n v="24.4"/>
    <x v="1"/>
    <x v="1"/>
    <x v="4"/>
    <x v="2"/>
    <n v="75066"/>
    <x v="0"/>
    <n v="0.28999999999999998"/>
    <n v="0.71"/>
    <n v="2888.35"/>
    <n v="0"/>
    <n v="37815.492957746479"/>
    <n v="6255.5"/>
    <n v="1814.0949999999998"/>
    <n v="61"/>
    <n v="-23960.65"/>
  </r>
  <r>
    <x v="493"/>
    <d v="2022-10-18T00:00:00"/>
    <s v="B0494"/>
    <x v="3"/>
    <n v="32860"/>
    <n v="10.3"/>
    <x v="1"/>
    <x v="0"/>
    <x v="0"/>
    <x v="4"/>
    <n v="130315"/>
    <x v="0"/>
    <n v="0.27"/>
    <n v="0.65"/>
    <n v="36244.58"/>
    <n v="0"/>
    <n v="50553.846153846149"/>
    <n v="10859.583333333334"/>
    <n v="2932.0875000000005"/>
    <n v="41"/>
    <n v="3384.5800000000017"/>
  </r>
  <r>
    <x v="494"/>
    <d v="2022-04-16T00:00:00"/>
    <s v="B0495"/>
    <x v="1"/>
    <n v="32585"/>
    <n v="10.4"/>
    <x v="0"/>
    <x v="2"/>
    <x v="5"/>
    <x v="2"/>
    <n v="33373"/>
    <x v="0"/>
    <n v="0.5"/>
    <n v="0.93"/>
    <n v="0"/>
    <n v="0"/>
    <n v="35037.634408602149"/>
    <n v="2781.0833333333335"/>
    <n v="1390.5416666666667"/>
    <n v="47"/>
    <n v="-32585"/>
  </r>
  <r>
    <x v="495"/>
    <d v="2023-08-29T00:00:00"/>
    <s v="B0496"/>
    <x v="6"/>
    <n v="23015"/>
    <n v="14.5"/>
    <x v="0"/>
    <x v="1"/>
    <x v="1"/>
    <x v="1"/>
    <n v="40335"/>
    <x v="0"/>
    <n v="0.1"/>
    <n v="0.87"/>
    <n v="11485.91"/>
    <n v="0"/>
    <n v="26454.022988505749"/>
    <n v="3361.25"/>
    <n v="336.125"/>
    <n v="30"/>
    <n v="-11529.09"/>
  </r>
  <r>
    <x v="496"/>
    <d v="2023-11-02T00:00:00"/>
    <s v="B0497"/>
    <x v="5"/>
    <n v="13003"/>
    <n v="24.7"/>
    <x v="1"/>
    <x v="0"/>
    <x v="0"/>
    <x v="2"/>
    <n v="53741"/>
    <x v="1"/>
    <n v="0.46"/>
    <n v="0.82"/>
    <n v="16214.74"/>
    <n v="0"/>
    <n v="15857.317073170732"/>
    <n v="4478.416666666667"/>
    <n v="2060.0716666666667"/>
    <n v="28"/>
    <n v="3211.74"/>
  </r>
  <r>
    <x v="497"/>
    <d v="2023-01-06T00:00:00"/>
    <s v="B0498"/>
    <x v="8"/>
    <n v="27958"/>
    <n v="10.4"/>
    <x v="1"/>
    <x v="0"/>
    <x v="6"/>
    <x v="2"/>
    <n v="40692"/>
    <x v="1"/>
    <n v="0.16"/>
    <n v="0.76"/>
    <n v="30865.63"/>
    <n v="0"/>
    <n v="36786.84210526316"/>
    <n v="3391"/>
    <n v="542.56000000000006"/>
    <n v="38"/>
    <n v="2907.630000000001"/>
  </r>
  <r>
    <x v="498"/>
    <d v="2023-02-23T00:00:00"/>
    <s v="B0499"/>
    <x v="8"/>
    <n v="27017"/>
    <n v="13.1"/>
    <x v="1"/>
    <x v="1"/>
    <x v="0"/>
    <x v="2"/>
    <n v="77295"/>
    <x v="0"/>
    <n v="0.41"/>
    <n v="0.87"/>
    <n v="4494.63"/>
    <n v="0"/>
    <n v="31054.022988505749"/>
    <n v="6441.25"/>
    <n v="2640.9124999999999"/>
    <n v="36"/>
    <n v="-22522.37"/>
  </r>
  <r>
    <x v="499"/>
    <d v="2023-08-26T00:00:00"/>
    <s v="B0500"/>
    <x v="6"/>
    <n v="12171"/>
    <n v="22.8"/>
    <x v="0"/>
    <x v="0"/>
    <x v="5"/>
    <x v="0"/>
    <n v="75541"/>
    <x v="1"/>
    <n v="0.35"/>
    <n v="0.68"/>
    <n v="14945.99"/>
    <n v="0"/>
    <n v="17898.529411764706"/>
    <n v="6295.083333333333"/>
    <n v="2203.2791666666662"/>
    <n v="30"/>
    <n v="2774.99"/>
  </r>
  <r>
    <x v="500"/>
    <d v="2021-12-24T00:00:00"/>
    <s v="B0501"/>
    <x v="7"/>
    <n v="13201"/>
    <n v="5.0999999999999996"/>
    <x v="1"/>
    <x v="1"/>
    <x v="4"/>
    <x v="0"/>
    <n v="64057"/>
    <x v="0"/>
    <n v="0.24"/>
    <n v="0.7"/>
    <n v="4962.1499999999996"/>
    <n v="0"/>
    <n v="18858.571428571431"/>
    <n v="5338.083333333333"/>
    <n v="1281.1399999999999"/>
    <n v="50"/>
    <n v="-8238.85"/>
  </r>
  <r>
    <x v="501"/>
    <d v="2023-08-30T00:00:00"/>
    <s v="B0502"/>
    <x v="7"/>
    <n v="30426"/>
    <n v="5.8"/>
    <x v="1"/>
    <x v="0"/>
    <x v="1"/>
    <x v="0"/>
    <n v="96983"/>
    <x v="1"/>
    <n v="0.45"/>
    <n v="0.83"/>
    <n v="32190.71"/>
    <n v="0"/>
    <n v="36657.831325301209"/>
    <n v="8081.916666666667"/>
    <n v="3636.8625000000002"/>
    <n v="30"/>
    <n v="1764.7099999999991"/>
  </r>
  <r>
    <x v="502"/>
    <d v="2022-10-30T00:00:00"/>
    <s v="B0503"/>
    <x v="9"/>
    <n v="18778"/>
    <n v="17.100000000000001"/>
    <x v="0"/>
    <x v="0"/>
    <x v="4"/>
    <x v="2"/>
    <n v="49583"/>
    <x v="2"/>
    <n v="0.11"/>
    <n v="0.66"/>
    <n v="21989.040000000001"/>
    <n v="0"/>
    <n v="28451.515151515152"/>
    <n v="4131.916666666667"/>
    <n v="454.51083333333338"/>
    <n v="40"/>
    <n v="3211.0400000000009"/>
  </r>
  <r>
    <x v="503"/>
    <d v="2022-01-08T00:00:00"/>
    <s v="B0504"/>
    <x v="5"/>
    <n v="22116"/>
    <n v="23.1"/>
    <x v="0"/>
    <x v="0"/>
    <x v="6"/>
    <x v="1"/>
    <n v="52765"/>
    <x v="1"/>
    <n v="0.19"/>
    <n v="0.53"/>
    <n v="27224.799999999999"/>
    <n v="0"/>
    <n v="41728.301886792447"/>
    <n v="4397.083333333333"/>
    <n v="835.44583333333333"/>
    <n v="50"/>
    <n v="5108.7999999999993"/>
  </r>
  <r>
    <x v="504"/>
    <d v="2023-10-29T00:00:00"/>
    <s v="B0505"/>
    <x v="0"/>
    <n v="34297"/>
    <n v="9.8000000000000007"/>
    <x v="1"/>
    <x v="1"/>
    <x v="5"/>
    <x v="2"/>
    <n v="89287"/>
    <x v="1"/>
    <n v="0.33"/>
    <n v="0.53"/>
    <n v="15729.14"/>
    <n v="0"/>
    <n v="64711.32075471698"/>
    <n v="7440.583333333333"/>
    <n v="2455.3924999999999"/>
    <n v="28"/>
    <n v="-18567.86"/>
  </r>
  <r>
    <x v="505"/>
    <d v="2022-11-07T00:00:00"/>
    <s v="B0506"/>
    <x v="3"/>
    <n v="20342"/>
    <n v="14.4"/>
    <x v="0"/>
    <x v="0"/>
    <x v="6"/>
    <x v="4"/>
    <n v="53906"/>
    <x v="1"/>
    <n v="0.24"/>
    <n v="0.55000000000000004"/>
    <n v="23271.25"/>
    <n v="0"/>
    <n v="36985.454545454544"/>
    <n v="4492.166666666667"/>
    <n v="1078.1200000000001"/>
    <n v="40"/>
    <n v="2929.25"/>
  </r>
  <r>
    <x v="506"/>
    <d v="2021-03-31T00:00:00"/>
    <s v="B0507"/>
    <x v="4"/>
    <n v="28490"/>
    <n v="14"/>
    <x v="0"/>
    <x v="1"/>
    <x v="3"/>
    <x v="1"/>
    <n v="115103"/>
    <x v="2"/>
    <n v="0.34"/>
    <n v="0.89"/>
    <n v="4446.13"/>
    <n v="0"/>
    <n v="32011.235955056178"/>
    <n v="9591.9166666666661"/>
    <n v="3261.2516666666666"/>
    <n v="59"/>
    <n v="-24043.87"/>
  </r>
  <r>
    <x v="507"/>
    <d v="2022-11-29T00:00:00"/>
    <s v="B0508"/>
    <x v="6"/>
    <n v="20975"/>
    <n v="14.5"/>
    <x v="1"/>
    <x v="0"/>
    <x v="1"/>
    <x v="0"/>
    <n v="109675"/>
    <x v="0"/>
    <n v="0.11"/>
    <n v="0.71"/>
    <n v="24016.38"/>
    <n v="0"/>
    <n v="29542.25352112676"/>
    <n v="9139.5833333333339"/>
    <n v="1005.3541666666667"/>
    <n v="39"/>
    <n v="3041.380000000001"/>
  </r>
  <r>
    <x v="508"/>
    <d v="2022-06-24T00:00:00"/>
    <s v="B0509"/>
    <x v="9"/>
    <n v="27723"/>
    <n v="17.5"/>
    <x v="0"/>
    <x v="1"/>
    <x v="3"/>
    <x v="3"/>
    <n v="76525"/>
    <x v="1"/>
    <n v="0.15"/>
    <n v="0.82"/>
    <n v="12716.99"/>
    <n v="0"/>
    <n v="33808.536585365859"/>
    <n v="6377.083333333333"/>
    <n v="956.56249999999989"/>
    <n v="44"/>
    <n v="-15006.01"/>
  </r>
  <r>
    <x v="509"/>
    <d v="2023-01-02T00:00:00"/>
    <s v="B0510"/>
    <x v="0"/>
    <n v="24279"/>
    <n v="14.4"/>
    <x v="0"/>
    <x v="1"/>
    <x v="0"/>
    <x v="1"/>
    <n v="68230"/>
    <x v="1"/>
    <n v="0.15"/>
    <n v="0.68"/>
    <n v="4595.21"/>
    <n v="0"/>
    <n v="35704.411764705881"/>
    <n v="5685.833333333333"/>
    <n v="852.87499999999989"/>
    <n v="38"/>
    <n v="-19683.79"/>
  </r>
  <r>
    <x v="510"/>
    <d v="2023-05-19T00:00:00"/>
    <s v="B0511"/>
    <x v="5"/>
    <n v="13765"/>
    <n v="13.9"/>
    <x v="1"/>
    <x v="0"/>
    <x v="4"/>
    <x v="0"/>
    <n v="147904"/>
    <x v="2"/>
    <n v="0.18"/>
    <n v="0.62"/>
    <n v="15678.34"/>
    <n v="0"/>
    <n v="22201.612903225807"/>
    <n v="12325.333333333334"/>
    <n v="2218.56"/>
    <n v="34"/>
    <n v="1913.3400000000001"/>
  </r>
  <r>
    <x v="511"/>
    <d v="2021-02-10T00:00:00"/>
    <s v="B0512"/>
    <x v="0"/>
    <n v="12561"/>
    <n v="14.5"/>
    <x v="0"/>
    <x v="1"/>
    <x v="0"/>
    <x v="1"/>
    <n v="49520"/>
    <x v="0"/>
    <n v="0.28000000000000003"/>
    <n v="0.66"/>
    <n v="6147.18"/>
    <n v="0"/>
    <n v="19031.81818181818"/>
    <n v="4126.666666666667"/>
    <n v="1155.4666666666669"/>
    <n v="61"/>
    <n v="-6413.82"/>
  </r>
  <r>
    <x v="512"/>
    <d v="2023-01-10T00:00:00"/>
    <s v="B0513"/>
    <x v="0"/>
    <n v="1525"/>
    <n v="16.8"/>
    <x v="1"/>
    <x v="0"/>
    <x v="4"/>
    <x v="1"/>
    <n v="115238"/>
    <x v="1"/>
    <n v="0.4"/>
    <n v="0.86"/>
    <n v="1781.2"/>
    <n v="0"/>
    <n v="1773.2558139534883"/>
    <n v="9603.1666666666661"/>
    <n v="3841.2666666666664"/>
    <n v="38"/>
    <n v="256.20000000000005"/>
  </r>
  <r>
    <x v="513"/>
    <d v="2022-05-17T00:00:00"/>
    <s v="B0514"/>
    <x v="6"/>
    <n v="23861"/>
    <n v="15.7"/>
    <x v="1"/>
    <x v="0"/>
    <x v="6"/>
    <x v="2"/>
    <n v="81934"/>
    <x v="2"/>
    <n v="0.46"/>
    <n v="0.78"/>
    <n v="27607.18"/>
    <n v="0"/>
    <n v="30591.025641025641"/>
    <n v="6827.833333333333"/>
    <n v="3140.8033333333333"/>
    <n v="46"/>
    <n v="3746.1800000000003"/>
  </r>
  <r>
    <x v="514"/>
    <d v="2023-08-17T00:00:00"/>
    <s v="B0515"/>
    <x v="9"/>
    <n v="34142"/>
    <n v="22.1"/>
    <x v="0"/>
    <x v="0"/>
    <x v="0"/>
    <x v="4"/>
    <n v="55566"/>
    <x v="0"/>
    <n v="0.43"/>
    <n v="0.92"/>
    <n v="41687.379999999997"/>
    <n v="0"/>
    <n v="37110.869565217392"/>
    <n v="4630.5"/>
    <n v="1991.115"/>
    <n v="31"/>
    <n v="7545.3799999999974"/>
  </r>
  <r>
    <x v="515"/>
    <d v="2023-07-18T00:00:00"/>
    <s v="B0516"/>
    <x v="1"/>
    <n v="27916"/>
    <n v="6"/>
    <x v="0"/>
    <x v="1"/>
    <x v="5"/>
    <x v="3"/>
    <n v="103193"/>
    <x v="0"/>
    <n v="0.18"/>
    <n v="0.81"/>
    <n v="4929.04"/>
    <n v="0"/>
    <n v="34464.197530864192"/>
    <n v="8599.4166666666661"/>
    <n v="1547.8949999999998"/>
    <n v="32"/>
    <n v="-22986.959999999999"/>
  </r>
  <r>
    <x v="516"/>
    <d v="2022-04-06T00:00:00"/>
    <s v="B0517"/>
    <x v="8"/>
    <n v="5648"/>
    <n v="21.7"/>
    <x v="0"/>
    <x v="3"/>
    <x v="5"/>
    <x v="0"/>
    <n v="133224"/>
    <x v="1"/>
    <n v="0.28000000000000003"/>
    <n v="0.76"/>
    <n v="2180.3000000000002"/>
    <n v="1908.91"/>
    <n v="7431.5789473684208"/>
    <n v="11102"/>
    <n v="3108.5600000000004"/>
    <n v="47"/>
    <n v="-1558.79"/>
  </r>
  <r>
    <x v="517"/>
    <d v="2023-01-02T00:00:00"/>
    <s v="B0518"/>
    <x v="3"/>
    <n v="36133"/>
    <n v="21.9"/>
    <x v="1"/>
    <x v="1"/>
    <x v="5"/>
    <x v="1"/>
    <n v="60134"/>
    <x v="1"/>
    <n v="0.18"/>
    <n v="0.77"/>
    <n v="2677.28"/>
    <n v="0"/>
    <n v="46925.974025974028"/>
    <n v="5011.166666666667"/>
    <n v="902.01"/>
    <n v="38"/>
    <n v="-33455.72"/>
  </r>
  <r>
    <x v="518"/>
    <d v="2023-01-22T00:00:00"/>
    <s v="B0519"/>
    <x v="9"/>
    <n v="31523"/>
    <n v="10.7"/>
    <x v="0"/>
    <x v="0"/>
    <x v="5"/>
    <x v="3"/>
    <n v="40345"/>
    <x v="1"/>
    <n v="0.21"/>
    <n v="0.92"/>
    <n v="34895.96"/>
    <n v="0"/>
    <n v="34264.130434782608"/>
    <n v="3362.0833333333335"/>
    <n v="706.03750000000002"/>
    <n v="37"/>
    <n v="3372.9599999999991"/>
  </r>
  <r>
    <x v="519"/>
    <d v="2023-07-14T00:00:00"/>
    <s v="B0520"/>
    <x v="4"/>
    <n v="30052"/>
    <n v="14.3"/>
    <x v="1"/>
    <x v="1"/>
    <x v="6"/>
    <x v="1"/>
    <n v="71185"/>
    <x v="1"/>
    <n v="0.3"/>
    <n v="0.85"/>
    <n v="11094.37"/>
    <n v="0"/>
    <n v="35355.294117647063"/>
    <n v="5932.083333333333"/>
    <n v="1779.6249999999998"/>
    <n v="32"/>
    <n v="-18957.629999999997"/>
  </r>
  <r>
    <x v="520"/>
    <d v="2023-06-28T00:00:00"/>
    <s v="B0521"/>
    <x v="0"/>
    <n v="35414"/>
    <n v="13.8"/>
    <x v="0"/>
    <x v="0"/>
    <x v="0"/>
    <x v="4"/>
    <n v="145464"/>
    <x v="2"/>
    <n v="0.13"/>
    <n v="0.51"/>
    <n v="40301.129999999997"/>
    <n v="0"/>
    <n v="69439.215686274503"/>
    <n v="12122"/>
    <n v="1575.8600000000001"/>
    <n v="32"/>
    <n v="4887.1299999999974"/>
  </r>
  <r>
    <x v="521"/>
    <d v="2022-01-25T00:00:00"/>
    <s v="B0522"/>
    <x v="1"/>
    <n v="33781"/>
    <n v="9.4"/>
    <x v="0"/>
    <x v="3"/>
    <x v="4"/>
    <x v="3"/>
    <n v="122949"/>
    <x v="2"/>
    <n v="0.19"/>
    <n v="0.74"/>
    <n v="8770.67"/>
    <n v="14712.11"/>
    <n v="45650"/>
    <n v="10245.75"/>
    <n v="1946.6925000000001"/>
    <n v="49"/>
    <n v="-10298.220000000001"/>
  </r>
  <r>
    <x v="522"/>
    <d v="2023-06-02T00:00:00"/>
    <s v="B0523"/>
    <x v="6"/>
    <n v="5599"/>
    <n v="12.9"/>
    <x v="0"/>
    <x v="0"/>
    <x v="5"/>
    <x v="0"/>
    <n v="100744"/>
    <x v="1"/>
    <n v="0.47"/>
    <n v="0.81"/>
    <n v="6321.27"/>
    <n v="0"/>
    <n v="6912.3456790123455"/>
    <n v="8395.3333333333339"/>
    <n v="3945.8066666666668"/>
    <n v="33"/>
    <n v="722.27000000000044"/>
  </r>
  <r>
    <x v="523"/>
    <d v="2021-09-13T00:00:00"/>
    <s v="B0524"/>
    <x v="2"/>
    <n v="36046"/>
    <n v="5.9"/>
    <x v="1"/>
    <x v="2"/>
    <x v="1"/>
    <x v="1"/>
    <n v="63455"/>
    <x v="0"/>
    <n v="0.28999999999999998"/>
    <n v="0.84"/>
    <n v="0"/>
    <n v="0"/>
    <n v="42911.904761904763"/>
    <n v="5287.916666666667"/>
    <n v="1533.4958333333334"/>
    <n v="54"/>
    <n v="-36046"/>
  </r>
  <r>
    <x v="524"/>
    <d v="2022-12-10T00:00:00"/>
    <s v="B0525"/>
    <x v="3"/>
    <n v="36923"/>
    <n v="10.6"/>
    <x v="0"/>
    <x v="1"/>
    <x v="4"/>
    <x v="4"/>
    <n v="145217"/>
    <x v="1"/>
    <n v="0.28000000000000003"/>
    <n v="0.6"/>
    <n v="9786.24"/>
    <n v="0"/>
    <n v="61538.333333333336"/>
    <n v="12101.416666666666"/>
    <n v="3388.396666666667"/>
    <n v="39"/>
    <n v="-27136.760000000002"/>
  </r>
  <r>
    <x v="525"/>
    <d v="2022-03-26T00:00:00"/>
    <s v="B0526"/>
    <x v="3"/>
    <n v="4814"/>
    <n v="21.3"/>
    <x v="0"/>
    <x v="1"/>
    <x v="6"/>
    <x v="3"/>
    <n v="58018"/>
    <x v="0"/>
    <n v="0.11"/>
    <n v="0.89"/>
    <n v="724.86"/>
    <n v="0"/>
    <n v="5408.9887640449433"/>
    <n v="4834.833333333333"/>
    <n v="531.83166666666659"/>
    <n v="47"/>
    <n v="-4089.14"/>
  </r>
  <r>
    <x v="526"/>
    <d v="2021-01-10T00:00:00"/>
    <s v="B0527"/>
    <x v="8"/>
    <n v="36984"/>
    <n v="10.7"/>
    <x v="1"/>
    <x v="1"/>
    <x v="4"/>
    <x v="1"/>
    <n v="84219"/>
    <x v="0"/>
    <n v="0.2"/>
    <n v="0.93"/>
    <n v="13592.29"/>
    <n v="0"/>
    <n v="39767.741935483871"/>
    <n v="7018.25"/>
    <n v="1403.65"/>
    <n v="62"/>
    <n v="-23391.71"/>
  </r>
  <r>
    <x v="527"/>
    <d v="2023-04-04T00:00:00"/>
    <s v="B0528"/>
    <x v="2"/>
    <n v="27616"/>
    <n v="21.4"/>
    <x v="1"/>
    <x v="0"/>
    <x v="4"/>
    <x v="1"/>
    <n v="75991"/>
    <x v="0"/>
    <n v="0.45"/>
    <n v="0.61"/>
    <n v="33525.82"/>
    <n v="0"/>
    <n v="45272.131147540982"/>
    <n v="6332.583333333333"/>
    <n v="2849.6624999999999"/>
    <n v="35"/>
    <n v="5909.82"/>
  </r>
  <r>
    <x v="528"/>
    <d v="2023-03-09T00:00:00"/>
    <s v="B0529"/>
    <x v="5"/>
    <n v="3113"/>
    <n v="15.6"/>
    <x v="0"/>
    <x v="1"/>
    <x v="0"/>
    <x v="0"/>
    <n v="103616"/>
    <x v="2"/>
    <n v="0.17"/>
    <n v="0.9"/>
    <n v="422.95"/>
    <n v="0"/>
    <n v="3458.8888888888887"/>
    <n v="8634.6666666666661"/>
    <n v="1467.8933333333334"/>
    <n v="36"/>
    <n v="-2690.05"/>
  </r>
  <r>
    <x v="529"/>
    <d v="2023-05-27T00:00:00"/>
    <s v="B0530"/>
    <x v="2"/>
    <n v="14760"/>
    <n v="22.6"/>
    <x v="0"/>
    <x v="0"/>
    <x v="5"/>
    <x v="4"/>
    <n v="117438"/>
    <x v="0"/>
    <n v="0.27"/>
    <n v="0.54"/>
    <n v="18095.759999999998"/>
    <n v="0"/>
    <n v="27333.333333333332"/>
    <n v="9786.5"/>
    <n v="2642.355"/>
    <n v="33"/>
    <n v="3335.7599999999984"/>
  </r>
  <r>
    <x v="530"/>
    <d v="2023-10-26T00:00:00"/>
    <s v="B0531"/>
    <x v="0"/>
    <n v="22927"/>
    <n v="16.5"/>
    <x v="0"/>
    <x v="1"/>
    <x v="1"/>
    <x v="2"/>
    <n v="146841"/>
    <x v="0"/>
    <n v="0.11"/>
    <n v="0.53"/>
    <n v="6850.1"/>
    <n v="0"/>
    <n v="43258.490566037734"/>
    <n v="12236.75"/>
    <n v="1346.0425"/>
    <n v="28"/>
    <n v="-16076.9"/>
  </r>
  <r>
    <x v="531"/>
    <d v="2023-10-13T00:00:00"/>
    <s v="B0532"/>
    <x v="0"/>
    <n v="21939"/>
    <n v="5.6"/>
    <x v="1"/>
    <x v="1"/>
    <x v="0"/>
    <x v="1"/>
    <n v="39486"/>
    <x v="2"/>
    <n v="0.28999999999999998"/>
    <n v="0.56000000000000005"/>
    <n v="3597.13"/>
    <n v="0"/>
    <n v="39176.78571428571"/>
    <n v="3290.5"/>
    <n v="954.24499999999989"/>
    <n v="29"/>
    <n v="-18341.87"/>
  </r>
  <r>
    <x v="532"/>
    <d v="2022-01-09T00:00:00"/>
    <s v="B0533"/>
    <x v="0"/>
    <n v="33419"/>
    <n v="18.5"/>
    <x v="1"/>
    <x v="3"/>
    <x v="4"/>
    <x v="3"/>
    <n v="68862"/>
    <x v="0"/>
    <n v="0.11"/>
    <n v="0.53"/>
    <n v="12922.67"/>
    <n v="11291.82"/>
    <n v="63054.716981132071"/>
    <n v="5738.5"/>
    <n v="631.23500000000001"/>
    <n v="50"/>
    <n v="-9204.510000000002"/>
  </r>
  <r>
    <x v="533"/>
    <d v="2023-12-25T00:00:00"/>
    <s v="B0534"/>
    <x v="0"/>
    <n v="13588"/>
    <n v="5.9"/>
    <x v="1"/>
    <x v="0"/>
    <x v="6"/>
    <x v="0"/>
    <n v="88870"/>
    <x v="0"/>
    <n v="0.43"/>
    <n v="0.88"/>
    <n v="14389.69"/>
    <n v="0"/>
    <n v="15440.90909090909"/>
    <n v="7405.833333333333"/>
    <n v="3184.5083333333332"/>
    <n v="26"/>
    <n v="801.69000000000051"/>
  </r>
  <r>
    <x v="534"/>
    <d v="2021-05-26T00:00:00"/>
    <s v="B0535"/>
    <x v="9"/>
    <n v="37142"/>
    <n v="14"/>
    <x v="1"/>
    <x v="0"/>
    <x v="4"/>
    <x v="0"/>
    <n v="116694"/>
    <x v="1"/>
    <n v="0.43"/>
    <n v="0.53"/>
    <n v="42341.88"/>
    <n v="0"/>
    <n v="70079.24528301887"/>
    <n v="9724.5"/>
    <n v="4181.5349999999999"/>
    <n v="57"/>
    <n v="5199.8799999999974"/>
  </r>
  <r>
    <x v="535"/>
    <d v="2021-08-12T00:00:00"/>
    <s v="B0536"/>
    <x v="3"/>
    <n v="34397"/>
    <n v="23.6"/>
    <x v="0"/>
    <x v="0"/>
    <x v="0"/>
    <x v="1"/>
    <n v="135996"/>
    <x v="0"/>
    <n v="0.42"/>
    <n v="0.62"/>
    <n v="42514.69"/>
    <n v="0"/>
    <n v="55479.032258064515"/>
    <n v="11333"/>
    <n v="4759.8599999999997"/>
    <n v="55"/>
    <n v="8117.6900000000023"/>
  </r>
  <r>
    <x v="536"/>
    <d v="2021-06-26T00:00:00"/>
    <s v="B0537"/>
    <x v="2"/>
    <n v="17653"/>
    <n v="8.3000000000000007"/>
    <x v="1"/>
    <x v="1"/>
    <x v="1"/>
    <x v="1"/>
    <n v="73856"/>
    <x v="0"/>
    <n v="0.21"/>
    <n v="0.55000000000000004"/>
    <n v="1110.0899999999999"/>
    <n v="0"/>
    <n v="32096.363636363632"/>
    <n v="6154.666666666667"/>
    <n v="1292.48"/>
    <n v="56"/>
    <n v="-16542.91"/>
  </r>
  <r>
    <x v="537"/>
    <d v="2023-05-03T00:00:00"/>
    <s v="B0538"/>
    <x v="3"/>
    <n v="11831"/>
    <n v="12.8"/>
    <x v="1"/>
    <x v="0"/>
    <x v="0"/>
    <x v="1"/>
    <n v="131407"/>
    <x v="0"/>
    <n v="0.43"/>
    <n v="0.63"/>
    <n v="13345.37"/>
    <n v="0"/>
    <n v="18779.365079365078"/>
    <n v="10950.583333333334"/>
    <n v="4708.7508333333335"/>
    <n v="34"/>
    <n v="1514.3700000000008"/>
  </r>
  <r>
    <x v="538"/>
    <d v="2021-03-04T00:00:00"/>
    <s v="B0539"/>
    <x v="4"/>
    <n v="6724"/>
    <n v="19.600000000000001"/>
    <x v="1"/>
    <x v="0"/>
    <x v="2"/>
    <x v="2"/>
    <n v="130744"/>
    <x v="0"/>
    <n v="0.32"/>
    <n v="0.54"/>
    <n v="8041.9"/>
    <n v="0"/>
    <n v="12451.85185185185"/>
    <n v="10895.333333333334"/>
    <n v="3486.5066666666671"/>
    <n v="60"/>
    <n v="1317.8999999999996"/>
  </r>
  <r>
    <x v="539"/>
    <d v="2023-04-07T00:00:00"/>
    <s v="B0540"/>
    <x v="2"/>
    <n v="12083"/>
    <n v="22.6"/>
    <x v="0"/>
    <x v="1"/>
    <x v="0"/>
    <x v="1"/>
    <n v="116055"/>
    <x v="0"/>
    <n v="0.25"/>
    <n v="0.8"/>
    <n v="1690.14"/>
    <n v="0"/>
    <n v="15103.75"/>
    <n v="9671.25"/>
    <n v="2417.8125"/>
    <n v="35"/>
    <n v="-10392.86"/>
  </r>
  <r>
    <x v="540"/>
    <d v="2023-03-06T00:00:00"/>
    <s v="B0541"/>
    <x v="9"/>
    <n v="20816"/>
    <n v="18.399999999999999"/>
    <x v="0"/>
    <x v="1"/>
    <x v="1"/>
    <x v="4"/>
    <n v="61379"/>
    <x v="2"/>
    <n v="0.35"/>
    <n v="0.56000000000000005"/>
    <n v="3310.57"/>
    <n v="0"/>
    <n v="37171.428571428565"/>
    <n v="5114.916666666667"/>
    <n v="1790.2208333333333"/>
    <n v="36"/>
    <n v="-17505.43"/>
  </r>
  <r>
    <x v="541"/>
    <d v="2022-11-20T00:00:00"/>
    <s v="B0542"/>
    <x v="4"/>
    <n v="7276"/>
    <n v="10.199999999999999"/>
    <x v="1"/>
    <x v="0"/>
    <x v="5"/>
    <x v="3"/>
    <n v="94729"/>
    <x v="0"/>
    <n v="0.1"/>
    <n v="0.88"/>
    <n v="8018.15"/>
    <n v="0"/>
    <n v="8268.181818181818"/>
    <n v="7894.083333333333"/>
    <n v="789.4083333333333"/>
    <n v="39"/>
    <n v="742.14999999999964"/>
  </r>
  <r>
    <x v="542"/>
    <d v="2021-04-15T00:00:00"/>
    <s v="B0543"/>
    <x v="3"/>
    <n v="39663"/>
    <n v="18.5"/>
    <x v="1"/>
    <x v="0"/>
    <x v="6"/>
    <x v="1"/>
    <n v="58378"/>
    <x v="0"/>
    <n v="0.16"/>
    <n v="0.87"/>
    <n v="47000.66"/>
    <n v="0"/>
    <n v="45589.65517241379"/>
    <n v="4864.833333333333"/>
    <n v="778.37333333333333"/>
    <n v="59"/>
    <n v="7337.6600000000035"/>
  </r>
  <r>
    <x v="543"/>
    <d v="2022-05-26T00:00:00"/>
    <s v="B0544"/>
    <x v="4"/>
    <n v="14994"/>
    <n v="10.9"/>
    <x v="0"/>
    <x v="1"/>
    <x v="0"/>
    <x v="2"/>
    <n v="135428"/>
    <x v="2"/>
    <n v="0.4"/>
    <n v="0.51"/>
    <n v="3543.54"/>
    <n v="0"/>
    <n v="29400"/>
    <n v="11285.666666666666"/>
    <n v="4514.2666666666664"/>
    <n v="45"/>
    <n v="-11450.46"/>
  </r>
  <r>
    <x v="544"/>
    <d v="2022-01-20T00:00:00"/>
    <s v="B0545"/>
    <x v="8"/>
    <n v="24499"/>
    <n v="19.399999999999999"/>
    <x v="0"/>
    <x v="0"/>
    <x v="1"/>
    <x v="3"/>
    <n v="84353"/>
    <x v="2"/>
    <n v="0.2"/>
    <n v="0.9"/>
    <n v="29251.81"/>
    <n v="0"/>
    <n v="27221.111111111109"/>
    <n v="7029.416666666667"/>
    <n v="1405.8833333333334"/>
    <n v="49"/>
    <n v="4752.8100000000013"/>
  </r>
  <r>
    <x v="545"/>
    <d v="2022-02-09T00:00:00"/>
    <s v="B0546"/>
    <x v="4"/>
    <n v="24040"/>
    <n v="24.1"/>
    <x v="0"/>
    <x v="1"/>
    <x v="5"/>
    <x v="0"/>
    <n v="79996"/>
    <x v="0"/>
    <n v="0.34"/>
    <n v="0.51"/>
    <n v="3719.68"/>
    <n v="0"/>
    <n v="47137.254901960783"/>
    <n v="6666.333333333333"/>
    <n v="2266.5533333333333"/>
    <n v="49"/>
    <n v="-20320.32"/>
  </r>
  <r>
    <x v="546"/>
    <d v="2023-04-03T00:00:00"/>
    <s v="B0547"/>
    <x v="2"/>
    <n v="17959"/>
    <n v="19.399999999999999"/>
    <x v="0"/>
    <x v="0"/>
    <x v="5"/>
    <x v="1"/>
    <n v="44031"/>
    <x v="0"/>
    <n v="0.25"/>
    <n v="0.61"/>
    <n v="21443.05"/>
    <n v="0"/>
    <n v="29440.983606557376"/>
    <n v="3669.25"/>
    <n v="917.3125"/>
    <n v="35"/>
    <n v="3484.0499999999993"/>
  </r>
  <r>
    <x v="547"/>
    <d v="2022-06-02T00:00:00"/>
    <s v="B0548"/>
    <x v="0"/>
    <n v="7099"/>
    <n v="22.3"/>
    <x v="0"/>
    <x v="3"/>
    <x v="5"/>
    <x v="3"/>
    <n v="110072"/>
    <x v="0"/>
    <n v="0.44"/>
    <n v="0.51"/>
    <n v="1756.33"/>
    <n v="874.52"/>
    <n v="13919.607843137255"/>
    <n v="9172.6666666666661"/>
    <n v="4035.9733333333329"/>
    <n v="45"/>
    <n v="-4468.1499999999996"/>
  </r>
  <r>
    <x v="548"/>
    <d v="2022-04-21T00:00:00"/>
    <s v="B0549"/>
    <x v="0"/>
    <n v="20576"/>
    <n v="5"/>
    <x v="0"/>
    <x v="0"/>
    <x v="1"/>
    <x v="0"/>
    <n v="95982"/>
    <x v="1"/>
    <n v="0.48"/>
    <n v="0.65"/>
    <n v="21604.799999999999"/>
    <n v="0"/>
    <n v="31655.384615384613"/>
    <n v="7998.5"/>
    <n v="3839.2799999999997"/>
    <n v="46"/>
    <n v="1028.7999999999993"/>
  </r>
  <r>
    <x v="549"/>
    <d v="2022-12-10T00:00:00"/>
    <s v="B0550"/>
    <x v="5"/>
    <n v="36946"/>
    <n v="19.399999999999999"/>
    <x v="0"/>
    <x v="0"/>
    <x v="2"/>
    <x v="2"/>
    <n v="66683"/>
    <x v="1"/>
    <n v="0.45"/>
    <n v="0.73"/>
    <n v="44113.52"/>
    <n v="0"/>
    <n v="50610.95890410959"/>
    <n v="5556.916666666667"/>
    <n v="2500.6125000000002"/>
    <n v="39"/>
    <n v="7167.5199999999968"/>
  </r>
  <r>
    <x v="550"/>
    <d v="2023-02-10T00:00:00"/>
    <s v="B0551"/>
    <x v="3"/>
    <n v="7116"/>
    <n v="21.6"/>
    <x v="0"/>
    <x v="1"/>
    <x v="0"/>
    <x v="4"/>
    <n v="144091"/>
    <x v="0"/>
    <n v="0.21"/>
    <n v="0.86"/>
    <n v="3149.61"/>
    <n v="0"/>
    <n v="8274.4186046511622"/>
    <n v="12007.583333333334"/>
    <n v="2521.5925000000002"/>
    <n v="37"/>
    <n v="-3966.39"/>
  </r>
  <r>
    <x v="551"/>
    <d v="2023-11-13T00:00:00"/>
    <s v="B0552"/>
    <x v="8"/>
    <n v="16563"/>
    <n v="5.8"/>
    <x v="1"/>
    <x v="1"/>
    <x v="0"/>
    <x v="1"/>
    <n v="147797"/>
    <x v="2"/>
    <n v="0.18"/>
    <n v="0.65"/>
    <n v="6135.41"/>
    <n v="0"/>
    <n v="25481.538461538461"/>
    <n v="12316.416666666666"/>
    <n v="2216.9549999999999"/>
    <n v="28"/>
    <n v="-10427.59"/>
  </r>
  <r>
    <x v="552"/>
    <d v="2023-09-24T00:00:00"/>
    <s v="B0553"/>
    <x v="2"/>
    <n v="27788"/>
    <n v="22.4"/>
    <x v="1"/>
    <x v="0"/>
    <x v="6"/>
    <x v="4"/>
    <n v="47618"/>
    <x v="0"/>
    <n v="0.28999999999999998"/>
    <n v="0.82"/>
    <n v="34012.51"/>
    <n v="0"/>
    <n v="33887.804878048781"/>
    <n v="3968.1666666666665"/>
    <n v="1150.7683333333332"/>
    <n v="29"/>
    <n v="6224.510000000002"/>
  </r>
  <r>
    <x v="553"/>
    <d v="2022-11-08T00:00:00"/>
    <s v="B0554"/>
    <x v="2"/>
    <n v="27928"/>
    <n v="10.1"/>
    <x v="1"/>
    <x v="1"/>
    <x v="0"/>
    <x v="2"/>
    <n v="36587"/>
    <x v="2"/>
    <n v="0.1"/>
    <n v="0.57999999999999996"/>
    <n v="8685.1299999999992"/>
    <n v="0"/>
    <n v="48151.724137931036"/>
    <n v="3048.9166666666665"/>
    <n v="304.89166666666665"/>
    <n v="40"/>
    <n v="-19242.870000000003"/>
  </r>
  <r>
    <x v="554"/>
    <d v="2022-12-15T00:00:00"/>
    <s v="B0555"/>
    <x v="6"/>
    <n v="37336"/>
    <n v="18.3"/>
    <x v="1"/>
    <x v="0"/>
    <x v="3"/>
    <x v="3"/>
    <n v="92790"/>
    <x v="2"/>
    <n v="0.11"/>
    <n v="0.84"/>
    <n v="44168.49"/>
    <n v="0"/>
    <n v="44447.619047619046"/>
    <n v="7732.5"/>
    <n v="850.57500000000005"/>
    <n v="39"/>
    <n v="6832.489999999998"/>
  </r>
  <r>
    <x v="555"/>
    <d v="2021-03-24T00:00:00"/>
    <s v="B0556"/>
    <x v="7"/>
    <n v="10847"/>
    <n v="21"/>
    <x v="1"/>
    <x v="3"/>
    <x v="5"/>
    <x v="3"/>
    <n v="61480"/>
    <x v="2"/>
    <n v="0.32"/>
    <n v="0.61"/>
    <n v="1374.33"/>
    <n v="4848.7"/>
    <n v="17781.967213114756"/>
    <n v="5123.333333333333"/>
    <n v="1639.4666666666667"/>
    <n v="59"/>
    <n v="-4623.97"/>
  </r>
  <r>
    <x v="556"/>
    <d v="2022-04-02T00:00:00"/>
    <s v="B0557"/>
    <x v="3"/>
    <n v="27155"/>
    <n v="18.3"/>
    <x v="1"/>
    <x v="1"/>
    <x v="1"/>
    <x v="2"/>
    <n v="128530"/>
    <x v="0"/>
    <n v="0.31"/>
    <n v="0.56000000000000005"/>
    <n v="9838.16"/>
    <n v="0"/>
    <n v="48491.071428571428"/>
    <n v="10710.833333333334"/>
    <n v="3320.3583333333336"/>
    <n v="47"/>
    <n v="-17316.84"/>
  </r>
  <r>
    <x v="557"/>
    <d v="2021-01-01T00:00:00"/>
    <s v="B0558"/>
    <x v="2"/>
    <n v="15135"/>
    <n v="6.8"/>
    <x v="0"/>
    <x v="0"/>
    <x v="0"/>
    <x v="2"/>
    <n v="50527"/>
    <x v="0"/>
    <n v="0.5"/>
    <n v="0.57999999999999996"/>
    <n v="16164.18"/>
    <n v="0"/>
    <n v="26094.827586206899"/>
    <n v="4210.583333333333"/>
    <n v="2105.2916666666665"/>
    <n v="62"/>
    <n v="1029.1800000000003"/>
  </r>
  <r>
    <x v="558"/>
    <d v="2021-02-20T00:00:00"/>
    <s v="B0559"/>
    <x v="1"/>
    <n v="18774"/>
    <n v="16.899999999999999"/>
    <x v="0"/>
    <x v="1"/>
    <x v="0"/>
    <x v="1"/>
    <n v="53569"/>
    <x v="2"/>
    <n v="0.18"/>
    <n v="0.57999999999999996"/>
    <n v="2344.62"/>
    <n v="0"/>
    <n v="32368.96551724138"/>
    <n v="4464.083333333333"/>
    <n v="803.53499999999997"/>
    <n v="60"/>
    <n v="-16429.38"/>
  </r>
  <r>
    <x v="559"/>
    <d v="2022-11-16T00:00:00"/>
    <s v="B0560"/>
    <x v="2"/>
    <n v="2742"/>
    <n v="16"/>
    <x v="1"/>
    <x v="0"/>
    <x v="1"/>
    <x v="0"/>
    <n v="41151"/>
    <x v="1"/>
    <n v="0.2"/>
    <n v="0.73"/>
    <n v="3180.72"/>
    <n v="0"/>
    <n v="3756.1643835616437"/>
    <n v="3429.25"/>
    <n v="685.85"/>
    <n v="40"/>
    <n v="438.7199999999998"/>
  </r>
  <r>
    <x v="560"/>
    <d v="2022-12-18T00:00:00"/>
    <s v="B0561"/>
    <x v="6"/>
    <n v="19309"/>
    <n v="23"/>
    <x v="1"/>
    <x v="0"/>
    <x v="2"/>
    <x v="4"/>
    <n v="101094"/>
    <x v="1"/>
    <n v="0.15"/>
    <n v="0.88"/>
    <n v="23750.07"/>
    <n v="0"/>
    <n v="21942.045454545456"/>
    <n v="8424.5"/>
    <n v="1263.675"/>
    <n v="39"/>
    <n v="4441.07"/>
  </r>
  <r>
    <x v="561"/>
    <d v="2022-03-25T00:00:00"/>
    <s v="B0562"/>
    <x v="4"/>
    <n v="1619"/>
    <n v="13.1"/>
    <x v="0"/>
    <x v="2"/>
    <x v="3"/>
    <x v="4"/>
    <n v="89174"/>
    <x v="1"/>
    <n v="0.47"/>
    <n v="0.54"/>
    <n v="0"/>
    <n v="0"/>
    <n v="2998.1481481481478"/>
    <n v="7431.166666666667"/>
    <n v="3492.6483333333331"/>
    <n v="47"/>
    <n v="-1619"/>
  </r>
  <r>
    <x v="562"/>
    <d v="2023-05-31T00:00:00"/>
    <s v="B0563"/>
    <x v="9"/>
    <n v="18658"/>
    <n v="11.4"/>
    <x v="0"/>
    <x v="1"/>
    <x v="0"/>
    <x v="3"/>
    <n v="74739"/>
    <x v="2"/>
    <n v="0.41"/>
    <n v="0.82"/>
    <n v="7535.32"/>
    <n v="0"/>
    <n v="22753.658536585368"/>
    <n v="6228.25"/>
    <n v="2553.5825"/>
    <n v="33"/>
    <n v="-11122.68"/>
  </r>
  <r>
    <x v="563"/>
    <d v="2022-05-03T00:00:00"/>
    <s v="B0564"/>
    <x v="9"/>
    <n v="35707"/>
    <n v="20"/>
    <x v="0"/>
    <x v="0"/>
    <x v="0"/>
    <x v="3"/>
    <n v="62954"/>
    <x v="0"/>
    <n v="0.43"/>
    <n v="0.79"/>
    <n v="42848.4"/>
    <n v="0"/>
    <n v="45198.734177215185"/>
    <n v="5246.166666666667"/>
    <n v="2255.8516666666669"/>
    <n v="46"/>
    <n v="7141.4000000000015"/>
  </r>
  <r>
    <x v="564"/>
    <d v="2021-02-03T00:00:00"/>
    <s v="B0565"/>
    <x v="1"/>
    <n v="21337"/>
    <n v="13.3"/>
    <x v="1"/>
    <x v="0"/>
    <x v="0"/>
    <x v="1"/>
    <n v="142984"/>
    <x v="2"/>
    <n v="0.46"/>
    <n v="0.89"/>
    <n v="24174.82"/>
    <n v="0"/>
    <n v="23974.157303370786"/>
    <n v="11915.333333333334"/>
    <n v="5481.0533333333342"/>
    <n v="61"/>
    <n v="2837.8199999999997"/>
  </r>
  <r>
    <x v="565"/>
    <d v="2021-04-05T00:00:00"/>
    <s v="B0566"/>
    <x v="1"/>
    <n v="17001"/>
    <n v="17.899999999999999"/>
    <x v="0"/>
    <x v="0"/>
    <x v="6"/>
    <x v="2"/>
    <n v="142863"/>
    <x v="1"/>
    <n v="0.31"/>
    <n v="0.61"/>
    <n v="20044.18"/>
    <n v="0"/>
    <n v="27870.491803278688"/>
    <n v="11905.25"/>
    <n v="3690.6275000000001"/>
    <n v="59"/>
    <n v="3043.1800000000003"/>
  </r>
  <r>
    <x v="566"/>
    <d v="2021-06-03T00:00:00"/>
    <s v="B0567"/>
    <x v="5"/>
    <n v="1968"/>
    <n v="17.899999999999999"/>
    <x v="1"/>
    <x v="2"/>
    <x v="4"/>
    <x v="4"/>
    <n v="139373"/>
    <x v="0"/>
    <n v="0.28000000000000003"/>
    <n v="0.7"/>
    <n v="0"/>
    <n v="0"/>
    <n v="2811.4285714285716"/>
    <n v="11614.416666666666"/>
    <n v="3252.0366666666669"/>
    <n v="57"/>
    <n v="-1968"/>
  </r>
  <r>
    <x v="567"/>
    <d v="2021-09-07T00:00:00"/>
    <s v="B0568"/>
    <x v="9"/>
    <n v="26892"/>
    <n v="22.8"/>
    <x v="1"/>
    <x v="0"/>
    <x v="0"/>
    <x v="1"/>
    <n v="65303"/>
    <x v="2"/>
    <n v="0.23"/>
    <n v="0.92"/>
    <n v="33023.379999999997"/>
    <n v="0"/>
    <n v="29230.434782608696"/>
    <n v="5441.916666666667"/>
    <n v="1251.6408333333334"/>
    <n v="54"/>
    <n v="6131.3799999999974"/>
  </r>
  <r>
    <x v="568"/>
    <d v="2022-11-05T00:00:00"/>
    <s v="B0569"/>
    <x v="4"/>
    <n v="26619"/>
    <n v="17"/>
    <x v="0"/>
    <x v="0"/>
    <x v="0"/>
    <x v="3"/>
    <n v="64700"/>
    <x v="2"/>
    <n v="0.34"/>
    <n v="0.8"/>
    <n v="31144.23"/>
    <n v="0"/>
    <n v="33273.75"/>
    <n v="5391.666666666667"/>
    <n v="1833.166666666667"/>
    <n v="40"/>
    <n v="4525.2299999999996"/>
  </r>
  <r>
    <x v="569"/>
    <d v="2022-03-14T00:00:00"/>
    <s v="B0570"/>
    <x v="9"/>
    <n v="1281"/>
    <n v="15"/>
    <x v="0"/>
    <x v="0"/>
    <x v="4"/>
    <x v="3"/>
    <n v="123036"/>
    <x v="1"/>
    <n v="0.28000000000000003"/>
    <n v="0.67"/>
    <n v="1473.15"/>
    <n v="0"/>
    <n v="1911.9402985074626"/>
    <n v="10253"/>
    <n v="2870.84"/>
    <n v="48"/>
    <n v="192.15000000000009"/>
  </r>
  <r>
    <x v="570"/>
    <d v="2021-04-28T00:00:00"/>
    <s v="B0571"/>
    <x v="7"/>
    <n v="28420"/>
    <n v="7.8"/>
    <x v="1"/>
    <x v="0"/>
    <x v="3"/>
    <x v="4"/>
    <n v="97568"/>
    <x v="2"/>
    <n v="0.28000000000000003"/>
    <n v="0.56000000000000005"/>
    <n v="30636.76"/>
    <n v="0"/>
    <n v="50749.999999999993"/>
    <n v="8130.666666666667"/>
    <n v="2276.586666666667"/>
    <n v="58"/>
    <n v="2216.7599999999984"/>
  </r>
  <r>
    <x v="571"/>
    <d v="2023-02-10T00:00:00"/>
    <s v="B0572"/>
    <x v="3"/>
    <n v="16360"/>
    <n v="7.3"/>
    <x v="0"/>
    <x v="0"/>
    <x v="5"/>
    <x v="3"/>
    <n v="96788"/>
    <x v="0"/>
    <n v="0.47"/>
    <n v="0.62"/>
    <n v="17554.28"/>
    <n v="0"/>
    <n v="26387.096774193549"/>
    <n v="8065.666666666667"/>
    <n v="3790.8633333333332"/>
    <n v="37"/>
    <n v="1194.2799999999988"/>
  </r>
  <r>
    <x v="572"/>
    <d v="2021-09-25T00:00:00"/>
    <s v="B0573"/>
    <x v="9"/>
    <n v="2058"/>
    <n v="8.1"/>
    <x v="0"/>
    <x v="0"/>
    <x v="0"/>
    <x v="3"/>
    <n v="101045"/>
    <x v="1"/>
    <n v="0.49"/>
    <n v="0.76"/>
    <n v="2224.6999999999998"/>
    <n v="0"/>
    <n v="2707.8947368421054"/>
    <n v="8420.4166666666661"/>
    <n v="4126.0041666666666"/>
    <n v="53"/>
    <n v="166.69999999999982"/>
  </r>
  <r>
    <x v="573"/>
    <d v="2023-12-14T00:00:00"/>
    <s v="B0574"/>
    <x v="0"/>
    <n v="21677"/>
    <n v="8.4"/>
    <x v="1"/>
    <x v="0"/>
    <x v="4"/>
    <x v="0"/>
    <n v="67842"/>
    <x v="1"/>
    <n v="0.42"/>
    <n v="0.82"/>
    <n v="23497.87"/>
    <n v="0"/>
    <n v="26435.365853658539"/>
    <n v="5653.5"/>
    <n v="2374.4699999999998"/>
    <n v="27"/>
    <n v="1820.869999999999"/>
  </r>
  <r>
    <x v="574"/>
    <d v="2021-08-24T00:00:00"/>
    <s v="B0575"/>
    <x v="5"/>
    <n v="11724"/>
    <n v="17.8"/>
    <x v="0"/>
    <x v="0"/>
    <x v="4"/>
    <x v="2"/>
    <n v="43900"/>
    <x v="0"/>
    <n v="0.4"/>
    <n v="0.56000000000000005"/>
    <n v="13810.87"/>
    <n v="0"/>
    <n v="20935.714285714283"/>
    <n v="3658.3333333333335"/>
    <n v="1463.3333333333335"/>
    <n v="54"/>
    <n v="2086.8700000000008"/>
  </r>
  <r>
    <x v="575"/>
    <d v="2022-01-24T00:00:00"/>
    <s v="B0576"/>
    <x v="6"/>
    <n v="29404"/>
    <n v="19.8"/>
    <x v="1"/>
    <x v="3"/>
    <x v="0"/>
    <x v="3"/>
    <n v="110059"/>
    <x v="1"/>
    <n v="0.37"/>
    <n v="0.77"/>
    <n v="5146.2"/>
    <n v="7396.67"/>
    <n v="38187.012987012989"/>
    <n v="9171.5833333333339"/>
    <n v="3393.4858333333336"/>
    <n v="49"/>
    <n v="-16861.13"/>
  </r>
  <r>
    <x v="576"/>
    <d v="2023-09-17T00:00:00"/>
    <s v="B0577"/>
    <x v="1"/>
    <n v="38946"/>
    <n v="15.6"/>
    <x v="1"/>
    <x v="0"/>
    <x v="0"/>
    <x v="0"/>
    <n v="31881"/>
    <x v="2"/>
    <n v="0.17"/>
    <n v="0.75"/>
    <n v="45021.58"/>
    <n v="0"/>
    <n v="51928"/>
    <n v="2656.75"/>
    <n v="451.64750000000004"/>
    <n v="30"/>
    <n v="6075.5800000000017"/>
  </r>
  <r>
    <x v="577"/>
    <d v="2023-02-02T00:00:00"/>
    <s v="B0578"/>
    <x v="7"/>
    <n v="30856"/>
    <n v="21.6"/>
    <x v="0"/>
    <x v="1"/>
    <x v="1"/>
    <x v="1"/>
    <n v="63037"/>
    <x v="2"/>
    <n v="0.12"/>
    <n v="0.73"/>
    <n v="7333.61"/>
    <n v="0"/>
    <n v="42268.493150684932"/>
    <n v="5253.083333333333"/>
    <n v="630.36999999999989"/>
    <n v="37"/>
    <n v="-23522.39"/>
  </r>
  <r>
    <x v="578"/>
    <d v="2022-02-05T00:00:00"/>
    <s v="B0579"/>
    <x v="1"/>
    <n v="10200"/>
    <n v="24.8"/>
    <x v="1"/>
    <x v="1"/>
    <x v="0"/>
    <x v="3"/>
    <n v="31630"/>
    <x v="1"/>
    <n v="0.38"/>
    <n v="0.81"/>
    <n v="2118.66"/>
    <n v="0"/>
    <n v="12592.592592592591"/>
    <n v="2635.8333333333335"/>
    <n v="1001.6166666666668"/>
    <n v="49"/>
    <n v="-8081.34"/>
  </r>
  <r>
    <x v="579"/>
    <d v="2022-09-16T00:00:00"/>
    <s v="B0580"/>
    <x v="5"/>
    <n v="34997"/>
    <n v="21.4"/>
    <x v="1"/>
    <x v="1"/>
    <x v="0"/>
    <x v="1"/>
    <n v="50789"/>
    <x v="0"/>
    <n v="0.39"/>
    <n v="0.88"/>
    <n v="15275.01"/>
    <n v="0"/>
    <n v="39769.318181818184"/>
    <n v="4232.416666666667"/>
    <n v="1650.6425000000002"/>
    <n v="42"/>
    <n v="-19721.989999999998"/>
  </r>
  <r>
    <x v="580"/>
    <d v="2023-02-06T00:00:00"/>
    <s v="B0581"/>
    <x v="2"/>
    <n v="26611"/>
    <n v="18.899999999999999"/>
    <x v="0"/>
    <x v="3"/>
    <x v="4"/>
    <x v="3"/>
    <n v="118059"/>
    <x v="2"/>
    <n v="0.12"/>
    <n v="0.65"/>
    <n v="3671.34"/>
    <n v="13658.29"/>
    <n v="40940"/>
    <n v="9838.25"/>
    <n v="1180.5899999999999"/>
    <n v="37"/>
    <n v="-9281.369999999999"/>
  </r>
  <r>
    <x v="581"/>
    <d v="2023-07-08T00:00:00"/>
    <s v="B0582"/>
    <x v="7"/>
    <n v="36057"/>
    <n v="15.6"/>
    <x v="0"/>
    <x v="0"/>
    <x v="1"/>
    <x v="4"/>
    <n v="113494"/>
    <x v="0"/>
    <n v="0.47"/>
    <n v="0.9"/>
    <n v="41681.89"/>
    <n v="0"/>
    <n v="40063.333333333336"/>
    <n v="9457.8333333333339"/>
    <n v="4445.1816666666664"/>
    <n v="32"/>
    <n v="5624.8899999999994"/>
  </r>
  <r>
    <x v="582"/>
    <d v="2023-05-03T00:00:00"/>
    <s v="B0583"/>
    <x v="8"/>
    <n v="2239"/>
    <n v="14"/>
    <x v="0"/>
    <x v="0"/>
    <x v="5"/>
    <x v="0"/>
    <n v="76151"/>
    <x v="2"/>
    <n v="0.14000000000000001"/>
    <n v="0.56999999999999995"/>
    <n v="2552.46"/>
    <n v="0"/>
    <n v="3928.0701754385968"/>
    <n v="6345.916666666667"/>
    <n v="888.42833333333351"/>
    <n v="34"/>
    <n v="313.46000000000004"/>
  </r>
  <r>
    <x v="583"/>
    <d v="2022-08-01T00:00:00"/>
    <s v="B0584"/>
    <x v="7"/>
    <n v="39138"/>
    <n v="6.7"/>
    <x v="1"/>
    <x v="0"/>
    <x v="1"/>
    <x v="0"/>
    <n v="78920"/>
    <x v="2"/>
    <n v="0.21"/>
    <n v="0.57999999999999996"/>
    <n v="41760.25"/>
    <n v="0"/>
    <n v="67479.310344827594"/>
    <n v="6576.666666666667"/>
    <n v="1381.1"/>
    <n v="43"/>
    <n v="2622.25"/>
  </r>
  <r>
    <x v="584"/>
    <d v="2021-03-16T00:00:00"/>
    <s v="B0585"/>
    <x v="5"/>
    <n v="1125"/>
    <n v="13"/>
    <x v="1"/>
    <x v="0"/>
    <x v="5"/>
    <x v="4"/>
    <n v="139388"/>
    <x v="1"/>
    <n v="0.37"/>
    <n v="0.62"/>
    <n v="1271.25"/>
    <n v="0"/>
    <n v="1814.516129032258"/>
    <n v="11615.666666666666"/>
    <n v="4297.7966666666662"/>
    <n v="60"/>
    <n v="146.25"/>
  </r>
  <r>
    <x v="585"/>
    <d v="2022-03-11T00:00:00"/>
    <s v="B0586"/>
    <x v="6"/>
    <n v="24857"/>
    <n v="23.2"/>
    <x v="0"/>
    <x v="1"/>
    <x v="1"/>
    <x v="2"/>
    <n v="97231"/>
    <x v="1"/>
    <n v="0.17"/>
    <n v="0.55000000000000004"/>
    <n v="7569.96"/>
    <n v="0"/>
    <n v="45194.545454545449"/>
    <n v="8102.583333333333"/>
    <n v="1377.4391666666668"/>
    <n v="48"/>
    <n v="-17287.04"/>
  </r>
  <r>
    <x v="586"/>
    <d v="2021-04-13T00:00:00"/>
    <s v="B0587"/>
    <x v="7"/>
    <n v="16398"/>
    <n v="21.2"/>
    <x v="1"/>
    <x v="1"/>
    <x v="0"/>
    <x v="0"/>
    <n v="147946"/>
    <x v="0"/>
    <n v="0.12"/>
    <n v="0.6"/>
    <n v="1868.19"/>
    <n v="0"/>
    <n v="27330"/>
    <n v="12328.833333333334"/>
    <n v="1479.46"/>
    <n v="59"/>
    <n v="-14529.81"/>
  </r>
  <r>
    <x v="587"/>
    <d v="2023-02-03T00:00:00"/>
    <s v="B0588"/>
    <x v="5"/>
    <n v="7638"/>
    <n v="9.3000000000000007"/>
    <x v="0"/>
    <x v="3"/>
    <x v="2"/>
    <x v="1"/>
    <n v="110357"/>
    <x v="1"/>
    <n v="0.23"/>
    <n v="0.55000000000000004"/>
    <n v="2378.77"/>
    <n v="1767.84"/>
    <n v="13887.272727272726"/>
    <n v="9196.4166666666661"/>
    <n v="2115.1758333333332"/>
    <n v="37"/>
    <n v="-3491.3900000000003"/>
  </r>
  <r>
    <x v="588"/>
    <d v="2023-01-08T00:00:00"/>
    <s v="B0589"/>
    <x v="4"/>
    <n v="7570"/>
    <n v="14.3"/>
    <x v="0"/>
    <x v="0"/>
    <x v="0"/>
    <x v="0"/>
    <n v="33262"/>
    <x v="2"/>
    <n v="0.41"/>
    <n v="0.87"/>
    <n v="8652.51"/>
    <n v="0"/>
    <n v="8701.1494252873563"/>
    <n v="2771.8333333333335"/>
    <n v="1136.4516666666666"/>
    <n v="38"/>
    <n v="1082.5100000000002"/>
  </r>
  <r>
    <x v="589"/>
    <d v="2023-03-17T00:00:00"/>
    <s v="B0590"/>
    <x v="3"/>
    <n v="4249"/>
    <n v="21.3"/>
    <x v="1"/>
    <x v="3"/>
    <x v="4"/>
    <x v="2"/>
    <n v="96981"/>
    <x v="2"/>
    <n v="0.27"/>
    <n v="0.56000000000000005"/>
    <n v="1578.6"/>
    <n v="1006.52"/>
    <n v="7587.4999999999991"/>
    <n v="8081.75"/>
    <n v="2182.0725000000002"/>
    <n v="36"/>
    <n v="-1663.88"/>
  </r>
  <r>
    <x v="590"/>
    <d v="2021-04-08T00:00:00"/>
    <s v="B0591"/>
    <x v="9"/>
    <n v="10110"/>
    <n v="6.3"/>
    <x v="0"/>
    <x v="0"/>
    <x v="1"/>
    <x v="1"/>
    <n v="111972"/>
    <x v="0"/>
    <n v="0.36"/>
    <n v="0.84"/>
    <n v="10746.93"/>
    <n v="0"/>
    <n v="12035.714285714286"/>
    <n v="9331"/>
    <n v="3359.16"/>
    <n v="59"/>
    <n v="636.93000000000029"/>
  </r>
  <r>
    <x v="591"/>
    <d v="2023-03-09T00:00:00"/>
    <s v="B0592"/>
    <x v="4"/>
    <n v="14605"/>
    <n v="12.7"/>
    <x v="1"/>
    <x v="0"/>
    <x v="4"/>
    <x v="1"/>
    <n v="105485"/>
    <x v="0"/>
    <n v="0.33"/>
    <n v="0.52"/>
    <n v="16459.84"/>
    <n v="0"/>
    <n v="28086.538461538461"/>
    <n v="8790.4166666666661"/>
    <n v="2900.8375000000001"/>
    <n v="36"/>
    <n v="1854.8400000000001"/>
  </r>
  <r>
    <x v="592"/>
    <d v="2023-05-09T00:00:00"/>
    <s v="B0593"/>
    <x v="5"/>
    <n v="13115"/>
    <n v="22"/>
    <x v="1"/>
    <x v="0"/>
    <x v="2"/>
    <x v="4"/>
    <n v="84722"/>
    <x v="2"/>
    <n v="0.11"/>
    <n v="0.93"/>
    <n v="16000.3"/>
    <n v="0"/>
    <n v="14102.150537634408"/>
    <n v="7060.166666666667"/>
    <n v="776.61833333333334"/>
    <n v="34"/>
    <n v="2885.2999999999993"/>
  </r>
  <r>
    <x v="593"/>
    <d v="2022-03-11T00:00:00"/>
    <s v="B0594"/>
    <x v="0"/>
    <n v="23911"/>
    <n v="13.1"/>
    <x v="0"/>
    <x v="1"/>
    <x v="5"/>
    <x v="3"/>
    <n v="119499"/>
    <x v="1"/>
    <n v="0.5"/>
    <n v="0.82"/>
    <n v="5871.91"/>
    <n v="0"/>
    <n v="29159.756097560978"/>
    <n v="9958.25"/>
    <n v="4979.125"/>
    <n v="48"/>
    <n v="-18039.09"/>
  </r>
  <r>
    <x v="594"/>
    <d v="2022-03-23T00:00:00"/>
    <s v="B0595"/>
    <x v="2"/>
    <n v="39525"/>
    <n v="6.6"/>
    <x v="1"/>
    <x v="0"/>
    <x v="6"/>
    <x v="4"/>
    <n v="80818"/>
    <x v="1"/>
    <n v="0.12"/>
    <n v="0.5"/>
    <n v="42133.65"/>
    <n v="0"/>
    <n v="79050"/>
    <n v="6734.833333333333"/>
    <n v="808.18"/>
    <n v="47"/>
    <n v="2608.6500000000015"/>
  </r>
  <r>
    <x v="595"/>
    <d v="2021-09-06T00:00:00"/>
    <s v="B0596"/>
    <x v="9"/>
    <n v="33556"/>
    <n v="15.9"/>
    <x v="0"/>
    <x v="3"/>
    <x v="6"/>
    <x v="3"/>
    <n v="59932"/>
    <x v="0"/>
    <n v="0.49"/>
    <n v="0.84"/>
    <n v="8269.1299999999992"/>
    <n v="9226.86"/>
    <n v="39947.619047619046"/>
    <n v="4994.333333333333"/>
    <n v="2447.2233333333334"/>
    <n v="54"/>
    <n v="-16060.010000000002"/>
  </r>
  <r>
    <x v="596"/>
    <d v="2021-06-15T00:00:00"/>
    <s v="B0597"/>
    <x v="0"/>
    <n v="13595"/>
    <n v="22.2"/>
    <x v="1"/>
    <x v="3"/>
    <x v="3"/>
    <x v="4"/>
    <n v="36901"/>
    <x v="0"/>
    <n v="0.32"/>
    <n v="0.73"/>
    <n v="5141.99"/>
    <n v="2205.12"/>
    <n v="18623.287671232876"/>
    <n v="3075.0833333333335"/>
    <n v="984.02666666666676"/>
    <n v="57"/>
    <n v="-6247.89"/>
  </r>
  <r>
    <x v="597"/>
    <d v="2023-09-11T00:00:00"/>
    <s v="B0598"/>
    <x v="6"/>
    <n v="2969"/>
    <n v="16.8"/>
    <x v="1"/>
    <x v="3"/>
    <x v="2"/>
    <x v="3"/>
    <n v="147473"/>
    <x v="2"/>
    <n v="0.49"/>
    <n v="0.85"/>
    <n v="760.95"/>
    <n v="303.63"/>
    <n v="3492.9411764705883"/>
    <n v="12289.416666666666"/>
    <n v="6021.8141666666661"/>
    <n v="30"/>
    <n v="-1904.42"/>
  </r>
  <r>
    <x v="598"/>
    <d v="2023-10-17T00:00:00"/>
    <s v="B0599"/>
    <x v="1"/>
    <n v="18275"/>
    <n v="9.5"/>
    <x v="1"/>
    <x v="0"/>
    <x v="2"/>
    <x v="0"/>
    <n v="129023"/>
    <x v="2"/>
    <n v="0.15"/>
    <n v="0.74"/>
    <n v="20011.12"/>
    <n v="0"/>
    <n v="24695.945945945947"/>
    <n v="10751.916666666666"/>
    <n v="1612.7874999999999"/>
    <n v="29"/>
    <n v="1736.119999999999"/>
  </r>
  <r>
    <x v="599"/>
    <d v="2022-06-26T00:00:00"/>
    <s v="B0600"/>
    <x v="8"/>
    <n v="5470"/>
    <n v="12.7"/>
    <x v="0"/>
    <x v="3"/>
    <x v="1"/>
    <x v="1"/>
    <n v="38597"/>
    <x v="0"/>
    <n v="0.3"/>
    <n v="0.79"/>
    <n v="1347.15"/>
    <n v="2258.6"/>
    <n v="6924.0506329113923"/>
    <n v="3216.4166666666665"/>
    <n v="964.92499999999995"/>
    <n v="44"/>
    <n v="-1864.25"/>
  </r>
  <r>
    <x v="600"/>
    <d v="2023-01-29T00:00:00"/>
    <s v="B0601"/>
    <x v="9"/>
    <n v="11225"/>
    <n v="14"/>
    <x v="1"/>
    <x v="1"/>
    <x v="4"/>
    <x v="3"/>
    <n v="93909"/>
    <x v="2"/>
    <n v="0.17"/>
    <n v="0.85"/>
    <n v="3482.53"/>
    <n v="0"/>
    <n v="13205.882352941177"/>
    <n v="7825.75"/>
    <n v="1330.3775000000001"/>
    <n v="37"/>
    <n v="-7742.4699999999993"/>
  </r>
  <r>
    <x v="601"/>
    <d v="2021-03-22T00:00:00"/>
    <s v="B0602"/>
    <x v="4"/>
    <n v="24196"/>
    <n v="16.600000000000001"/>
    <x v="0"/>
    <x v="0"/>
    <x v="0"/>
    <x v="0"/>
    <n v="102391"/>
    <x v="0"/>
    <n v="0.12"/>
    <n v="0.68"/>
    <n v="28212.54"/>
    <n v="0"/>
    <n v="35582.352941176468"/>
    <n v="8532.5833333333339"/>
    <n v="1023.9100000000001"/>
    <n v="59"/>
    <n v="4016.5400000000009"/>
  </r>
  <r>
    <x v="602"/>
    <d v="2021-05-13T00:00:00"/>
    <s v="B0603"/>
    <x v="2"/>
    <n v="14669"/>
    <n v="20.2"/>
    <x v="1"/>
    <x v="0"/>
    <x v="1"/>
    <x v="2"/>
    <n v="114214"/>
    <x v="0"/>
    <n v="0.35"/>
    <n v="0.5"/>
    <n v="17632.14"/>
    <n v="0"/>
    <n v="29338"/>
    <n v="9517.8333333333339"/>
    <n v="3331.2416666666668"/>
    <n v="58"/>
    <n v="2963.1399999999994"/>
  </r>
  <r>
    <x v="603"/>
    <d v="2023-03-08T00:00:00"/>
    <s v="B0604"/>
    <x v="0"/>
    <n v="38380"/>
    <n v="7"/>
    <x v="1"/>
    <x v="0"/>
    <x v="3"/>
    <x v="4"/>
    <n v="38263"/>
    <x v="1"/>
    <n v="0.18"/>
    <n v="0.88"/>
    <n v="41066.6"/>
    <n v="0"/>
    <n v="43613.63636363636"/>
    <n v="3188.5833333333335"/>
    <n v="573.94500000000005"/>
    <n v="36"/>
    <n v="2686.5999999999985"/>
  </r>
  <r>
    <x v="604"/>
    <d v="2023-06-19T00:00:00"/>
    <s v="B0605"/>
    <x v="5"/>
    <n v="39006"/>
    <n v="22.8"/>
    <x v="0"/>
    <x v="0"/>
    <x v="1"/>
    <x v="2"/>
    <n v="93293"/>
    <x v="0"/>
    <n v="0.34"/>
    <n v="0.67"/>
    <n v="47899.37"/>
    <n v="0"/>
    <n v="58217.910447761191"/>
    <n v="7774.416666666667"/>
    <n v="2643.3016666666667"/>
    <n v="33"/>
    <n v="8893.3700000000026"/>
  </r>
  <r>
    <x v="605"/>
    <d v="2021-05-18T00:00:00"/>
    <s v="B0606"/>
    <x v="9"/>
    <n v="16577"/>
    <n v="5.2"/>
    <x v="0"/>
    <x v="0"/>
    <x v="2"/>
    <x v="0"/>
    <n v="142824"/>
    <x v="2"/>
    <n v="0.14000000000000001"/>
    <n v="0.72"/>
    <n v="17439"/>
    <n v="0"/>
    <n v="23023.611111111113"/>
    <n v="11902"/>
    <n v="1666.2800000000002"/>
    <n v="58"/>
    <n v="862"/>
  </r>
  <r>
    <x v="606"/>
    <d v="2021-07-03T00:00:00"/>
    <s v="B0607"/>
    <x v="1"/>
    <n v="23473"/>
    <n v="12.4"/>
    <x v="0"/>
    <x v="2"/>
    <x v="6"/>
    <x v="2"/>
    <n v="55805"/>
    <x v="1"/>
    <n v="0.23"/>
    <n v="0.5"/>
    <n v="0"/>
    <n v="0"/>
    <n v="46946"/>
    <n v="4650.416666666667"/>
    <n v="1069.5958333333335"/>
    <n v="56"/>
    <n v="-23473"/>
  </r>
  <r>
    <x v="607"/>
    <d v="2023-02-24T00:00:00"/>
    <s v="B0608"/>
    <x v="5"/>
    <n v="29625"/>
    <n v="5.5"/>
    <x v="0"/>
    <x v="0"/>
    <x v="0"/>
    <x v="2"/>
    <n v="121679"/>
    <x v="1"/>
    <n v="0.41"/>
    <n v="0.72"/>
    <n v="31254.37"/>
    <n v="0"/>
    <n v="41145.833333333336"/>
    <n v="10139.916666666666"/>
    <n v="4157.3658333333333"/>
    <n v="36"/>
    <n v="1629.369999999999"/>
  </r>
  <r>
    <x v="608"/>
    <d v="2023-09-11T00:00:00"/>
    <s v="B0609"/>
    <x v="0"/>
    <n v="16504"/>
    <n v="12.9"/>
    <x v="0"/>
    <x v="0"/>
    <x v="0"/>
    <x v="0"/>
    <n v="41874"/>
    <x v="2"/>
    <n v="0.27"/>
    <n v="0.94"/>
    <n v="18633.02"/>
    <n v="0"/>
    <n v="17557.446808510638"/>
    <n v="3489.5"/>
    <n v="942.16500000000008"/>
    <n v="30"/>
    <n v="2129.0200000000004"/>
  </r>
  <r>
    <x v="609"/>
    <d v="2021-03-10T00:00:00"/>
    <s v="B0610"/>
    <x v="2"/>
    <n v="25089"/>
    <n v="15.5"/>
    <x v="1"/>
    <x v="2"/>
    <x v="4"/>
    <x v="1"/>
    <n v="123065"/>
    <x v="2"/>
    <n v="0.35"/>
    <n v="0.63"/>
    <n v="0"/>
    <n v="0"/>
    <n v="39823.809523809527"/>
    <n v="10255.416666666666"/>
    <n v="3589.395833333333"/>
    <n v="60"/>
    <n v="-25089"/>
  </r>
  <r>
    <x v="610"/>
    <d v="2022-06-30T00:00:00"/>
    <s v="B0611"/>
    <x v="7"/>
    <n v="37487"/>
    <n v="15.2"/>
    <x v="1"/>
    <x v="0"/>
    <x v="0"/>
    <x v="3"/>
    <n v="116402"/>
    <x v="2"/>
    <n v="0.36"/>
    <n v="0.68"/>
    <n v="43185.02"/>
    <n v="0"/>
    <n v="55127.941176470587"/>
    <n v="9700.1666666666661"/>
    <n v="3492.0599999999995"/>
    <n v="44"/>
    <n v="5698.0199999999968"/>
  </r>
  <r>
    <x v="611"/>
    <d v="2021-02-22T00:00:00"/>
    <s v="B0612"/>
    <x v="1"/>
    <n v="1302"/>
    <n v="8.3000000000000007"/>
    <x v="0"/>
    <x v="3"/>
    <x v="5"/>
    <x v="4"/>
    <n v="44079"/>
    <x v="0"/>
    <n v="0.44"/>
    <n v="0.81"/>
    <n v="399.41"/>
    <n v="452.5"/>
    <n v="1607.4074074074074"/>
    <n v="3673.25"/>
    <n v="1616.23"/>
    <n v="60"/>
    <n v="-450.08999999999992"/>
  </r>
  <r>
    <x v="612"/>
    <d v="2021-07-24T00:00:00"/>
    <s v="B0613"/>
    <x v="5"/>
    <n v="32463"/>
    <n v="17.899999999999999"/>
    <x v="1"/>
    <x v="0"/>
    <x v="3"/>
    <x v="3"/>
    <n v="79850"/>
    <x v="1"/>
    <n v="0.23"/>
    <n v="0.87"/>
    <n v="38273.879999999997"/>
    <n v="0"/>
    <n v="37313.793103448275"/>
    <n v="6654.166666666667"/>
    <n v="1530.4583333333335"/>
    <n v="55"/>
    <n v="5810.8799999999974"/>
  </r>
  <r>
    <x v="613"/>
    <d v="2021-05-06T00:00:00"/>
    <s v="B0614"/>
    <x v="1"/>
    <n v="30259"/>
    <n v="5.9"/>
    <x v="1"/>
    <x v="1"/>
    <x v="1"/>
    <x v="4"/>
    <n v="102779"/>
    <x v="0"/>
    <n v="0.37"/>
    <n v="0.69"/>
    <n v="2968.33"/>
    <n v="0"/>
    <n v="43853.6231884058"/>
    <n v="8564.9166666666661"/>
    <n v="3169.0191666666665"/>
    <n v="58"/>
    <n v="-27290.67"/>
  </r>
  <r>
    <x v="614"/>
    <d v="2021-02-12T00:00:00"/>
    <s v="B0615"/>
    <x v="6"/>
    <n v="38208"/>
    <n v="20.2"/>
    <x v="1"/>
    <x v="0"/>
    <x v="4"/>
    <x v="3"/>
    <n v="125408"/>
    <x v="0"/>
    <n v="0.48"/>
    <n v="0.64"/>
    <n v="45926.02"/>
    <n v="0"/>
    <n v="59700"/>
    <n v="10450.666666666666"/>
    <n v="5016.32"/>
    <n v="61"/>
    <n v="7718.0199999999968"/>
  </r>
  <r>
    <x v="615"/>
    <d v="2021-04-21T00:00:00"/>
    <s v="B0616"/>
    <x v="5"/>
    <n v="31659"/>
    <n v="23.9"/>
    <x v="0"/>
    <x v="1"/>
    <x v="0"/>
    <x v="2"/>
    <n v="39018"/>
    <x v="0"/>
    <n v="0.39"/>
    <n v="0.92"/>
    <n v="13280.94"/>
    <n v="0"/>
    <n v="34411.956521739128"/>
    <n v="3251.5"/>
    <n v="1268.085"/>
    <n v="58"/>
    <n v="-18378.059999999998"/>
  </r>
  <r>
    <x v="616"/>
    <d v="2023-01-31T00:00:00"/>
    <s v="B0617"/>
    <x v="9"/>
    <n v="36840"/>
    <n v="11.8"/>
    <x v="1"/>
    <x v="0"/>
    <x v="4"/>
    <x v="1"/>
    <n v="79500"/>
    <x v="0"/>
    <n v="0.3"/>
    <n v="0.8"/>
    <n v="41187.120000000003"/>
    <n v="0"/>
    <n v="46050"/>
    <n v="6625"/>
    <n v="1987.5"/>
    <n v="37"/>
    <n v="4347.1200000000026"/>
  </r>
  <r>
    <x v="617"/>
    <d v="2023-04-28T00:00:00"/>
    <s v="B0618"/>
    <x v="7"/>
    <n v="32890"/>
    <n v="15.3"/>
    <x v="1"/>
    <x v="1"/>
    <x v="5"/>
    <x v="2"/>
    <n v="42100"/>
    <x v="1"/>
    <n v="0.35"/>
    <n v="0.55000000000000004"/>
    <n v="8090.19"/>
    <n v="0"/>
    <n v="59799.999999999993"/>
    <n v="3508.3333333333335"/>
    <n v="1227.9166666666667"/>
    <n v="34"/>
    <n v="-24799.81"/>
  </r>
  <r>
    <x v="618"/>
    <d v="2021-04-05T00:00:00"/>
    <s v="B0619"/>
    <x v="7"/>
    <n v="14598"/>
    <n v="12.6"/>
    <x v="1"/>
    <x v="0"/>
    <x v="4"/>
    <x v="1"/>
    <n v="87021"/>
    <x v="1"/>
    <n v="0.4"/>
    <n v="0.53"/>
    <n v="16437.349999999999"/>
    <n v="0"/>
    <n v="27543.396226415094"/>
    <n v="7251.75"/>
    <n v="2900.7000000000003"/>
    <n v="59"/>
    <n v="1839.3499999999985"/>
  </r>
  <r>
    <x v="619"/>
    <d v="2023-06-19T00:00:00"/>
    <s v="B0620"/>
    <x v="8"/>
    <n v="20508"/>
    <n v="5.0999999999999996"/>
    <x v="0"/>
    <x v="3"/>
    <x v="0"/>
    <x v="0"/>
    <n v="144995"/>
    <x v="0"/>
    <n v="0.34"/>
    <n v="0.72"/>
    <n v="2495.92"/>
    <n v="3057.79"/>
    <n v="28483.333333333336"/>
    <n v="12082.916666666666"/>
    <n v="4108.1916666666666"/>
    <n v="33"/>
    <n v="-14954.29"/>
  </r>
  <r>
    <x v="620"/>
    <d v="2021-12-26T00:00:00"/>
    <s v="B0621"/>
    <x v="1"/>
    <n v="14380"/>
    <n v="12.7"/>
    <x v="1"/>
    <x v="0"/>
    <x v="4"/>
    <x v="4"/>
    <n v="49800"/>
    <x v="2"/>
    <n v="0.11"/>
    <n v="0.6"/>
    <n v="16206.26"/>
    <n v="0"/>
    <n v="23966.666666666668"/>
    <n v="4150"/>
    <n v="456.5"/>
    <n v="50"/>
    <n v="1826.2600000000002"/>
  </r>
  <r>
    <x v="621"/>
    <d v="2023-06-19T00:00:00"/>
    <s v="B0622"/>
    <x v="4"/>
    <n v="27984"/>
    <n v="20.8"/>
    <x v="1"/>
    <x v="0"/>
    <x v="4"/>
    <x v="4"/>
    <n v="93400"/>
    <x v="1"/>
    <n v="0.18"/>
    <n v="0.61"/>
    <n v="33804.67"/>
    <n v="0"/>
    <n v="45875.409836065577"/>
    <n v="7783.333333333333"/>
    <n v="1401"/>
    <n v="33"/>
    <n v="5820.6699999999983"/>
  </r>
  <r>
    <x v="622"/>
    <d v="2021-10-08T00:00:00"/>
    <s v="B0623"/>
    <x v="7"/>
    <n v="9125"/>
    <n v="16.899999999999999"/>
    <x v="0"/>
    <x v="1"/>
    <x v="2"/>
    <x v="0"/>
    <n v="122446"/>
    <x v="0"/>
    <n v="0.42"/>
    <n v="0.89"/>
    <n v="3684.51"/>
    <n v="0"/>
    <n v="10252.808988764045"/>
    <n v="10203.833333333334"/>
    <n v="4285.6099999999997"/>
    <n v="53"/>
    <n v="-5440.49"/>
  </r>
  <r>
    <x v="623"/>
    <d v="2022-10-29T00:00:00"/>
    <s v="B0624"/>
    <x v="7"/>
    <n v="37059"/>
    <n v="7"/>
    <x v="0"/>
    <x v="0"/>
    <x v="0"/>
    <x v="3"/>
    <n v="59437"/>
    <x v="2"/>
    <n v="0.21"/>
    <n v="0.54"/>
    <n v="39653.129999999997"/>
    <n v="0"/>
    <n v="68627.777777777766"/>
    <n v="4953.083333333333"/>
    <n v="1040.1474999999998"/>
    <n v="40"/>
    <n v="2594.1299999999974"/>
  </r>
  <r>
    <x v="624"/>
    <d v="2021-04-03T00:00:00"/>
    <s v="B0625"/>
    <x v="6"/>
    <n v="5033"/>
    <n v="21.9"/>
    <x v="1"/>
    <x v="1"/>
    <x v="0"/>
    <x v="0"/>
    <n v="133124"/>
    <x v="2"/>
    <n v="0.39"/>
    <n v="0.82"/>
    <n v="1105.3900000000001"/>
    <n v="0"/>
    <n v="6137.8048780487807"/>
    <n v="11093.666666666666"/>
    <n v="4326.53"/>
    <n v="59"/>
    <n v="-3927.6099999999997"/>
  </r>
  <r>
    <x v="625"/>
    <d v="2022-11-03T00:00:00"/>
    <s v="B0626"/>
    <x v="3"/>
    <n v="38873"/>
    <n v="15.6"/>
    <x v="1"/>
    <x v="2"/>
    <x v="0"/>
    <x v="0"/>
    <n v="106537"/>
    <x v="0"/>
    <n v="0.25"/>
    <n v="0.62"/>
    <n v="0"/>
    <n v="0"/>
    <n v="62698.387096774197"/>
    <n v="8878.0833333333339"/>
    <n v="2219.5208333333335"/>
    <n v="40"/>
    <n v="-38873"/>
  </r>
  <r>
    <x v="626"/>
    <d v="2021-03-02T00:00:00"/>
    <s v="B0627"/>
    <x v="6"/>
    <n v="18087"/>
    <n v="21.8"/>
    <x v="0"/>
    <x v="1"/>
    <x v="4"/>
    <x v="1"/>
    <n v="76675"/>
    <x v="1"/>
    <n v="0.31"/>
    <n v="0.84"/>
    <n v="1721.26"/>
    <n v="0"/>
    <n v="21532.142857142859"/>
    <n v="6389.583333333333"/>
    <n v="1980.7708333333333"/>
    <n v="60"/>
    <n v="-16365.74"/>
  </r>
  <r>
    <x v="627"/>
    <d v="2022-09-26T00:00:00"/>
    <s v="B0628"/>
    <x v="6"/>
    <n v="6704"/>
    <n v="16.600000000000001"/>
    <x v="0"/>
    <x v="0"/>
    <x v="1"/>
    <x v="0"/>
    <n v="49942"/>
    <x v="2"/>
    <n v="0.13"/>
    <n v="0.83"/>
    <n v="7816.86"/>
    <n v="0"/>
    <n v="8077.1084337349403"/>
    <n v="4161.833333333333"/>
    <n v="541.0383333333333"/>
    <n v="41"/>
    <n v="1112.8599999999997"/>
  </r>
  <r>
    <x v="628"/>
    <d v="2023-12-11T00:00:00"/>
    <s v="B0629"/>
    <x v="3"/>
    <n v="8848"/>
    <n v="16.2"/>
    <x v="0"/>
    <x v="1"/>
    <x v="1"/>
    <x v="4"/>
    <n v="50862"/>
    <x v="1"/>
    <n v="0.17"/>
    <n v="0.5"/>
    <n v="2965.85"/>
    <n v="0"/>
    <n v="17696"/>
    <n v="4238.5"/>
    <n v="720.54500000000007"/>
    <n v="27"/>
    <n v="-5882.15"/>
  </r>
  <r>
    <x v="629"/>
    <d v="2023-10-26T00:00:00"/>
    <s v="B0630"/>
    <x v="1"/>
    <n v="22592"/>
    <n v="7.1"/>
    <x v="0"/>
    <x v="1"/>
    <x v="5"/>
    <x v="2"/>
    <n v="41669"/>
    <x v="1"/>
    <n v="0.48"/>
    <n v="0.73"/>
    <n v="10077.370000000001"/>
    <n v="0"/>
    <n v="30947.945205479453"/>
    <n v="3472.4166666666665"/>
    <n v="1666.7599999999998"/>
    <n v="28"/>
    <n v="-12514.63"/>
  </r>
  <r>
    <x v="630"/>
    <d v="2022-08-27T00:00:00"/>
    <s v="B0631"/>
    <x v="5"/>
    <n v="7924"/>
    <n v="8.3000000000000007"/>
    <x v="0"/>
    <x v="1"/>
    <x v="1"/>
    <x v="1"/>
    <n v="83772"/>
    <x v="2"/>
    <n v="0.46"/>
    <n v="0.56000000000000005"/>
    <n v="3561.75"/>
    <n v="0"/>
    <n v="14149.999999999998"/>
    <n v="6981"/>
    <n v="3211.26"/>
    <n v="42"/>
    <n v="-4362.25"/>
  </r>
  <r>
    <x v="631"/>
    <d v="2022-11-13T00:00:00"/>
    <s v="B0632"/>
    <x v="2"/>
    <n v="28208"/>
    <n v="24.4"/>
    <x v="0"/>
    <x v="0"/>
    <x v="4"/>
    <x v="1"/>
    <n v="45916"/>
    <x v="0"/>
    <n v="0.36"/>
    <n v="0.89"/>
    <n v="35090.75"/>
    <n v="0"/>
    <n v="31694.382022471909"/>
    <n v="3826.3333333333335"/>
    <n v="1377.48"/>
    <n v="40"/>
    <n v="6882.75"/>
  </r>
  <r>
    <x v="632"/>
    <d v="2022-06-18T00:00:00"/>
    <s v="B0633"/>
    <x v="4"/>
    <n v="20614"/>
    <n v="9.6"/>
    <x v="0"/>
    <x v="0"/>
    <x v="1"/>
    <x v="3"/>
    <n v="40878"/>
    <x v="2"/>
    <n v="0.28000000000000003"/>
    <n v="0.89"/>
    <n v="22592.94"/>
    <n v="0"/>
    <n v="23161.797752808987"/>
    <n v="3406.5"/>
    <n v="953.82"/>
    <n v="45"/>
    <n v="1978.9399999999987"/>
  </r>
  <r>
    <x v="633"/>
    <d v="2023-04-18T00:00:00"/>
    <s v="B0634"/>
    <x v="7"/>
    <n v="1488"/>
    <n v="24.5"/>
    <x v="1"/>
    <x v="0"/>
    <x v="0"/>
    <x v="2"/>
    <n v="32985"/>
    <x v="2"/>
    <n v="0.37"/>
    <n v="0.69"/>
    <n v="1852.56"/>
    <n v="0"/>
    <n v="2156.521739130435"/>
    <n v="2748.75"/>
    <n v="1017.0375"/>
    <n v="35"/>
    <n v="364.55999999999995"/>
  </r>
  <r>
    <x v="634"/>
    <d v="2022-10-07T00:00:00"/>
    <s v="B0635"/>
    <x v="8"/>
    <n v="26923"/>
    <n v="15.6"/>
    <x v="0"/>
    <x v="0"/>
    <x v="4"/>
    <x v="1"/>
    <n v="127905"/>
    <x v="1"/>
    <n v="0.35"/>
    <n v="0.7"/>
    <n v="31122.99"/>
    <n v="0"/>
    <n v="38461.428571428572"/>
    <n v="10658.75"/>
    <n v="3730.5624999999995"/>
    <n v="41"/>
    <n v="4199.9900000000016"/>
  </r>
  <r>
    <x v="635"/>
    <d v="2021-08-21T00:00:00"/>
    <s v="B0636"/>
    <x v="4"/>
    <n v="36941"/>
    <n v="7.7"/>
    <x v="0"/>
    <x v="0"/>
    <x v="6"/>
    <x v="0"/>
    <n v="103648"/>
    <x v="0"/>
    <n v="0.33"/>
    <n v="0.64"/>
    <n v="39785.46"/>
    <n v="0"/>
    <n v="57720.3125"/>
    <n v="8637.3333333333339"/>
    <n v="2850.32"/>
    <n v="54"/>
    <n v="2844.4599999999991"/>
  </r>
  <r>
    <x v="636"/>
    <d v="2022-06-08T00:00:00"/>
    <s v="B0637"/>
    <x v="5"/>
    <n v="30165"/>
    <n v="7"/>
    <x v="1"/>
    <x v="0"/>
    <x v="6"/>
    <x v="1"/>
    <n v="71235"/>
    <x v="1"/>
    <n v="0.12"/>
    <n v="0.82"/>
    <n v="32276.55"/>
    <n v="0"/>
    <n v="36786.585365853658"/>
    <n v="5936.25"/>
    <n v="712.35"/>
    <n v="45"/>
    <n v="2111.5499999999993"/>
  </r>
  <r>
    <x v="637"/>
    <d v="2021-12-12T00:00:00"/>
    <s v="B0638"/>
    <x v="3"/>
    <n v="2667"/>
    <n v="9.1999999999999993"/>
    <x v="0"/>
    <x v="1"/>
    <x v="1"/>
    <x v="1"/>
    <n v="48931"/>
    <x v="2"/>
    <n v="0.35"/>
    <n v="0.66"/>
    <n v="1282.69"/>
    <n v="0"/>
    <n v="4040.9090909090905"/>
    <n v="4077.5833333333335"/>
    <n v="1427.1541666666667"/>
    <n v="51"/>
    <n v="-1384.31"/>
  </r>
  <r>
    <x v="638"/>
    <d v="2023-12-06T00:00:00"/>
    <s v="B0639"/>
    <x v="4"/>
    <n v="27213"/>
    <n v="23.5"/>
    <x v="0"/>
    <x v="3"/>
    <x v="0"/>
    <x v="1"/>
    <n v="122876"/>
    <x v="0"/>
    <n v="0.41"/>
    <n v="0.62"/>
    <n v="9805.16"/>
    <n v="8501.7099999999991"/>
    <n v="43891.93548387097"/>
    <n v="10239.666666666666"/>
    <n v="4198.2633333333324"/>
    <n v="27"/>
    <n v="-8906.130000000001"/>
  </r>
  <r>
    <x v="639"/>
    <d v="2022-06-30T00:00:00"/>
    <s v="B0640"/>
    <x v="7"/>
    <n v="5114"/>
    <n v="13.3"/>
    <x v="1"/>
    <x v="1"/>
    <x v="0"/>
    <x v="3"/>
    <n v="30336"/>
    <x v="0"/>
    <n v="0.5"/>
    <n v="0.69"/>
    <n v="260.63"/>
    <n v="0"/>
    <n v="7411.594202898551"/>
    <n v="2528"/>
    <n v="1264"/>
    <n v="44"/>
    <n v="-4853.37"/>
  </r>
  <r>
    <x v="640"/>
    <d v="2023-03-05T00:00:00"/>
    <s v="B0641"/>
    <x v="4"/>
    <n v="37321"/>
    <n v="12.9"/>
    <x v="0"/>
    <x v="0"/>
    <x v="3"/>
    <x v="1"/>
    <n v="72933"/>
    <x v="0"/>
    <n v="0.1"/>
    <n v="0.54"/>
    <n v="42135.41"/>
    <n v="0"/>
    <n v="69112.962962962964"/>
    <n v="6077.75"/>
    <n v="607.77499999999998"/>
    <n v="36"/>
    <n v="4814.4100000000035"/>
  </r>
  <r>
    <x v="641"/>
    <d v="2021-09-06T00:00:00"/>
    <s v="B0642"/>
    <x v="2"/>
    <n v="8761"/>
    <n v="11.3"/>
    <x v="1"/>
    <x v="0"/>
    <x v="0"/>
    <x v="1"/>
    <n v="114899"/>
    <x v="0"/>
    <n v="0.39"/>
    <n v="0.84"/>
    <n v="9750.99"/>
    <n v="0"/>
    <n v="10429.761904761905"/>
    <n v="9574.9166666666661"/>
    <n v="3734.2174999999997"/>
    <n v="54"/>
    <n v="989.98999999999978"/>
  </r>
  <r>
    <x v="642"/>
    <d v="2021-02-16T00:00:00"/>
    <s v="B0643"/>
    <x v="3"/>
    <n v="32116"/>
    <n v="7.9"/>
    <x v="1"/>
    <x v="2"/>
    <x v="0"/>
    <x v="3"/>
    <n v="75536"/>
    <x v="0"/>
    <n v="0.33"/>
    <n v="0.51"/>
    <n v="0"/>
    <n v="0"/>
    <n v="62972.549019607839"/>
    <n v="6294.666666666667"/>
    <n v="2077.2400000000002"/>
    <n v="61"/>
    <n v="-32116"/>
  </r>
  <r>
    <x v="643"/>
    <d v="2021-08-02T00:00:00"/>
    <s v="B0644"/>
    <x v="4"/>
    <n v="34768"/>
    <n v="14.8"/>
    <x v="1"/>
    <x v="2"/>
    <x v="0"/>
    <x v="2"/>
    <n v="99504"/>
    <x v="2"/>
    <n v="0.27"/>
    <n v="0.79"/>
    <n v="0"/>
    <n v="0"/>
    <n v="44010.126582278477"/>
    <n v="8292"/>
    <n v="2238.84"/>
    <n v="55"/>
    <n v="-34768"/>
  </r>
  <r>
    <x v="644"/>
    <d v="2021-08-27T00:00:00"/>
    <s v="B0645"/>
    <x v="7"/>
    <n v="26426"/>
    <n v="7.6"/>
    <x v="1"/>
    <x v="3"/>
    <x v="4"/>
    <x v="4"/>
    <n v="129214"/>
    <x v="2"/>
    <n v="0.15"/>
    <n v="0.57999999999999996"/>
    <n v="5657.08"/>
    <n v="8575.9699999999993"/>
    <n v="45562.068965517246"/>
    <n v="10767.833333333334"/>
    <n v="1615.175"/>
    <n v="54"/>
    <n v="-12192.95"/>
  </r>
  <r>
    <x v="645"/>
    <d v="2023-12-16T00:00:00"/>
    <s v="B0646"/>
    <x v="7"/>
    <n v="18772"/>
    <n v="21.7"/>
    <x v="0"/>
    <x v="1"/>
    <x v="0"/>
    <x v="3"/>
    <n v="81148"/>
    <x v="2"/>
    <n v="0.26"/>
    <n v="0.6"/>
    <n v="7853.16"/>
    <n v="0"/>
    <n v="31286.666666666668"/>
    <n v="6762.333333333333"/>
    <n v="1758.2066666666667"/>
    <n v="27"/>
    <n v="-10918.84"/>
  </r>
  <r>
    <x v="646"/>
    <d v="2021-12-16T00:00:00"/>
    <s v="B0647"/>
    <x v="4"/>
    <n v="39218"/>
    <n v="12.4"/>
    <x v="1"/>
    <x v="0"/>
    <x v="5"/>
    <x v="3"/>
    <n v="143936"/>
    <x v="1"/>
    <n v="0.24"/>
    <n v="0.79"/>
    <n v="44081.03"/>
    <n v="0"/>
    <n v="49643.037974683539"/>
    <n v="11994.666666666666"/>
    <n v="2878.72"/>
    <n v="51"/>
    <n v="4863.0299999999988"/>
  </r>
  <r>
    <x v="647"/>
    <d v="2021-04-17T00:00:00"/>
    <s v="B0648"/>
    <x v="1"/>
    <n v="4712"/>
    <n v="12.5"/>
    <x v="1"/>
    <x v="1"/>
    <x v="5"/>
    <x v="1"/>
    <n v="46279"/>
    <x v="0"/>
    <n v="0.22"/>
    <n v="0.95"/>
    <n v="1012.2"/>
    <n v="0"/>
    <n v="4960"/>
    <n v="3856.5833333333335"/>
    <n v="848.44833333333338"/>
    <n v="59"/>
    <n v="-3699.8"/>
  </r>
  <r>
    <x v="648"/>
    <d v="2023-04-11T00:00:00"/>
    <s v="B0649"/>
    <x v="8"/>
    <n v="2367"/>
    <n v="14.5"/>
    <x v="0"/>
    <x v="0"/>
    <x v="2"/>
    <x v="1"/>
    <n v="98665"/>
    <x v="0"/>
    <n v="0.39"/>
    <n v="0.85"/>
    <n v="2710.22"/>
    <n v="0"/>
    <n v="2784.7058823529414"/>
    <n v="8222.0833333333339"/>
    <n v="3206.6125000000002"/>
    <n v="35"/>
    <n v="343.2199999999998"/>
  </r>
  <r>
    <x v="649"/>
    <d v="2021-02-17T00:00:00"/>
    <s v="B0650"/>
    <x v="0"/>
    <n v="27200"/>
    <n v="13.9"/>
    <x v="1"/>
    <x v="0"/>
    <x v="0"/>
    <x v="4"/>
    <n v="133751"/>
    <x v="2"/>
    <n v="0.38"/>
    <n v="0.6"/>
    <n v="30980.799999999999"/>
    <n v="0"/>
    <n v="45333.333333333336"/>
    <n v="11145.916666666666"/>
    <n v="4235.4483333333328"/>
    <n v="61"/>
    <n v="3780.7999999999993"/>
  </r>
  <r>
    <x v="650"/>
    <d v="2021-12-03T00:00:00"/>
    <s v="B0651"/>
    <x v="6"/>
    <n v="4726"/>
    <n v="24.9"/>
    <x v="1"/>
    <x v="1"/>
    <x v="4"/>
    <x v="1"/>
    <n v="134433"/>
    <x v="0"/>
    <n v="0.34"/>
    <n v="0.57999999999999996"/>
    <n v="1515.61"/>
    <n v="0"/>
    <n v="8148.2758620689665"/>
    <n v="11202.75"/>
    <n v="3808.9350000000004"/>
    <n v="51"/>
    <n v="-3210.3900000000003"/>
  </r>
  <r>
    <x v="651"/>
    <d v="2023-11-16T00:00:00"/>
    <s v="B0652"/>
    <x v="3"/>
    <n v="24616"/>
    <n v="15.9"/>
    <x v="1"/>
    <x v="0"/>
    <x v="5"/>
    <x v="0"/>
    <n v="101386"/>
    <x v="1"/>
    <n v="0.48"/>
    <n v="0.89"/>
    <n v="28529.94"/>
    <n v="0"/>
    <n v="27658.426966292136"/>
    <n v="8448.8333333333339"/>
    <n v="4055.44"/>
    <n v="28"/>
    <n v="3913.9399999999987"/>
  </r>
  <r>
    <x v="652"/>
    <d v="2023-03-15T00:00:00"/>
    <s v="B0653"/>
    <x v="0"/>
    <n v="28723"/>
    <n v="6.8"/>
    <x v="1"/>
    <x v="0"/>
    <x v="5"/>
    <x v="1"/>
    <n v="116124"/>
    <x v="0"/>
    <n v="0.24"/>
    <n v="0.7"/>
    <n v="30676.16"/>
    <n v="0"/>
    <n v="41032.857142857145"/>
    <n v="9677"/>
    <n v="2322.48"/>
    <n v="36"/>
    <n v="1953.1599999999999"/>
  </r>
  <r>
    <x v="653"/>
    <d v="2021-01-08T00:00:00"/>
    <s v="B0654"/>
    <x v="5"/>
    <n v="38574"/>
    <n v="17.100000000000001"/>
    <x v="0"/>
    <x v="0"/>
    <x v="5"/>
    <x v="1"/>
    <n v="135750"/>
    <x v="0"/>
    <n v="0.2"/>
    <n v="0.56000000000000005"/>
    <n v="45170.15"/>
    <n v="0"/>
    <n v="68882.142857142855"/>
    <n v="11312.5"/>
    <n v="2262.5"/>
    <n v="62"/>
    <n v="6596.1500000000015"/>
  </r>
  <r>
    <x v="654"/>
    <d v="2022-09-17T00:00:00"/>
    <s v="B0655"/>
    <x v="5"/>
    <n v="35958"/>
    <n v="8"/>
    <x v="1"/>
    <x v="0"/>
    <x v="6"/>
    <x v="0"/>
    <n v="107485"/>
    <x v="1"/>
    <n v="0.36"/>
    <n v="0.89"/>
    <n v="38834.639999999999"/>
    <n v="0"/>
    <n v="40402.247191011236"/>
    <n v="8957.0833333333339"/>
    <n v="3224.55"/>
    <n v="42"/>
    <n v="2876.6399999999994"/>
  </r>
  <r>
    <x v="655"/>
    <d v="2022-12-20T00:00:00"/>
    <s v="B0656"/>
    <x v="7"/>
    <n v="10108"/>
    <n v="5.6"/>
    <x v="0"/>
    <x v="3"/>
    <x v="0"/>
    <x v="4"/>
    <n v="104055"/>
    <x v="2"/>
    <n v="0.18"/>
    <n v="0.87"/>
    <n v="2849.4"/>
    <n v="2210.77"/>
    <n v="11618.3908045977"/>
    <n v="8671.25"/>
    <n v="1560.825"/>
    <n v="38"/>
    <n v="-5047.83"/>
  </r>
  <r>
    <x v="656"/>
    <d v="2021-10-30T00:00:00"/>
    <s v="B0657"/>
    <x v="5"/>
    <n v="13178"/>
    <n v="24.4"/>
    <x v="0"/>
    <x v="0"/>
    <x v="6"/>
    <x v="0"/>
    <n v="121911"/>
    <x v="2"/>
    <n v="0.23"/>
    <n v="0.94"/>
    <n v="16393.43"/>
    <n v="0"/>
    <n v="14019.148936170213"/>
    <n v="10159.25"/>
    <n v="2336.6275000000001"/>
    <n v="52"/>
    <n v="3215.4300000000003"/>
  </r>
  <r>
    <x v="657"/>
    <d v="2022-10-01T00:00:00"/>
    <s v="B0658"/>
    <x v="1"/>
    <n v="36643"/>
    <n v="20.5"/>
    <x v="1"/>
    <x v="0"/>
    <x v="5"/>
    <x v="3"/>
    <n v="128618"/>
    <x v="0"/>
    <n v="0.19"/>
    <n v="0.91"/>
    <n v="44154.82"/>
    <n v="0"/>
    <n v="40267.032967032967"/>
    <n v="10718.166666666666"/>
    <n v="2036.4516666666666"/>
    <n v="41"/>
    <n v="7511.82"/>
  </r>
  <r>
    <x v="658"/>
    <d v="2021-02-25T00:00:00"/>
    <s v="B0659"/>
    <x v="8"/>
    <n v="32324"/>
    <n v="24.6"/>
    <x v="1"/>
    <x v="0"/>
    <x v="0"/>
    <x v="0"/>
    <n v="107273"/>
    <x v="1"/>
    <n v="0.13"/>
    <n v="0.88"/>
    <n v="40275.699999999997"/>
    <n v="0"/>
    <n v="36731.818181818184"/>
    <n v="8939.4166666666661"/>
    <n v="1162.1241666666667"/>
    <n v="60"/>
    <n v="7951.6999999999971"/>
  </r>
  <r>
    <x v="659"/>
    <d v="2022-12-27T00:00:00"/>
    <s v="B0660"/>
    <x v="5"/>
    <n v="39360"/>
    <n v="14.6"/>
    <x v="1"/>
    <x v="0"/>
    <x v="2"/>
    <x v="2"/>
    <n v="96670"/>
    <x v="2"/>
    <n v="0.43"/>
    <n v="0.52"/>
    <n v="45106.559999999998"/>
    <n v="0"/>
    <n v="75692.307692307688"/>
    <n v="8055.833333333333"/>
    <n v="3464.0083333333332"/>
    <n v="38"/>
    <n v="5746.5599999999977"/>
  </r>
  <r>
    <x v="660"/>
    <d v="2022-06-10T00:00:00"/>
    <s v="B0661"/>
    <x v="2"/>
    <n v="18824"/>
    <n v="15.6"/>
    <x v="1"/>
    <x v="0"/>
    <x v="1"/>
    <x v="3"/>
    <n v="106474"/>
    <x v="2"/>
    <n v="0.2"/>
    <n v="0.55000000000000004"/>
    <n v="21760.54"/>
    <n v="0"/>
    <n v="34225.454545454544"/>
    <n v="8872.8333333333339"/>
    <n v="1774.5666666666668"/>
    <n v="45"/>
    <n v="2936.5400000000009"/>
  </r>
  <r>
    <x v="661"/>
    <d v="2022-04-19T00:00:00"/>
    <s v="B0662"/>
    <x v="8"/>
    <n v="9927"/>
    <n v="8.4"/>
    <x v="0"/>
    <x v="1"/>
    <x v="0"/>
    <x v="1"/>
    <n v="84028"/>
    <x v="2"/>
    <n v="0.28999999999999998"/>
    <n v="0.76"/>
    <n v="2126.9699999999998"/>
    <n v="0"/>
    <n v="13061.842105263158"/>
    <n v="7002.333333333333"/>
    <n v="2030.6766666666665"/>
    <n v="47"/>
    <n v="-7800.0300000000007"/>
  </r>
  <r>
    <x v="662"/>
    <d v="2021-01-28T00:00:00"/>
    <s v="B0663"/>
    <x v="1"/>
    <n v="29144"/>
    <n v="9.9"/>
    <x v="0"/>
    <x v="0"/>
    <x v="0"/>
    <x v="3"/>
    <n v="120022"/>
    <x v="0"/>
    <n v="0.12"/>
    <n v="0.74"/>
    <n v="32029.26"/>
    <n v="0"/>
    <n v="39383.783783783787"/>
    <n v="10001.833333333334"/>
    <n v="1200.22"/>
    <n v="61"/>
    <n v="2885.2599999999984"/>
  </r>
  <r>
    <x v="663"/>
    <d v="2021-03-19T00:00:00"/>
    <s v="B0664"/>
    <x v="0"/>
    <n v="32010"/>
    <n v="21.8"/>
    <x v="0"/>
    <x v="1"/>
    <x v="0"/>
    <x v="4"/>
    <n v="143892"/>
    <x v="1"/>
    <n v="0.38"/>
    <n v="0.71"/>
    <n v="14628.99"/>
    <n v="0"/>
    <n v="45084.507042253521"/>
    <n v="11991"/>
    <n v="4556.58"/>
    <n v="60"/>
    <n v="-17381.010000000002"/>
  </r>
  <r>
    <x v="664"/>
    <d v="2021-12-31T00:00:00"/>
    <s v="B0665"/>
    <x v="8"/>
    <n v="23443"/>
    <n v="12.1"/>
    <x v="1"/>
    <x v="4"/>
    <x v="5"/>
    <x v="4"/>
    <n v="121632"/>
    <x v="0"/>
    <n v="0.23"/>
    <n v="0.68"/>
    <n v="0"/>
    <n v="0"/>
    <n v="34475"/>
    <n v="10136"/>
    <n v="2331.2800000000002"/>
    <n v="50"/>
    <n v="-23443"/>
  </r>
  <r>
    <x v="665"/>
    <d v="2022-10-28T00:00:00"/>
    <s v="B0666"/>
    <x v="8"/>
    <n v="15437"/>
    <n v="21.5"/>
    <x v="0"/>
    <x v="1"/>
    <x v="0"/>
    <x v="0"/>
    <n v="136651"/>
    <x v="2"/>
    <n v="0.4"/>
    <n v="0.69"/>
    <n v="4267.6000000000004"/>
    <n v="0"/>
    <n v="22372.463768115944"/>
    <n v="11387.583333333334"/>
    <n v="4555.0333333333338"/>
    <n v="40"/>
    <n v="-11169.4"/>
  </r>
  <r>
    <x v="666"/>
    <d v="2022-06-10T00:00:00"/>
    <s v="B0667"/>
    <x v="0"/>
    <n v="12207"/>
    <n v="19.2"/>
    <x v="1"/>
    <x v="0"/>
    <x v="0"/>
    <x v="3"/>
    <n v="101128"/>
    <x v="1"/>
    <n v="0.26"/>
    <n v="0.76"/>
    <n v="14550.74"/>
    <n v="0"/>
    <n v="16061.842105263158"/>
    <n v="8427.3333333333339"/>
    <n v="2191.106666666667"/>
    <n v="45"/>
    <n v="2343.7399999999998"/>
  </r>
  <r>
    <x v="667"/>
    <d v="2022-11-30T00:00:00"/>
    <s v="B0668"/>
    <x v="1"/>
    <n v="26537"/>
    <n v="8.5"/>
    <x v="1"/>
    <x v="0"/>
    <x v="0"/>
    <x v="1"/>
    <n v="48108"/>
    <x v="0"/>
    <n v="0.18"/>
    <n v="0.5"/>
    <n v="28792.639999999999"/>
    <n v="0"/>
    <n v="53074"/>
    <n v="4009"/>
    <n v="721.62"/>
    <n v="39"/>
    <n v="2255.6399999999994"/>
  </r>
  <r>
    <x v="668"/>
    <d v="2023-06-02T00:00:00"/>
    <s v="B0669"/>
    <x v="5"/>
    <n v="36757"/>
    <n v="15.1"/>
    <x v="1"/>
    <x v="3"/>
    <x v="1"/>
    <x v="4"/>
    <n v="82495"/>
    <x v="2"/>
    <n v="0.31"/>
    <n v="0.62"/>
    <n v="8800.92"/>
    <n v="6346.33"/>
    <n v="59285.483870967742"/>
    <n v="6874.583333333333"/>
    <n v="2131.1208333333334"/>
    <n v="33"/>
    <n v="-21609.75"/>
  </r>
  <r>
    <x v="669"/>
    <d v="2023-10-28T00:00:00"/>
    <s v="B0670"/>
    <x v="7"/>
    <n v="13040"/>
    <n v="18.5"/>
    <x v="1"/>
    <x v="0"/>
    <x v="6"/>
    <x v="1"/>
    <n v="112806"/>
    <x v="2"/>
    <n v="0.15"/>
    <n v="0.73"/>
    <n v="15452.4"/>
    <n v="0"/>
    <n v="17863.013698630137"/>
    <n v="9400.5"/>
    <n v="1410.075"/>
    <n v="28"/>
    <n v="2412.3999999999996"/>
  </r>
  <r>
    <x v="670"/>
    <d v="2023-10-24T00:00:00"/>
    <s v="B0671"/>
    <x v="3"/>
    <n v="23612"/>
    <n v="9.6999999999999993"/>
    <x v="1"/>
    <x v="1"/>
    <x v="6"/>
    <x v="2"/>
    <n v="123185"/>
    <x v="0"/>
    <n v="0.28000000000000003"/>
    <n v="0.82"/>
    <n v="11779.58"/>
    <n v="0"/>
    <n v="28795.121951219513"/>
    <n v="10265.416666666666"/>
    <n v="2874.3166666666666"/>
    <n v="28"/>
    <n v="-11832.42"/>
  </r>
  <r>
    <x v="671"/>
    <d v="2023-07-08T00:00:00"/>
    <s v="B0672"/>
    <x v="0"/>
    <n v="29441"/>
    <n v="21.6"/>
    <x v="0"/>
    <x v="3"/>
    <x v="0"/>
    <x v="4"/>
    <n v="106533"/>
    <x v="2"/>
    <n v="0.23"/>
    <n v="0.57999999999999996"/>
    <n v="7302.84"/>
    <n v="11730.22"/>
    <n v="50760.34482758621"/>
    <n v="8877.75"/>
    <n v="2041.8825000000002"/>
    <n v="32"/>
    <n v="-10407.940000000002"/>
  </r>
  <r>
    <x v="672"/>
    <d v="2023-01-20T00:00:00"/>
    <s v="B0673"/>
    <x v="0"/>
    <n v="7471"/>
    <n v="15.9"/>
    <x v="0"/>
    <x v="3"/>
    <x v="2"/>
    <x v="0"/>
    <n v="129025"/>
    <x v="2"/>
    <n v="0.46"/>
    <n v="0.75"/>
    <n v="1146.94"/>
    <n v="2846.42"/>
    <n v="9961.3333333333339"/>
    <n v="10752.083333333334"/>
    <n v="4945.9583333333339"/>
    <n v="37"/>
    <n v="-3477.64"/>
  </r>
  <r>
    <x v="673"/>
    <d v="2021-12-29T00:00:00"/>
    <s v="B0674"/>
    <x v="0"/>
    <n v="36631"/>
    <n v="8.3000000000000007"/>
    <x v="1"/>
    <x v="3"/>
    <x v="1"/>
    <x v="2"/>
    <n v="86830"/>
    <x v="1"/>
    <n v="0.12"/>
    <n v="0.82"/>
    <n v="9301.3700000000008"/>
    <n v="10217.73"/>
    <n v="44671.951219512201"/>
    <n v="7235.833333333333"/>
    <n v="868.3"/>
    <n v="50"/>
    <n v="-17111.900000000001"/>
  </r>
  <r>
    <x v="674"/>
    <d v="2023-03-17T00:00:00"/>
    <s v="B0675"/>
    <x v="0"/>
    <n v="27523"/>
    <n v="16.7"/>
    <x v="0"/>
    <x v="1"/>
    <x v="2"/>
    <x v="3"/>
    <n v="104640"/>
    <x v="2"/>
    <n v="0.38"/>
    <n v="0.7"/>
    <n v="11458.03"/>
    <n v="0"/>
    <n v="39318.571428571428"/>
    <n v="8720"/>
    <n v="3313.6"/>
    <n v="36"/>
    <n v="-16064.97"/>
  </r>
  <r>
    <x v="675"/>
    <d v="2023-01-09T00:00:00"/>
    <s v="B0676"/>
    <x v="3"/>
    <n v="32348"/>
    <n v="25"/>
    <x v="1"/>
    <x v="0"/>
    <x v="4"/>
    <x v="1"/>
    <n v="82509"/>
    <x v="0"/>
    <n v="0.17"/>
    <n v="0.51"/>
    <n v="40435"/>
    <n v="0"/>
    <n v="63427.450980392154"/>
    <n v="6875.75"/>
    <n v="1168.8775000000001"/>
    <n v="38"/>
    <n v="8087"/>
  </r>
  <r>
    <x v="676"/>
    <d v="2023-11-05T00:00:00"/>
    <s v="B0677"/>
    <x v="3"/>
    <n v="2177"/>
    <n v="8"/>
    <x v="1"/>
    <x v="2"/>
    <x v="4"/>
    <x v="4"/>
    <n v="96406"/>
    <x v="1"/>
    <n v="0.23"/>
    <n v="0.7"/>
    <n v="0"/>
    <n v="0"/>
    <n v="3110"/>
    <n v="8033.833333333333"/>
    <n v="1847.7816666666668"/>
    <n v="28"/>
    <n v="-2177"/>
  </r>
  <r>
    <x v="677"/>
    <d v="2022-04-30T00:00:00"/>
    <s v="B0678"/>
    <x v="5"/>
    <n v="5760"/>
    <n v="21.3"/>
    <x v="1"/>
    <x v="0"/>
    <x v="6"/>
    <x v="2"/>
    <n v="124220"/>
    <x v="0"/>
    <n v="0.27"/>
    <n v="0.63"/>
    <n v="6986.88"/>
    <n v="0"/>
    <n v="9142.8571428571431"/>
    <n v="10351.666666666666"/>
    <n v="2794.95"/>
    <n v="46"/>
    <n v="1226.8800000000001"/>
  </r>
  <r>
    <x v="678"/>
    <d v="2021-01-28T00:00:00"/>
    <s v="B0679"/>
    <x v="4"/>
    <n v="33779"/>
    <n v="9.1"/>
    <x v="0"/>
    <x v="0"/>
    <x v="0"/>
    <x v="2"/>
    <n v="69519"/>
    <x v="2"/>
    <n v="0.46"/>
    <n v="0.92"/>
    <n v="36852.89"/>
    <n v="0"/>
    <n v="36716.304347826088"/>
    <n v="5793.25"/>
    <n v="2664.895"/>
    <n v="61"/>
    <n v="3073.8899999999994"/>
  </r>
  <r>
    <x v="679"/>
    <d v="2022-12-15T00:00:00"/>
    <s v="B0680"/>
    <x v="4"/>
    <n v="22636"/>
    <n v="20.6"/>
    <x v="1"/>
    <x v="1"/>
    <x v="5"/>
    <x v="4"/>
    <n v="79649"/>
    <x v="1"/>
    <n v="0.2"/>
    <n v="0.56000000000000005"/>
    <n v="9045.0499999999993"/>
    <n v="0"/>
    <n v="40421.428571428565"/>
    <n v="6637.416666666667"/>
    <n v="1327.4833333333336"/>
    <n v="39"/>
    <n v="-13590.95"/>
  </r>
  <r>
    <x v="680"/>
    <d v="2023-11-29T00:00:00"/>
    <s v="B0681"/>
    <x v="9"/>
    <n v="17353"/>
    <n v="19.7"/>
    <x v="1"/>
    <x v="1"/>
    <x v="6"/>
    <x v="3"/>
    <n v="64524"/>
    <x v="1"/>
    <n v="0.14000000000000001"/>
    <n v="0.79"/>
    <n v="7025.57"/>
    <n v="0"/>
    <n v="21965.822784810127"/>
    <n v="5377"/>
    <n v="752.78000000000009"/>
    <n v="27"/>
    <n v="-10327.43"/>
  </r>
  <r>
    <x v="681"/>
    <d v="2021-03-27T00:00:00"/>
    <s v="B0682"/>
    <x v="0"/>
    <n v="12556"/>
    <n v="11"/>
    <x v="0"/>
    <x v="3"/>
    <x v="6"/>
    <x v="3"/>
    <n v="126493"/>
    <x v="1"/>
    <n v="0.23"/>
    <n v="0.52"/>
    <n v="3922.58"/>
    <n v="3494.67"/>
    <n v="24146.153846153844"/>
    <n v="10541.083333333334"/>
    <n v="2424.4491666666668"/>
    <n v="59"/>
    <n v="-5138.75"/>
  </r>
  <r>
    <x v="682"/>
    <d v="2021-05-06T00:00:00"/>
    <s v="B0683"/>
    <x v="0"/>
    <n v="28598"/>
    <n v="11.5"/>
    <x v="0"/>
    <x v="1"/>
    <x v="2"/>
    <x v="0"/>
    <n v="63885"/>
    <x v="1"/>
    <n v="0.14000000000000001"/>
    <n v="0.7"/>
    <n v="4701.45"/>
    <n v="0"/>
    <n v="40854.285714285717"/>
    <n v="5323.75"/>
    <n v="745.32500000000005"/>
    <n v="58"/>
    <n v="-23896.55"/>
  </r>
  <r>
    <x v="683"/>
    <d v="2023-03-23T00:00:00"/>
    <s v="B0684"/>
    <x v="8"/>
    <n v="12563"/>
    <n v="20.9"/>
    <x v="0"/>
    <x v="0"/>
    <x v="1"/>
    <x v="3"/>
    <n v="74369"/>
    <x v="0"/>
    <n v="0.15"/>
    <n v="0.75"/>
    <n v="15188.67"/>
    <n v="0"/>
    <n v="16750.666666666668"/>
    <n v="6197.416666666667"/>
    <n v="929.61249999999995"/>
    <n v="35"/>
    <n v="2625.67"/>
  </r>
  <r>
    <x v="684"/>
    <d v="2022-06-21T00:00:00"/>
    <s v="B0685"/>
    <x v="4"/>
    <n v="9234"/>
    <n v="14.2"/>
    <x v="1"/>
    <x v="2"/>
    <x v="0"/>
    <x v="0"/>
    <n v="131132"/>
    <x v="2"/>
    <n v="0.33"/>
    <n v="0.63"/>
    <n v="0"/>
    <n v="0"/>
    <n v="14657.142857142857"/>
    <n v="10927.666666666666"/>
    <n v="3606.13"/>
    <n v="44"/>
    <n v="-9234"/>
  </r>
  <r>
    <x v="685"/>
    <d v="2021-05-25T00:00:00"/>
    <s v="B0686"/>
    <x v="5"/>
    <n v="26519"/>
    <n v="19.600000000000001"/>
    <x v="1"/>
    <x v="1"/>
    <x v="0"/>
    <x v="2"/>
    <n v="125402"/>
    <x v="2"/>
    <n v="0.12"/>
    <n v="0.7"/>
    <n v="11613.67"/>
    <n v="0"/>
    <n v="37884.285714285717"/>
    <n v="10450.166666666666"/>
    <n v="1254.02"/>
    <n v="57"/>
    <n v="-14905.33"/>
  </r>
  <r>
    <x v="686"/>
    <d v="2021-01-25T00:00:00"/>
    <s v="B0687"/>
    <x v="7"/>
    <n v="27966"/>
    <n v="8"/>
    <x v="0"/>
    <x v="1"/>
    <x v="5"/>
    <x v="4"/>
    <n v="60676"/>
    <x v="1"/>
    <n v="0.11"/>
    <n v="0.56999999999999995"/>
    <n v="12642.02"/>
    <n v="0"/>
    <n v="49063.157894736847"/>
    <n v="5056.333333333333"/>
    <n v="556.1966666666666"/>
    <n v="61"/>
    <n v="-15323.98"/>
  </r>
  <r>
    <x v="687"/>
    <d v="2021-03-08T00:00:00"/>
    <s v="B0688"/>
    <x v="9"/>
    <n v="17173"/>
    <n v="22.1"/>
    <x v="1"/>
    <x v="0"/>
    <x v="5"/>
    <x v="3"/>
    <n v="94093"/>
    <x v="2"/>
    <n v="0.39"/>
    <n v="0.64"/>
    <n v="20968.23"/>
    <n v="0"/>
    <n v="26832.8125"/>
    <n v="7841.083333333333"/>
    <n v="3058.0225"/>
    <n v="60"/>
    <n v="3795.2299999999996"/>
  </r>
  <r>
    <x v="688"/>
    <d v="2021-08-21T00:00:00"/>
    <s v="B0689"/>
    <x v="9"/>
    <n v="27987"/>
    <n v="19.2"/>
    <x v="0"/>
    <x v="0"/>
    <x v="0"/>
    <x v="0"/>
    <n v="77764"/>
    <x v="0"/>
    <n v="0.24"/>
    <n v="0.78"/>
    <n v="33360.5"/>
    <n v="0"/>
    <n v="35880.769230769227"/>
    <n v="6480.333333333333"/>
    <n v="1555.28"/>
    <n v="54"/>
    <n v="5373.5"/>
  </r>
  <r>
    <x v="689"/>
    <d v="2021-04-19T00:00:00"/>
    <s v="B0690"/>
    <x v="5"/>
    <n v="14178"/>
    <n v="23.1"/>
    <x v="0"/>
    <x v="1"/>
    <x v="0"/>
    <x v="2"/>
    <n v="80799"/>
    <x v="2"/>
    <n v="0.15"/>
    <n v="0.64"/>
    <n v="1947.61"/>
    <n v="0"/>
    <n v="22153.125"/>
    <n v="6733.25"/>
    <n v="1009.9875"/>
    <n v="59"/>
    <n v="-12230.39"/>
  </r>
  <r>
    <x v="690"/>
    <d v="2021-04-21T00:00:00"/>
    <s v="B0691"/>
    <x v="7"/>
    <n v="25596"/>
    <n v="7.6"/>
    <x v="1"/>
    <x v="0"/>
    <x v="5"/>
    <x v="3"/>
    <n v="109414"/>
    <x v="0"/>
    <n v="0.2"/>
    <n v="0.9"/>
    <n v="27541.3"/>
    <n v="0"/>
    <n v="28440"/>
    <n v="9117.8333333333339"/>
    <n v="1823.5666666666668"/>
    <n v="58"/>
    <n v="1945.2999999999993"/>
  </r>
  <r>
    <x v="691"/>
    <d v="2021-08-16T00:00:00"/>
    <s v="B0692"/>
    <x v="8"/>
    <n v="34174"/>
    <n v="16.899999999999999"/>
    <x v="1"/>
    <x v="0"/>
    <x v="1"/>
    <x v="1"/>
    <n v="135296"/>
    <x v="0"/>
    <n v="0.36"/>
    <n v="0.78"/>
    <n v="39949.410000000003"/>
    <n v="0"/>
    <n v="43812.820512820508"/>
    <n v="11274.666666666666"/>
    <n v="4058.8799999999997"/>
    <n v="55"/>
    <n v="5775.4100000000035"/>
  </r>
  <r>
    <x v="692"/>
    <d v="2021-04-21T00:00:00"/>
    <s v="B0693"/>
    <x v="3"/>
    <n v="5431"/>
    <n v="17"/>
    <x v="0"/>
    <x v="1"/>
    <x v="3"/>
    <x v="2"/>
    <n v="123095"/>
    <x v="2"/>
    <n v="0.21"/>
    <n v="0.7"/>
    <n v="590.38"/>
    <n v="0"/>
    <n v="7758.5714285714294"/>
    <n v="10257.916666666666"/>
    <n v="2154.1624999999999"/>
    <n v="58"/>
    <n v="-4840.62"/>
  </r>
  <r>
    <x v="693"/>
    <d v="2021-02-03T00:00:00"/>
    <s v="B0694"/>
    <x v="6"/>
    <n v="28764"/>
    <n v="12.1"/>
    <x v="0"/>
    <x v="0"/>
    <x v="1"/>
    <x v="3"/>
    <n v="142082"/>
    <x v="0"/>
    <n v="0.3"/>
    <n v="0.52"/>
    <n v="32244.44"/>
    <n v="0"/>
    <n v="55315.384615384617"/>
    <n v="11840.166666666666"/>
    <n v="3552.0499999999997"/>
    <n v="61"/>
    <n v="3480.4399999999987"/>
  </r>
  <r>
    <x v="694"/>
    <d v="2022-09-15T00:00:00"/>
    <s v="B0695"/>
    <x v="4"/>
    <n v="22627"/>
    <n v="14.2"/>
    <x v="0"/>
    <x v="0"/>
    <x v="6"/>
    <x v="2"/>
    <n v="102307"/>
    <x v="0"/>
    <n v="0.15"/>
    <n v="0.72"/>
    <n v="25840.03"/>
    <n v="0"/>
    <n v="31426.388888888891"/>
    <n v="8525.5833333333339"/>
    <n v="1278.8375000000001"/>
    <n v="42"/>
    <n v="3213.0299999999988"/>
  </r>
  <r>
    <x v="695"/>
    <d v="2023-01-18T00:00:00"/>
    <s v="B0696"/>
    <x v="0"/>
    <n v="9906"/>
    <n v="5.8"/>
    <x v="0"/>
    <x v="0"/>
    <x v="5"/>
    <x v="4"/>
    <n v="112062"/>
    <x v="0"/>
    <n v="0.34"/>
    <n v="0.84"/>
    <n v="10480.549999999999"/>
    <n v="0"/>
    <n v="11792.857142857143"/>
    <n v="9338.5"/>
    <n v="3175.09"/>
    <n v="38"/>
    <n v="574.54999999999927"/>
  </r>
  <r>
    <x v="696"/>
    <d v="2022-08-18T00:00:00"/>
    <s v="B0697"/>
    <x v="5"/>
    <n v="37914"/>
    <n v="19.899999999999999"/>
    <x v="1"/>
    <x v="0"/>
    <x v="3"/>
    <x v="4"/>
    <n v="125432"/>
    <x v="0"/>
    <n v="0.23"/>
    <n v="0.62"/>
    <n v="45458.89"/>
    <n v="0"/>
    <n v="61151.61290322581"/>
    <n v="10452.666666666666"/>
    <n v="2404.1133333333332"/>
    <n v="43"/>
    <n v="7544.8899999999994"/>
  </r>
  <r>
    <x v="697"/>
    <d v="2022-03-01T00:00:00"/>
    <s v="B0698"/>
    <x v="4"/>
    <n v="14076"/>
    <n v="16"/>
    <x v="0"/>
    <x v="1"/>
    <x v="1"/>
    <x v="4"/>
    <n v="61923"/>
    <x v="1"/>
    <n v="0.35"/>
    <n v="0.86"/>
    <n v="6883.48"/>
    <n v="0"/>
    <n v="16367.441860465116"/>
    <n v="5160.25"/>
    <n v="1806.0874999999999"/>
    <n v="48"/>
    <n v="-7192.52"/>
  </r>
  <r>
    <x v="698"/>
    <d v="2022-09-05T00:00:00"/>
    <s v="B0699"/>
    <x v="0"/>
    <n v="38650"/>
    <n v="6.2"/>
    <x v="0"/>
    <x v="0"/>
    <x v="6"/>
    <x v="1"/>
    <n v="147449"/>
    <x v="2"/>
    <n v="0.42"/>
    <n v="0.61"/>
    <n v="41046.300000000003"/>
    <n v="0"/>
    <n v="63360.655737704918"/>
    <n v="12287.416666666666"/>
    <n v="5160.7149999999992"/>
    <n v="42"/>
    <n v="2396.3000000000029"/>
  </r>
  <r>
    <x v="699"/>
    <d v="2022-11-23T00:00:00"/>
    <s v="B0700"/>
    <x v="6"/>
    <n v="7012"/>
    <n v="18.600000000000001"/>
    <x v="0"/>
    <x v="0"/>
    <x v="2"/>
    <x v="4"/>
    <n v="131739"/>
    <x v="1"/>
    <n v="0.34"/>
    <n v="0.87"/>
    <n v="8316.23"/>
    <n v="0"/>
    <n v="8059.7701149425284"/>
    <n v="10978.25"/>
    <n v="3732.6050000000005"/>
    <n v="39"/>
    <n v="1304.2299999999996"/>
  </r>
  <r>
    <x v="700"/>
    <d v="2021-11-11T00:00:00"/>
    <s v="B0701"/>
    <x v="6"/>
    <n v="8151"/>
    <n v="14.3"/>
    <x v="1"/>
    <x v="1"/>
    <x v="2"/>
    <x v="1"/>
    <n v="134926"/>
    <x v="0"/>
    <n v="0.22"/>
    <n v="0.54"/>
    <n v="3592.52"/>
    <n v="0"/>
    <n v="15094.444444444443"/>
    <n v="11243.833333333334"/>
    <n v="2473.6433333333334"/>
    <n v="52"/>
    <n v="-4558.4799999999996"/>
  </r>
  <r>
    <x v="701"/>
    <d v="2023-05-27T00:00:00"/>
    <s v="B0702"/>
    <x v="3"/>
    <n v="29211"/>
    <n v="5.7"/>
    <x v="1"/>
    <x v="2"/>
    <x v="4"/>
    <x v="4"/>
    <n v="108388"/>
    <x v="2"/>
    <n v="0.2"/>
    <n v="0.89"/>
    <n v="0"/>
    <n v="0"/>
    <n v="32821.348314606745"/>
    <n v="9032.3333333333339"/>
    <n v="1806.4666666666669"/>
    <n v="33"/>
    <n v="-29211"/>
  </r>
  <r>
    <x v="702"/>
    <d v="2022-10-24T00:00:00"/>
    <s v="B0703"/>
    <x v="1"/>
    <n v="28117"/>
    <n v="24.4"/>
    <x v="0"/>
    <x v="1"/>
    <x v="0"/>
    <x v="2"/>
    <n v="77574"/>
    <x v="0"/>
    <n v="0.23"/>
    <n v="0.72"/>
    <n v="12707.65"/>
    <n v="0"/>
    <n v="39051.388888888891"/>
    <n v="6464.5"/>
    <n v="1486.835"/>
    <n v="40"/>
    <n v="-15409.35"/>
  </r>
  <r>
    <x v="703"/>
    <d v="2021-10-04T00:00:00"/>
    <s v="B0704"/>
    <x v="6"/>
    <n v="37378"/>
    <n v="24"/>
    <x v="1"/>
    <x v="0"/>
    <x v="0"/>
    <x v="3"/>
    <n v="73391"/>
    <x v="2"/>
    <n v="0.17"/>
    <n v="0.63"/>
    <n v="46348.72"/>
    <n v="0"/>
    <n v="59330.158730158728"/>
    <n v="6115.916666666667"/>
    <n v="1039.7058333333334"/>
    <n v="53"/>
    <n v="8970.7200000000012"/>
  </r>
  <r>
    <x v="704"/>
    <d v="2022-09-16T00:00:00"/>
    <s v="B0705"/>
    <x v="4"/>
    <n v="7894"/>
    <n v="15.3"/>
    <x v="1"/>
    <x v="0"/>
    <x v="0"/>
    <x v="3"/>
    <n v="83664"/>
    <x v="1"/>
    <n v="0.17"/>
    <n v="0.62"/>
    <n v="9101.7800000000007"/>
    <n v="0"/>
    <n v="12732.258064516129"/>
    <n v="6972"/>
    <n v="1185.24"/>
    <n v="42"/>
    <n v="1207.7800000000007"/>
  </r>
  <r>
    <x v="705"/>
    <d v="2022-05-31T00:00:00"/>
    <s v="B0706"/>
    <x v="2"/>
    <n v="14467"/>
    <n v="6.9"/>
    <x v="1"/>
    <x v="3"/>
    <x v="0"/>
    <x v="4"/>
    <n v="97384"/>
    <x v="2"/>
    <n v="0.42"/>
    <n v="0.69"/>
    <n v="5293.66"/>
    <n v="1335.02"/>
    <n v="20966.666666666668"/>
    <n v="8115.333333333333"/>
    <n v="3408.4399999999996"/>
    <n v="45"/>
    <n v="-7838.32"/>
  </r>
  <r>
    <x v="706"/>
    <d v="2023-04-23T00:00:00"/>
    <s v="B0707"/>
    <x v="2"/>
    <n v="32010"/>
    <n v="20.100000000000001"/>
    <x v="0"/>
    <x v="0"/>
    <x v="0"/>
    <x v="3"/>
    <n v="61027"/>
    <x v="0"/>
    <n v="0.25"/>
    <n v="0.95"/>
    <n v="38444.01"/>
    <n v="0"/>
    <n v="33694.736842105267"/>
    <n v="5085.583333333333"/>
    <n v="1271.3958333333333"/>
    <n v="34"/>
    <n v="6434.010000000002"/>
  </r>
  <r>
    <x v="707"/>
    <d v="2021-12-16T00:00:00"/>
    <s v="B0708"/>
    <x v="0"/>
    <n v="13289"/>
    <n v="14.8"/>
    <x v="0"/>
    <x v="1"/>
    <x v="4"/>
    <x v="4"/>
    <n v="65464"/>
    <x v="2"/>
    <n v="0.27"/>
    <n v="0.6"/>
    <n v="3903.76"/>
    <n v="0"/>
    <n v="22148.333333333336"/>
    <n v="5455.333333333333"/>
    <n v="1472.94"/>
    <n v="51"/>
    <n v="-9385.24"/>
  </r>
  <r>
    <x v="708"/>
    <d v="2023-04-03T00:00:00"/>
    <s v="B0709"/>
    <x v="0"/>
    <n v="24171"/>
    <n v="11"/>
    <x v="1"/>
    <x v="0"/>
    <x v="5"/>
    <x v="4"/>
    <n v="64485"/>
    <x v="2"/>
    <n v="0.34"/>
    <n v="0.55000000000000004"/>
    <n v="26829.81"/>
    <n v="0"/>
    <n v="43947.272727272721"/>
    <n v="5373.75"/>
    <n v="1827.075"/>
    <n v="35"/>
    <n v="2658.8100000000013"/>
  </r>
  <r>
    <x v="709"/>
    <d v="2023-01-29T00:00:00"/>
    <s v="B0710"/>
    <x v="1"/>
    <n v="35905"/>
    <n v="14.8"/>
    <x v="0"/>
    <x v="0"/>
    <x v="1"/>
    <x v="0"/>
    <n v="49456"/>
    <x v="1"/>
    <n v="0.34"/>
    <n v="0.76"/>
    <n v="41218.94"/>
    <n v="0"/>
    <n v="47243.42105263158"/>
    <n v="4121.333333333333"/>
    <n v="1401.2533333333333"/>
    <n v="37"/>
    <n v="5313.9400000000023"/>
  </r>
  <r>
    <x v="710"/>
    <d v="2023-06-18T00:00:00"/>
    <s v="B0711"/>
    <x v="2"/>
    <n v="21829"/>
    <n v="15.4"/>
    <x v="0"/>
    <x v="1"/>
    <x v="0"/>
    <x v="0"/>
    <n v="104795"/>
    <x v="0"/>
    <n v="0.13"/>
    <n v="0.72"/>
    <n v="7441.09"/>
    <n v="0"/>
    <n v="30318.055555555558"/>
    <n v="8732.9166666666661"/>
    <n v="1135.2791666666667"/>
    <n v="33"/>
    <n v="-14387.91"/>
  </r>
  <r>
    <x v="711"/>
    <d v="2021-08-31T00:00:00"/>
    <s v="B0712"/>
    <x v="0"/>
    <n v="35054"/>
    <n v="16.3"/>
    <x v="1"/>
    <x v="1"/>
    <x v="1"/>
    <x v="0"/>
    <n v="65554"/>
    <x v="2"/>
    <n v="0.43"/>
    <n v="0.74"/>
    <n v="10355.42"/>
    <n v="0"/>
    <n v="47370.270270270274"/>
    <n v="5462.833333333333"/>
    <n v="2349.018333333333"/>
    <n v="54"/>
    <n v="-24698.58"/>
  </r>
  <r>
    <x v="712"/>
    <d v="2022-06-27T00:00:00"/>
    <s v="B0713"/>
    <x v="6"/>
    <n v="30734"/>
    <n v="13.8"/>
    <x v="1"/>
    <x v="1"/>
    <x v="1"/>
    <x v="1"/>
    <n v="76922"/>
    <x v="1"/>
    <n v="0.17"/>
    <n v="0.8"/>
    <n v="2244.9"/>
    <n v="0"/>
    <n v="38417.5"/>
    <n v="6410.166666666667"/>
    <n v="1089.7283333333335"/>
    <n v="44"/>
    <n v="-28489.1"/>
  </r>
  <r>
    <x v="713"/>
    <d v="2023-11-30T00:00:00"/>
    <s v="B0714"/>
    <x v="0"/>
    <n v="8052"/>
    <n v="17.100000000000001"/>
    <x v="0"/>
    <x v="0"/>
    <x v="5"/>
    <x v="0"/>
    <n v="43409"/>
    <x v="2"/>
    <n v="0.39"/>
    <n v="0.62"/>
    <n v="9428.89"/>
    <n v="0"/>
    <n v="12987.096774193549"/>
    <n v="3617.4166666666665"/>
    <n v="1410.7925"/>
    <n v="27"/>
    <n v="1376.8899999999994"/>
  </r>
  <r>
    <x v="714"/>
    <d v="2021-08-17T00:00:00"/>
    <s v="B0715"/>
    <x v="9"/>
    <n v="4654"/>
    <n v="23.4"/>
    <x v="1"/>
    <x v="0"/>
    <x v="2"/>
    <x v="4"/>
    <n v="99327"/>
    <x v="0"/>
    <n v="0.41"/>
    <n v="0.91"/>
    <n v="5743.04"/>
    <n v="0"/>
    <n v="5114.2857142857138"/>
    <n v="8277.25"/>
    <n v="3393.6724999999997"/>
    <n v="55"/>
    <n v="1089.04"/>
  </r>
  <r>
    <x v="715"/>
    <d v="2022-07-02T00:00:00"/>
    <s v="B0716"/>
    <x v="1"/>
    <n v="24486"/>
    <n v="12.2"/>
    <x v="0"/>
    <x v="1"/>
    <x v="0"/>
    <x v="2"/>
    <n v="121400"/>
    <x v="2"/>
    <n v="0.39"/>
    <n v="0.7"/>
    <n v="9438.77"/>
    <n v="0"/>
    <n v="34980"/>
    <n v="10116.666666666666"/>
    <n v="3945.5"/>
    <n v="44"/>
    <n v="-15047.23"/>
  </r>
  <r>
    <x v="716"/>
    <d v="2023-07-09T00:00:00"/>
    <s v="B0717"/>
    <x v="5"/>
    <n v="19743"/>
    <n v="19.5"/>
    <x v="0"/>
    <x v="1"/>
    <x v="0"/>
    <x v="0"/>
    <n v="66639"/>
    <x v="2"/>
    <n v="0.33"/>
    <n v="0.56000000000000005"/>
    <n v="5476.7"/>
    <n v="0"/>
    <n v="35255.357142857138"/>
    <n v="5553.25"/>
    <n v="1832.5725"/>
    <n v="32"/>
    <n v="-14266.3"/>
  </r>
  <r>
    <x v="717"/>
    <d v="2021-01-06T00:00:00"/>
    <s v="B0718"/>
    <x v="7"/>
    <n v="25489"/>
    <n v="22.9"/>
    <x v="1"/>
    <x v="0"/>
    <x v="4"/>
    <x v="0"/>
    <n v="130110"/>
    <x v="2"/>
    <n v="0.11"/>
    <n v="0.83"/>
    <n v="31325.98"/>
    <n v="0"/>
    <n v="30709.638554216868"/>
    <n v="10842.5"/>
    <n v="1192.675"/>
    <n v="62"/>
    <n v="5836.98"/>
  </r>
  <r>
    <x v="718"/>
    <d v="2022-04-13T00:00:00"/>
    <s v="B0719"/>
    <x v="8"/>
    <n v="9636"/>
    <n v="14.1"/>
    <x v="0"/>
    <x v="0"/>
    <x v="0"/>
    <x v="2"/>
    <n v="93627"/>
    <x v="2"/>
    <n v="0.24"/>
    <n v="0.79"/>
    <n v="10994.68"/>
    <n v="0"/>
    <n v="12197.468354430379"/>
    <n v="7802.25"/>
    <n v="1872.54"/>
    <n v="47"/>
    <n v="1358.6800000000003"/>
  </r>
  <r>
    <x v="719"/>
    <d v="2021-03-16T00:00:00"/>
    <s v="B0720"/>
    <x v="7"/>
    <n v="7441"/>
    <n v="13.9"/>
    <x v="0"/>
    <x v="0"/>
    <x v="5"/>
    <x v="4"/>
    <n v="113424"/>
    <x v="0"/>
    <n v="0.34"/>
    <n v="0.64"/>
    <n v="8475.2999999999993"/>
    <n v="0"/>
    <n v="11626.5625"/>
    <n v="9452"/>
    <n v="3213.6800000000003"/>
    <n v="60"/>
    <n v="1034.2999999999993"/>
  </r>
  <r>
    <x v="720"/>
    <d v="2021-01-04T00:00:00"/>
    <s v="B0721"/>
    <x v="7"/>
    <n v="25611"/>
    <n v="17"/>
    <x v="1"/>
    <x v="4"/>
    <x v="4"/>
    <x v="1"/>
    <n v="49692"/>
    <x v="1"/>
    <n v="0.25"/>
    <n v="0.78"/>
    <n v="0"/>
    <n v="0"/>
    <n v="32834.615384615383"/>
    <n v="4141"/>
    <n v="1035.25"/>
    <n v="62"/>
    <n v="-25611"/>
  </r>
  <r>
    <x v="721"/>
    <d v="2022-10-08T00:00:00"/>
    <s v="B0722"/>
    <x v="3"/>
    <n v="13149"/>
    <n v="16.8"/>
    <x v="1"/>
    <x v="1"/>
    <x v="4"/>
    <x v="0"/>
    <n v="119037"/>
    <x v="1"/>
    <n v="0.45"/>
    <n v="0.6"/>
    <n v="4489.9799999999996"/>
    <n v="0"/>
    <n v="21915"/>
    <n v="9919.75"/>
    <n v="4463.8874999999998"/>
    <n v="41"/>
    <n v="-8659.02"/>
  </r>
  <r>
    <x v="722"/>
    <d v="2021-04-28T00:00:00"/>
    <s v="B0723"/>
    <x v="5"/>
    <n v="35566"/>
    <n v="21.1"/>
    <x v="1"/>
    <x v="3"/>
    <x v="0"/>
    <x v="2"/>
    <n v="108840"/>
    <x v="2"/>
    <n v="0.22"/>
    <n v="0.7"/>
    <n v="8919.67"/>
    <n v="8978.74"/>
    <n v="50808.571428571435"/>
    <n v="9070"/>
    <n v="1995.4"/>
    <n v="58"/>
    <n v="-17667.59"/>
  </r>
  <r>
    <x v="723"/>
    <d v="2023-05-31T00:00:00"/>
    <s v="B0724"/>
    <x v="0"/>
    <n v="22675"/>
    <n v="14.5"/>
    <x v="0"/>
    <x v="0"/>
    <x v="4"/>
    <x v="4"/>
    <n v="84200"/>
    <x v="0"/>
    <n v="0.22"/>
    <n v="0.9"/>
    <n v="25962.880000000001"/>
    <n v="0"/>
    <n v="25194.444444444445"/>
    <n v="7016.666666666667"/>
    <n v="1543.6666666666667"/>
    <n v="33"/>
    <n v="3287.880000000001"/>
  </r>
  <r>
    <x v="724"/>
    <d v="2022-05-19T00:00:00"/>
    <s v="B0725"/>
    <x v="3"/>
    <n v="6495"/>
    <n v="24.9"/>
    <x v="1"/>
    <x v="2"/>
    <x v="5"/>
    <x v="3"/>
    <n v="123063"/>
    <x v="0"/>
    <n v="0.21"/>
    <n v="0.56000000000000005"/>
    <n v="0"/>
    <n v="0"/>
    <n v="11598.214285714284"/>
    <n v="10255.25"/>
    <n v="2153.6025"/>
    <n v="46"/>
    <n v="-6495"/>
  </r>
  <r>
    <x v="725"/>
    <d v="2023-08-05T00:00:00"/>
    <s v="B0726"/>
    <x v="7"/>
    <n v="14673"/>
    <n v="6.2"/>
    <x v="1"/>
    <x v="0"/>
    <x v="5"/>
    <x v="1"/>
    <n v="87415"/>
    <x v="0"/>
    <n v="0.23"/>
    <n v="0.67"/>
    <n v="15582.73"/>
    <n v="0"/>
    <n v="21900"/>
    <n v="7284.583333333333"/>
    <n v="1675.4541666666667"/>
    <n v="31"/>
    <n v="909.72999999999956"/>
  </r>
  <r>
    <x v="726"/>
    <d v="2022-07-28T00:00:00"/>
    <s v="B0727"/>
    <x v="9"/>
    <n v="12130"/>
    <n v="5.0999999999999996"/>
    <x v="1"/>
    <x v="0"/>
    <x v="0"/>
    <x v="2"/>
    <n v="48074"/>
    <x v="0"/>
    <n v="0.32"/>
    <n v="0.87"/>
    <n v="12748.63"/>
    <n v="0"/>
    <n v="13942.528735632184"/>
    <n v="4006.1666666666665"/>
    <n v="1281.9733333333334"/>
    <n v="43"/>
    <n v="618.6299999999992"/>
  </r>
  <r>
    <x v="727"/>
    <d v="2021-07-13T00:00:00"/>
    <s v="B0728"/>
    <x v="8"/>
    <n v="23668"/>
    <n v="17.8"/>
    <x v="1"/>
    <x v="1"/>
    <x v="0"/>
    <x v="2"/>
    <n v="45549"/>
    <x v="0"/>
    <n v="0.38"/>
    <n v="0.94"/>
    <n v="6421.49"/>
    <n v="0"/>
    <n v="25178.723404255321"/>
    <n v="3795.75"/>
    <n v="1442.385"/>
    <n v="56"/>
    <n v="-17246.510000000002"/>
  </r>
  <r>
    <x v="728"/>
    <d v="2023-04-27T00:00:00"/>
    <s v="B0729"/>
    <x v="7"/>
    <n v="16222"/>
    <n v="11"/>
    <x v="0"/>
    <x v="0"/>
    <x v="0"/>
    <x v="2"/>
    <n v="59963"/>
    <x v="0"/>
    <n v="0.37"/>
    <n v="0.7"/>
    <n v="18006.419999999998"/>
    <n v="0"/>
    <n v="23174.285714285717"/>
    <n v="4996.916666666667"/>
    <n v="1848.8591666666669"/>
    <n v="34"/>
    <n v="1784.4199999999983"/>
  </r>
  <r>
    <x v="729"/>
    <d v="2022-12-16T00:00:00"/>
    <s v="B0730"/>
    <x v="2"/>
    <n v="24669"/>
    <n v="9.8000000000000007"/>
    <x v="0"/>
    <x v="0"/>
    <x v="0"/>
    <x v="0"/>
    <n v="121456"/>
    <x v="2"/>
    <n v="0.42"/>
    <n v="0.73"/>
    <n v="27086.560000000001"/>
    <n v="0"/>
    <n v="33793.150684931505"/>
    <n v="10121.333333333334"/>
    <n v="4250.96"/>
    <n v="39"/>
    <n v="2417.5600000000013"/>
  </r>
  <r>
    <x v="730"/>
    <d v="2023-11-16T00:00:00"/>
    <s v="B0731"/>
    <x v="5"/>
    <n v="35068"/>
    <n v="11.2"/>
    <x v="1"/>
    <x v="0"/>
    <x v="6"/>
    <x v="3"/>
    <n v="126362"/>
    <x v="1"/>
    <n v="0.45"/>
    <n v="0.76"/>
    <n v="38995.620000000003"/>
    <n v="0"/>
    <n v="46142.105263157893"/>
    <n v="10530.166666666666"/>
    <n v="4738.5749999999998"/>
    <n v="28"/>
    <n v="3927.6200000000026"/>
  </r>
  <r>
    <x v="731"/>
    <d v="2021-06-22T00:00:00"/>
    <s v="B0732"/>
    <x v="5"/>
    <n v="24253"/>
    <n v="10.1"/>
    <x v="0"/>
    <x v="0"/>
    <x v="0"/>
    <x v="1"/>
    <n v="131607"/>
    <x v="1"/>
    <n v="0.43"/>
    <n v="0.92"/>
    <n v="26702.55"/>
    <n v="0"/>
    <n v="26361.956521739128"/>
    <n v="10967.25"/>
    <n v="4715.9174999999996"/>
    <n v="56"/>
    <n v="2449.5499999999993"/>
  </r>
  <r>
    <x v="732"/>
    <d v="2021-11-22T00:00:00"/>
    <s v="B0733"/>
    <x v="5"/>
    <n v="10435"/>
    <n v="5.6"/>
    <x v="1"/>
    <x v="1"/>
    <x v="1"/>
    <x v="4"/>
    <n v="82265"/>
    <x v="2"/>
    <n v="0.11"/>
    <n v="0.89"/>
    <n v="1328.43"/>
    <n v="0"/>
    <n v="11724.719101123595"/>
    <n v="6855.416666666667"/>
    <n v="754.09583333333342"/>
    <n v="51"/>
    <n v="-9106.57"/>
  </r>
  <r>
    <x v="733"/>
    <d v="2023-04-16T00:00:00"/>
    <s v="B0734"/>
    <x v="1"/>
    <n v="29552"/>
    <n v="24.4"/>
    <x v="1"/>
    <x v="1"/>
    <x v="6"/>
    <x v="4"/>
    <n v="46061"/>
    <x v="1"/>
    <n v="0.39"/>
    <n v="0.57999999999999996"/>
    <n v="5184.05"/>
    <n v="0"/>
    <n v="50951.724137931036"/>
    <n v="3838.4166666666665"/>
    <n v="1496.9825000000001"/>
    <n v="35"/>
    <n v="-24367.95"/>
  </r>
  <r>
    <x v="734"/>
    <d v="2022-12-25T00:00:00"/>
    <s v="B0735"/>
    <x v="1"/>
    <n v="38384"/>
    <n v="9.4"/>
    <x v="0"/>
    <x v="1"/>
    <x v="0"/>
    <x v="3"/>
    <n v="88226"/>
    <x v="0"/>
    <n v="0.18"/>
    <n v="0.7"/>
    <n v="4663.03"/>
    <n v="0"/>
    <n v="54834.285714285717"/>
    <n v="7352.166666666667"/>
    <n v="1323.39"/>
    <n v="38"/>
    <n v="-33720.97"/>
  </r>
  <r>
    <x v="735"/>
    <d v="2021-08-13T00:00:00"/>
    <s v="B0736"/>
    <x v="6"/>
    <n v="17393"/>
    <n v="19.7"/>
    <x v="0"/>
    <x v="1"/>
    <x v="4"/>
    <x v="2"/>
    <n v="58810"/>
    <x v="0"/>
    <n v="0.15"/>
    <n v="0.71"/>
    <n v="2401.1"/>
    <n v="0"/>
    <n v="24497.183098591551"/>
    <n v="4900.833333333333"/>
    <n v="735.12499999999989"/>
    <n v="55"/>
    <n v="-14991.9"/>
  </r>
  <r>
    <x v="736"/>
    <d v="2022-06-16T00:00:00"/>
    <s v="B0737"/>
    <x v="4"/>
    <n v="11617"/>
    <n v="20.3"/>
    <x v="1"/>
    <x v="1"/>
    <x v="3"/>
    <x v="2"/>
    <n v="90006"/>
    <x v="1"/>
    <n v="0.36"/>
    <n v="0.86"/>
    <n v="5667.24"/>
    <n v="0"/>
    <n v="13508.139534883721"/>
    <n v="7500.5"/>
    <n v="2700.18"/>
    <n v="45"/>
    <n v="-5949.76"/>
  </r>
  <r>
    <x v="737"/>
    <d v="2021-04-23T00:00:00"/>
    <s v="B0738"/>
    <x v="8"/>
    <n v="39520"/>
    <n v="23.6"/>
    <x v="1"/>
    <x v="0"/>
    <x v="6"/>
    <x v="2"/>
    <n v="143502"/>
    <x v="0"/>
    <n v="0.23"/>
    <n v="0.77"/>
    <n v="48846.720000000001"/>
    <n v="0"/>
    <n v="51324.675324675321"/>
    <n v="11958.5"/>
    <n v="2750.4549999999999"/>
    <n v="58"/>
    <n v="9326.7200000000012"/>
  </r>
  <r>
    <x v="738"/>
    <d v="2021-05-20T00:00:00"/>
    <s v="B0739"/>
    <x v="3"/>
    <n v="10852"/>
    <n v="5.6"/>
    <x v="0"/>
    <x v="0"/>
    <x v="5"/>
    <x v="2"/>
    <n v="52800"/>
    <x v="0"/>
    <n v="0.12"/>
    <n v="0.79"/>
    <n v="11459.71"/>
    <n v="0"/>
    <n v="13736.708860759492"/>
    <n v="4400"/>
    <n v="528"/>
    <n v="57"/>
    <n v="607.70999999999913"/>
  </r>
  <r>
    <x v="739"/>
    <d v="2022-07-13T00:00:00"/>
    <s v="B0740"/>
    <x v="0"/>
    <n v="32401"/>
    <n v="22.4"/>
    <x v="1"/>
    <x v="2"/>
    <x v="1"/>
    <x v="2"/>
    <n v="146192"/>
    <x v="1"/>
    <n v="0.16"/>
    <n v="0.95"/>
    <n v="0"/>
    <n v="0"/>
    <n v="34106.315789473687"/>
    <n v="12182.666666666666"/>
    <n v="1949.2266666666667"/>
    <n v="44"/>
    <n v="-32401"/>
  </r>
  <r>
    <x v="740"/>
    <d v="2021-01-01T00:00:00"/>
    <s v="B0741"/>
    <x v="7"/>
    <n v="7295"/>
    <n v="15.5"/>
    <x v="0"/>
    <x v="0"/>
    <x v="6"/>
    <x v="3"/>
    <n v="138959"/>
    <x v="2"/>
    <n v="0.1"/>
    <n v="0.53"/>
    <n v="8425.7199999999993"/>
    <n v="0"/>
    <n v="13764.150943396226"/>
    <n v="11579.916666666666"/>
    <n v="1157.9916666666666"/>
    <n v="62"/>
    <n v="1130.7199999999993"/>
  </r>
  <r>
    <x v="741"/>
    <d v="2021-03-31T00:00:00"/>
    <s v="B0742"/>
    <x v="4"/>
    <n v="36993"/>
    <n v="17.7"/>
    <x v="1"/>
    <x v="1"/>
    <x v="4"/>
    <x v="0"/>
    <n v="137228"/>
    <x v="1"/>
    <n v="0.46"/>
    <n v="0.6"/>
    <n v="4398.51"/>
    <n v="0"/>
    <n v="61655"/>
    <n v="11435.666666666666"/>
    <n v="5260.4066666666668"/>
    <n v="59"/>
    <n v="-32594.489999999998"/>
  </r>
  <r>
    <x v="742"/>
    <d v="2022-10-16T00:00:00"/>
    <s v="B0743"/>
    <x v="0"/>
    <n v="35084"/>
    <n v="17.899999999999999"/>
    <x v="1"/>
    <x v="0"/>
    <x v="2"/>
    <x v="1"/>
    <n v="105476"/>
    <x v="1"/>
    <n v="0.11"/>
    <n v="0.68"/>
    <n v="41364.04"/>
    <n v="0"/>
    <n v="51594.117647058818"/>
    <n v="8789.6666666666661"/>
    <n v="966.86333333333323"/>
    <n v="41"/>
    <n v="6280.0400000000009"/>
  </r>
  <r>
    <x v="743"/>
    <d v="2021-11-16T00:00:00"/>
    <s v="B0744"/>
    <x v="3"/>
    <n v="37451"/>
    <n v="21.4"/>
    <x v="0"/>
    <x v="1"/>
    <x v="5"/>
    <x v="2"/>
    <n v="99460"/>
    <x v="1"/>
    <n v="0.18"/>
    <n v="0.66"/>
    <n v="6410.55"/>
    <n v="0"/>
    <n v="56743.939393939392"/>
    <n v="8288.3333333333339"/>
    <n v="1491.9"/>
    <n v="52"/>
    <n v="-31040.45"/>
  </r>
  <r>
    <x v="744"/>
    <d v="2021-05-19T00:00:00"/>
    <s v="B0745"/>
    <x v="4"/>
    <n v="8227"/>
    <n v="11.7"/>
    <x v="0"/>
    <x v="1"/>
    <x v="5"/>
    <x v="0"/>
    <n v="87767"/>
    <x v="1"/>
    <n v="0.27"/>
    <n v="0.51"/>
    <n v="2597.8000000000002"/>
    <n v="0"/>
    <n v="16131.372549019608"/>
    <n v="7313.916666666667"/>
    <n v="1974.7575000000002"/>
    <n v="58"/>
    <n v="-5629.2"/>
  </r>
  <r>
    <x v="745"/>
    <d v="2023-04-25T00:00:00"/>
    <s v="B0746"/>
    <x v="0"/>
    <n v="32910"/>
    <n v="19.7"/>
    <x v="0"/>
    <x v="0"/>
    <x v="3"/>
    <x v="4"/>
    <n v="58054"/>
    <x v="2"/>
    <n v="0.24"/>
    <n v="0.54"/>
    <n v="39393.269999999997"/>
    <n v="0"/>
    <n v="60944.444444444438"/>
    <n v="4837.833333333333"/>
    <n v="1161.08"/>
    <n v="34"/>
    <n v="6483.2699999999968"/>
  </r>
  <r>
    <x v="746"/>
    <d v="2021-09-16T00:00:00"/>
    <s v="B0747"/>
    <x v="9"/>
    <n v="37041"/>
    <n v="15.6"/>
    <x v="0"/>
    <x v="0"/>
    <x v="6"/>
    <x v="3"/>
    <n v="105319"/>
    <x v="2"/>
    <n v="0.46"/>
    <n v="0.81"/>
    <n v="42819.4"/>
    <n v="0"/>
    <n v="45729.629629629628"/>
    <n v="8776.5833333333339"/>
    <n v="4037.2283333333339"/>
    <n v="54"/>
    <n v="5778.4000000000015"/>
  </r>
  <r>
    <x v="747"/>
    <d v="2023-06-21T00:00:00"/>
    <s v="B0748"/>
    <x v="1"/>
    <n v="24384"/>
    <n v="20.9"/>
    <x v="0"/>
    <x v="1"/>
    <x v="4"/>
    <x v="0"/>
    <n v="132789"/>
    <x v="0"/>
    <n v="0.12"/>
    <n v="0.9"/>
    <n v="7914.57"/>
    <n v="0"/>
    <n v="27093.333333333332"/>
    <n v="11065.75"/>
    <n v="1327.8899999999999"/>
    <n v="32"/>
    <n v="-16469.43"/>
  </r>
  <r>
    <x v="748"/>
    <d v="2022-11-21T00:00:00"/>
    <s v="B0749"/>
    <x v="3"/>
    <n v="1145"/>
    <n v="24.8"/>
    <x v="0"/>
    <x v="0"/>
    <x v="0"/>
    <x v="2"/>
    <n v="75397"/>
    <x v="0"/>
    <n v="0.3"/>
    <n v="0.73"/>
    <n v="1428.96"/>
    <n v="0"/>
    <n v="1568.4931506849316"/>
    <n v="6283.083333333333"/>
    <n v="1884.9249999999997"/>
    <n v="39"/>
    <n v="283.96000000000004"/>
  </r>
  <r>
    <x v="749"/>
    <d v="2021-01-10T00:00:00"/>
    <s v="B0750"/>
    <x v="8"/>
    <n v="38778"/>
    <n v="9"/>
    <x v="0"/>
    <x v="0"/>
    <x v="5"/>
    <x v="2"/>
    <n v="43233"/>
    <x v="1"/>
    <n v="0.37"/>
    <n v="0.74"/>
    <n v="42268.02"/>
    <n v="0"/>
    <n v="52402.7027027027"/>
    <n v="3602.75"/>
    <n v="1333.0174999999999"/>
    <n v="62"/>
    <n v="3490.0199999999968"/>
  </r>
  <r>
    <x v="750"/>
    <d v="2021-09-18T00:00:00"/>
    <s v="B0751"/>
    <x v="2"/>
    <n v="17035"/>
    <n v="24.9"/>
    <x v="1"/>
    <x v="1"/>
    <x v="1"/>
    <x v="2"/>
    <n v="141205"/>
    <x v="0"/>
    <n v="0.47"/>
    <n v="0.61"/>
    <n v="2032.08"/>
    <n v="0"/>
    <n v="27926.22950819672"/>
    <n v="11767.083333333334"/>
    <n v="5530.5291666666662"/>
    <n v="54"/>
    <n v="-15002.92"/>
  </r>
  <r>
    <x v="751"/>
    <d v="2021-06-21T00:00:00"/>
    <s v="B0752"/>
    <x v="9"/>
    <n v="4040"/>
    <n v="6.8"/>
    <x v="1"/>
    <x v="0"/>
    <x v="1"/>
    <x v="0"/>
    <n v="120020"/>
    <x v="2"/>
    <n v="0.35"/>
    <n v="0.85"/>
    <n v="4314.72"/>
    <n v="0"/>
    <n v="4752.9411764705883"/>
    <n v="10001.666666666666"/>
    <n v="3500.583333333333"/>
    <n v="56"/>
    <n v="274.72000000000025"/>
  </r>
  <r>
    <x v="752"/>
    <d v="2023-06-17T00:00:00"/>
    <s v="B0753"/>
    <x v="1"/>
    <n v="27160"/>
    <n v="5"/>
    <x v="1"/>
    <x v="3"/>
    <x v="3"/>
    <x v="2"/>
    <n v="55068"/>
    <x v="0"/>
    <n v="0.42"/>
    <n v="0.84"/>
    <n v="9183.2099999999991"/>
    <n v="3538.73"/>
    <n v="32333.333333333336"/>
    <n v="4589"/>
    <n v="1927.3799999999999"/>
    <n v="33"/>
    <n v="-14438.060000000001"/>
  </r>
  <r>
    <x v="753"/>
    <d v="2021-01-13T00:00:00"/>
    <s v="B0754"/>
    <x v="5"/>
    <n v="18633"/>
    <n v="5.9"/>
    <x v="0"/>
    <x v="0"/>
    <x v="6"/>
    <x v="0"/>
    <n v="95727"/>
    <x v="0"/>
    <n v="0.13"/>
    <n v="0.76"/>
    <n v="19732.349999999999"/>
    <n v="0"/>
    <n v="24517.105263157893"/>
    <n v="7977.25"/>
    <n v="1037.0425"/>
    <n v="62"/>
    <n v="1099.3499999999985"/>
  </r>
  <r>
    <x v="754"/>
    <d v="2021-11-17T00:00:00"/>
    <s v="B0755"/>
    <x v="1"/>
    <n v="30344"/>
    <n v="11.8"/>
    <x v="0"/>
    <x v="0"/>
    <x v="4"/>
    <x v="2"/>
    <n v="120610"/>
    <x v="0"/>
    <n v="0.25"/>
    <n v="0.6"/>
    <n v="33924.589999999997"/>
    <n v="0"/>
    <n v="50573.333333333336"/>
    <n v="10050.833333333334"/>
    <n v="2512.7083333333335"/>
    <n v="52"/>
    <n v="3580.5899999999965"/>
  </r>
  <r>
    <x v="755"/>
    <d v="2021-11-25T00:00:00"/>
    <s v="B0756"/>
    <x v="4"/>
    <n v="18014"/>
    <n v="17.7"/>
    <x v="0"/>
    <x v="1"/>
    <x v="0"/>
    <x v="4"/>
    <n v="100453"/>
    <x v="1"/>
    <n v="0.25"/>
    <n v="0.54"/>
    <n v="7265.79"/>
    <n v="0"/>
    <n v="33359.259259259255"/>
    <n v="8371.0833333333339"/>
    <n v="2092.7708333333335"/>
    <n v="51"/>
    <n v="-10748.21"/>
  </r>
  <r>
    <x v="756"/>
    <d v="2023-02-24T00:00:00"/>
    <s v="B0757"/>
    <x v="6"/>
    <n v="15996"/>
    <n v="6.4"/>
    <x v="1"/>
    <x v="0"/>
    <x v="5"/>
    <x v="4"/>
    <n v="134135"/>
    <x v="0"/>
    <n v="0.45"/>
    <n v="0.53"/>
    <n v="17019.740000000002"/>
    <n v="0"/>
    <n v="30181.132075471698"/>
    <n v="11177.916666666666"/>
    <n v="5030.0625"/>
    <n v="36"/>
    <n v="1023.7400000000016"/>
  </r>
  <r>
    <x v="757"/>
    <d v="2023-02-16T00:00:00"/>
    <s v="B0758"/>
    <x v="9"/>
    <n v="12695"/>
    <n v="5.0999999999999996"/>
    <x v="0"/>
    <x v="0"/>
    <x v="1"/>
    <x v="1"/>
    <n v="55832"/>
    <x v="2"/>
    <n v="0.16"/>
    <n v="0.77"/>
    <n v="13342.44"/>
    <n v="0"/>
    <n v="16487.012987012986"/>
    <n v="4652.666666666667"/>
    <n v="744.42666666666673"/>
    <n v="37"/>
    <n v="647.44000000000051"/>
  </r>
  <r>
    <x v="758"/>
    <d v="2023-06-30T00:00:00"/>
    <s v="B0759"/>
    <x v="5"/>
    <n v="3852"/>
    <n v="23.7"/>
    <x v="0"/>
    <x v="0"/>
    <x v="5"/>
    <x v="2"/>
    <n v="138464"/>
    <x v="2"/>
    <n v="0.16"/>
    <n v="0.87"/>
    <n v="4764.92"/>
    <n v="0"/>
    <n v="4427.5862068965516"/>
    <n v="11538.666666666666"/>
    <n v="1846.1866666666665"/>
    <n v="32"/>
    <n v="912.92000000000007"/>
  </r>
  <r>
    <x v="759"/>
    <d v="2021-11-14T00:00:00"/>
    <s v="B0760"/>
    <x v="4"/>
    <n v="17014"/>
    <n v="21.4"/>
    <x v="1"/>
    <x v="0"/>
    <x v="5"/>
    <x v="2"/>
    <n v="116242"/>
    <x v="2"/>
    <n v="0.23"/>
    <n v="0.89"/>
    <n v="20655"/>
    <n v="0"/>
    <n v="19116.853932584268"/>
    <n v="9686.8333333333339"/>
    <n v="2227.9716666666668"/>
    <n v="52"/>
    <n v="3641"/>
  </r>
  <r>
    <x v="760"/>
    <d v="2021-08-24T00:00:00"/>
    <s v="B0761"/>
    <x v="3"/>
    <n v="28042"/>
    <n v="21.2"/>
    <x v="0"/>
    <x v="0"/>
    <x v="5"/>
    <x v="0"/>
    <n v="43682"/>
    <x v="2"/>
    <n v="0.12"/>
    <n v="0.71"/>
    <n v="33986.9"/>
    <n v="0"/>
    <n v="39495.774647887323"/>
    <n v="3640.1666666666665"/>
    <n v="436.82"/>
    <n v="54"/>
    <n v="5944.9000000000015"/>
  </r>
  <r>
    <x v="761"/>
    <d v="2021-11-30T00:00:00"/>
    <s v="B0762"/>
    <x v="8"/>
    <n v="34755"/>
    <n v="22.7"/>
    <x v="1"/>
    <x v="0"/>
    <x v="4"/>
    <x v="0"/>
    <n v="122298"/>
    <x v="0"/>
    <n v="0.17"/>
    <n v="0.85"/>
    <n v="42644.38"/>
    <n v="0"/>
    <n v="40888.23529411765"/>
    <n v="10191.5"/>
    <n v="1732.5550000000001"/>
    <n v="51"/>
    <n v="7889.3799999999974"/>
  </r>
  <r>
    <x v="762"/>
    <d v="2022-01-11T00:00:00"/>
    <s v="B0763"/>
    <x v="1"/>
    <n v="24711"/>
    <n v="19"/>
    <x v="1"/>
    <x v="0"/>
    <x v="4"/>
    <x v="2"/>
    <n v="53383"/>
    <x v="1"/>
    <n v="0.49"/>
    <n v="0.93"/>
    <n v="29406.09"/>
    <n v="0"/>
    <n v="26570.967741935481"/>
    <n v="4448.583333333333"/>
    <n v="2179.8058333333333"/>
    <n v="50"/>
    <n v="4695.09"/>
  </r>
  <r>
    <x v="763"/>
    <d v="2022-08-11T00:00:00"/>
    <s v="B0764"/>
    <x v="3"/>
    <n v="27122"/>
    <n v="7.1"/>
    <x v="0"/>
    <x v="0"/>
    <x v="5"/>
    <x v="1"/>
    <n v="88160"/>
    <x v="2"/>
    <n v="0.27"/>
    <n v="0.62"/>
    <n v="29047.66"/>
    <n v="0"/>
    <n v="43745.161290322583"/>
    <n v="7346.666666666667"/>
    <n v="1983.6000000000001"/>
    <n v="43"/>
    <n v="1925.6599999999999"/>
  </r>
  <r>
    <x v="764"/>
    <d v="2022-05-28T00:00:00"/>
    <s v="B0765"/>
    <x v="5"/>
    <n v="10160"/>
    <n v="13"/>
    <x v="0"/>
    <x v="1"/>
    <x v="0"/>
    <x v="2"/>
    <n v="123332"/>
    <x v="2"/>
    <n v="0.35"/>
    <n v="0.68"/>
    <n v="1593.02"/>
    <n v="0"/>
    <n v="14941.176470588234"/>
    <n v="10277.666666666666"/>
    <n v="3597.1833333333329"/>
    <n v="45"/>
    <n v="-8566.98"/>
  </r>
  <r>
    <x v="765"/>
    <d v="2023-07-07T00:00:00"/>
    <s v="B0766"/>
    <x v="4"/>
    <n v="28213"/>
    <n v="19.5"/>
    <x v="0"/>
    <x v="1"/>
    <x v="4"/>
    <x v="0"/>
    <n v="53666"/>
    <x v="1"/>
    <n v="0.39"/>
    <n v="0.92"/>
    <n v="5075.51"/>
    <n v="0"/>
    <n v="30666.304347826084"/>
    <n v="4472.166666666667"/>
    <n v="1744.1450000000002"/>
    <n v="32"/>
    <n v="-23137.489999999998"/>
  </r>
  <r>
    <x v="766"/>
    <d v="2023-05-23T00:00:00"/>
    <s v="B0767"/>
    <x v="6"/>
    <n v="8421"/>
    <n v="10.6"/>
    <x v="1"/>
    <x v="0"/>
    <x v="4"/>
    <x v="2"/>
    <n v="88817"/>
    <x v="1"/>
    <n v="0.25"/>
    <n v="0.65"/>
    <n v="9313.6299999999992"/>
    <n v="0"/>
    <n v="12955.384615384615"/>
    <n v="7401.416666666667"/>
    <n v="1850.3541666666667"/>
    <n v="33"/>
    <n v="892.6299999999992"/>
  </r>
  <r>
    <x v="767"/>
    <d v="2021-09-27T00:00:00"/>
    <s v="B0768"/>
    <x v="1"/>
    <n v="22400"/>
    <n v="18.7"/>
    <x v="1"/>
    <x v="1"/>
    <x v="5"/>
    <x v="0"/>
    <n v="121198"/>
    <x v="2"/>
    <n v="0.16"/>
    <n v="0.91"/>
    <n v="10574.92"/>
    <n v="0"/>
    <n v="24615.384615384613"/>
    <n v="10099.833333333334"/>
    <n v="1615.9733333333334"/>
    <n v="53"/>
    <n v="-11825.08"/>
  </r>
  <r>
    <x v="768"/>
    <d v="2023-03-09T00:00:00"/>
    <s v="B0769"/>
    <x v="8"/>
    <n v="34537"/>
    <n v="5.5"/>
    <x v="1"/>
    <x v="1"/>
    <x v="0"/>
    <x v="2"/>
    <n v="140695"/>
    <x v="2"/>
    <n v="0.18"/>
    <n v="0.94"/>
    <n v="14559.15"/>
    <n v="0"/>
    <n v="36741.48936170213"/>
    <n v="11724.583333333334"/>
    <n v="2110.4250000000002"/>
    <n v="36"/>
    <n v="-19977.849999999999"/>
  </r>
  <r>
    <x v="769"/>
    <d v="2022-12-26T00:00:00"/>
    <s v="B0770"/>
    <x v="6"/>
    <n v="18727"/>
    <n v="11.1"/>
    <x v="0"/>
    <x v="1"/>
    <x v="6"/>
    <x v="3"/>
    <n v="64642"/>
    <x v="1"/>
    <n v="0.23"/>
    <n v="0.8"/>
    <n v="6816.79"/>
    <n v="0"/>
    <n v="23408.75"/>
    <n v="5386.833333333333"/>
    <n v="1238.9716666666666"/>
    <n v="38"/>
    <n v="-11910.21"/>
  </r>
  <r>
    <x v="770"/>
    <d v="2021-01-05T00:00:00"/>
    <s v="B0771"/>
    <x v="0"/>
    <n v="5358"/>
    <n v="16"/>
    <x v="0"/>
    <x v="1"/>
    <x v="5"/>
    <x v="0"/>
    <n v="71830"/>
    <x v="2"/>
    <n v="0.35"/>
    <n v="0.87"/>
    <n v="466.17"/>
    <n v="0"/>
    <n v="6158.6206896551721"/>
    <n v="5985.833333333333"/>
    <n v="2095.0416666666665"/>
    <n v="62"/>
    <n v="-4891.83"/>
  </r>
  <r>
    <x v="771"/>
    <d v="2023-05-01T00:00:00"/>
    <s v="B0772"/>
    <x v="4"/>
    <n v="29482"/>
    <n v="17.600000000000001"/>
    <x v="0"/>
    <x v="0"/>
    <x v="1"/>
    <x v="1"/>
    <n v="133067"/>
    <x v="2"/>
    <n v="0.26"/>
    <n v="0.84"/>
    <n v="34670.83"/>
    <n v="0"/>
    <n v="35097.619047619046"/>
    <n v="11088.916666666666"/>
    <n v="2883.1183333333333"/>
    <n v="34"/>
    <n v="5188.8300000000017"/>
  </r>
  <r>
    <x v="772"/>
    <d v="2021-03-19T00:00:00"/>
    <s v="B0773"/>
    <x v="3"/>
    <n v="33117"/>
    <n v="16.5"/>
    <x v="0"/>
    <x v="3"/>
    <x v="1"/>
    <x v="3"/>
    <n v="40234"/>
    <x v="0"/>
    <n v="0.1"/>
    <n v="0.81"/>
    <n v="7467.2"/>
    <n v="5237.4799999999996"/>
    <n v="40885.185185185182"/>
    <n v="3352.8333333333335"/>
    <n v="335.28333333333336"/>
    <n v="60"/>
    <n v="-20412.32"/>
  </r>
  <r>
    <x v="773"/>
    <d v="2022-07-28T00:00:00"/>
    <s v="B0774"/>
    <x v="1"/>
    <n v="24164"/>
    <n v="19"/>
    <x v="1"/>
    <x v="0"/>
    <x v="4"/>
    <x v="2"/>
    <n v="87616"/>
    <x v="1"/>
    <n v="0.31"/>
    <n v="0.64"/>
    <n v="28755.16"/>
    <n v="0"/>
    <n v="37756.25"/>
    <n v="7301.333333333333"/>
    <n v="2263.4133333333334"/>
    <n v="43"/>
    <n v="4591.16"/>
  </r>
  <r>
    <x v="774"/>
    <d v="2021-05-12T00:00:00"/>
    <s v="B0775"/>
    <x v="1"/>
    <n v="32910"/>
    <n v="5.0999999999999996"/>
    <x v="1"/>
    <x v="0"/>
    <x v="5"/>
    <x v="0"/>
    <n v="39221"/>
    <x v="0"/>
    <n v="0.47"/>
    <n v="0.53"/>
    <n v="34588.410000000003"/>
    <n v="0"/>
    <n v="62094.339622641506"/>
    <n v="3268.4166666666665"/>
    <n v="1536.1558333333332"/>
    <n v="58"/>
    <n v="1678.4100000000035"/>
  </r>
  <r>
    <x v="775"/>
    <d v="2022-08-24T00:00:00"/>
    <s v="B0776"/>
    <x v="5"/>
    <n v="33496"/>
    <n v="7"/>
    <x v="1"/>
    <x v="1"/>
    <x v="2"/>
    <x v="3"/>
    <n v="41410"/>
    <x v="0"/>
    <n v="0.42"/>
    <n v="0.65"/>
    <n v="10105.27"/>
    <n v="0"/>
    <n v="51532.307692307688"/>
    <n v="3450.8333333333335"/>
    <n v="1449.35"/>
    <n v="42"/>
    <n v="-23390.73"/>
  </r>
  <r>
    <x v="776"/>
    <d v="2023-12-02T00:00:00"/>
    <s v="B0777"/>
    <x v="8"/>
    <n v="30371"/>
    <n v="22.4"/>
    <x v="1"/>
    <x v="0"/>
    <x v="1"/>
    <x v="1"/>
    <n v="110055"/>
    <x v="1"/>
    <n v="0.43"/>
    <n v="0.8"/>
    <n v="37174.1"/>
    <n v="0"/>
    <n v="37963.75"/>
    <n v="9171.25"/>
    <n v="3943.6374999999998"/>
    <n v="27"/>
    <n v="6803.0999999999985"/>
  </r>
  <r>
    <x v="777"/>
    <d v="2021-03-30T00:00:00"/>
    <s v="B0778"/>
    <x v="2"/>
    <n v="39467"/>
    <n v="18.600000000000001"/>
    <x v="0"/>
    <x v="0"/>
    <x v="3"/>
    <x v="0"/>
    <n v="91413"/>
    <x v="0"/>
    <n v="0.42"/>
    <n v="0.55000000000000004"/>
    <n v="46807.86"/>
    <n v="0"/>
    <n v="71758.181818181809"/>
    <n v="7617.75"/>
    <n v="3199.4549999999999"/>
    <n v="59"/>
    <n v="7340.8600000000006"/>
  </r>
  <r>
    <x v="778"/>
    <d v="2022-02-06T00:00:00"/>
    <s v="B0779"/>
    <x v="0"/>
    <n v="18625"/>
    <n v="7.3"/>
    <x v="0"/>
    <x v="1"/>
    <x v="1"/>
    <x v="3"/>
    <n v="31051"/>
    <x v="2"/>
    <n v="0.23"/>
    <n v="0.51"/>
    <n v="2501.9899999999998"/>
    <n v="0"/>
    <n v="36519.607843137252"/>
    <n v="2587.5833333333335"/>
    <n v="595.14416666666671"/>
    <n v="49"/>
    <n v="-16123.01"/>
  </r>
  <r>
    <x v="779"/>
    <d v="2021-10-23T00:00:00"/>
    <s v="B0780"/>
    <x v="6"/>
    <n v="34893"/>
    <n v="21.8"/>
    <x v="0"/>
    <x v="1"/>
    <x v="0"/>
    <x v="3"/>
    <n v="140529"/>
    <x v="0"/>
    <n v="0.41"/>
    <n v="0.56000000000000005"/>
    <n v="8782.64"/>
    <n v="0"/>
    <n v="62308.928571428565"/>
    <n v="11710.75"/>
    <n v="4801.4074999999993"/>
    <n v="52"/>
    <n v="-26110.36"/>
  </r>
  <r>
    <x v="780"/>
    <d v="2022-09-08T00:00:00"/>
    <s v="B0781"/>
    <x v="9"/>
    <n v="11793"/>
    <n v="9.8000000000000007"/>
    <x v="1"/>
    <x v="1"/>
    <x v="0"/>
    <x v="3"/>
    <n v="105301"/>
    <x v="1"/>
    <n v="0.16"/>
    <n v="0.82"/>
    <n v="3779.2"/>
    <n v="0"/>
    <n v="14381.707317073171"/>
    <n v="8775.0833333333339"/>
    <n v="1404.0133333333335"/>
    <n v="42"/>
    <n v="-8013.8"/>
  </r>
  <r>
    <x v="781"/>
    <d v="2023-03-11T00:00:00"/>
    <s v="B0782"/>
    <x v="9"/>
    <n v="32007"/>
    <n v="14.6"/>
    <x v="1"/>
    <x v="1"/>
    <x v="5"/>
    <x v="4"/>
    <n v="106918"/>
    <x v="2"/>
    <n v="0.36"/>
    <n v="0.94"/>
    <n v="6315.61"/>
    <n v="0"/>
    <n v="34050"/>
    <n v="8909.8333333333339"/>
    <n v="3207.54"/>
    <n v="36"/>
    <n v="-25691.39"/>
  </r>
  <r>
    <x v="782"/>
    <d v="2022-02-26T00:00:00"/>
    <s v="B0783"/>
    <x v="1"/>
    <n v="26766"/>
    <n v="7.9"/>
    <x v="0"/>
    <x v="0"/>
    <x v="4"/>
    <x v="2"/>
    <n v="108116"/>
    <x v="2"/>
    <n v="0.36"/>
    <n v="0.94"/>
    <n v="28880.51"/>
    <n v="0"/>
    <n v="28474.468085106386"/>
    <n v="9009.6666666666661"/>
    <n v="3243.4799999999996"/>
    <n v="48"/>
    <n v="2114.5099999999984"/>
  </r>
  <r>
    <x v="783"/>
    <d v="2023-11-13T00:00:00"/>
    <s v="B0784"/>
    <x v="5"/>
    <n v="13323"/>
    <n v="19.2"/>
    <x v="0"/>
    <x v="0"/>
    <x v="4"/>
    <x v="0"/>
    <n v="86563"/>
    <x v="2"/>
    <n v="0.11"/>
    <n v="0.72"/>
    <n v="15881.02"/>
    <n v="0"/>
    <n v="18504.166666666668"/>
    <n v="7213.583333333333"/>
    <n v="793.49416666666662"/>
    <n v="28"/>
    <n v="2558.0200000000004"/>
  </r>
  <r>
    <x v="784"/>
    <d v="2022-07-29T00:00:00"/>
    <s v="B0785"/>
    <x v="7"/>
    <n v="8843"/>
    <n v="18.3"/>
    <x v="1"/>
    <x v="1"/>
    <x v="6"/>
    <x v="0"/>
    <n v="127859"/>
    <x v="2"/>
    <n v="0.42"/>
    <n v="0.89"/>
    <n v="3549.8"/>
    <n v="0"/>
    <n v="9935.9550561797751"/>
    <n v="10654.916666666666"/>
    <n v="4475.0649999999996"/>
    <n v="43"/>
    <n v="-5293.2"/>
  </r>
  <r>
    <x v="785"/>
    <d v="2021-05-23T00:00:00"/>
    <s v="B0786"/>
    <x v="1"/>
    <n v="15210"/>
    <n v="9.1999999999999993"/>
    <x v="0"/>
    <x v="0"/>
    <x v="4"/>
    <x v="0"/>
    <n v="74757"/>
    <x v="0"/>
    <n v="0.46"/>
    <n v="0.83"/>
    <n v="16609.32"/>
    <n v="0"/>
    <n v="18325.30120481928"/>
    <n v="6229.75"/>
    <n v="2865.6849999999999"/>
    <n v="57"/>
    <n v="1399.3199999999997"/>
  </r>
  <r>
    <x v="786"/>
    <d v="2023-09-20T00:00:00"/>
    <s v="B0787"/>
    <x v="9"/>
    <n v="17456"/>
    <n v="22.3"/>
    <x v="1"/>
    <x v="1"/>
    <x v="4"/>
    <x v="3"/>
    <n v="107475"/>
    <x v="0"/>
    <n v="0.21"/>
    <n v="0.73"/>
    <n v="7474.7"/>
    <n v="0"/>
    <n v="23912.328767123287"/>
    <n v="8956.25"/>
    <n v="1880.8125"/>
    <n v="29"/>
    <n v="-9981.2999999999993"/>
  </r>
  <r>
    <x v="787"/>
    <d v="2022-10-27T00:00:00"/>
    <s v="B0788"/>
    <x v="9"/>
    <n v="32367"/>
    <n v="13"/>
    <x v="1"/>
    <x v="0"/>
    <x v="6"/>
    <x v="2"/>
    <n v="81257"/>
    <x v="2"/>
    <n v="0.42"/>
    <n v="0.76"/>
    <n v="36574.71"/>
    <n v="0"/>
    <n v="42588.15789473684"/>
    <n v="6771.416666666667"/>
    <n v="2843.9949999999999"/>
    <n v="40"/>
    <n v="4207.7099999999991"/>
  </r>
  <r>
    <x v="788"/>
    <d v="2021-05-25T00:00:00"/>
    <s v="B0789"/>
    <x v="0"/>
    <n v="11106"/>
    <n v="10.9"/>
    <x v="1"/>
    <x v="0"/>
    <x v="6"/>
    <x v="1"/>
    <n v="125500"/>
    <x v="1"/>
    <n v="0.13"/>
    <n v="0.56000000000000005"/>
    <n v="12316.55"/>
    <n v="0"/>
    <n v="19832.142857142855"/>
    <n v="10458.333333333334"/>
    <n v="1359.5833333333335"/>
    <n v="57"/>
    <n v="1210.5499999999993"/>
  </r>
  <r>
    <x v="789"/>
    <d v="2023-10-04T00:00:00"/>
    <s v="B0790"/>
    <x v="3"/>
    <n v="38957"/>
    <n v="8"/>
    <x v="0"/>
    <x v="0"/>
    <x v="4"/>
    <x v="0"/>
    <n v="30307"/>
    <x v="2"/>
    <n v="0.34"/>
    <n v="0.92"/>
    <n v="42073.56"/>
    <n v="0"/>
    <n v="42344.565217391304"/>
    <n v="2525.5833333333335"/>
    <n v="858.69833333333349"/>
    <n v="29"/>
    <n v="3116.5599999999977"/>
  </r>
  <r>
    <x v="790"/>
    <d v="2022-05-18T00:00:00"/>
    <s v="B0791"/>
    <x v="7"/>
    <n v="3472"/>
    <n v="10.3"/>
    <x v="0"/>
    <x v="1"/>
    <x v="6"/>
    <x v="2"/>
    <n v="86889"/>
    <x v="0"/>
    <n v="0.28999999999999998"/>
    <n v="0.66"/>
    <n v="679.21"/>
    <n v="0"/>
    <n v="5260.6060606060601"/>
    <n v="7240.75"/>
    <n v="2099.8174999999997"/>
    <n v="46"/>
    <n v="-2792.79"/>
  </r>
  <r>
    <x v="791"/>
    <d v="2023-04-01T00:00:00"/>
    <s v="B0792"/>
    <x v="1"/>
    <n v="7704"/>
    <n v="5.4"/>
    <x v="1"/>
    <x v="0"/>
    <x v="6"/>
    <x v="2"/>
    <n v="98895"/>
    <x v="2"/>
    <n v="0.32"/>
    <n v="0.7"/>
    <n v="8120.02"/>
    <n v="0"/>
    <n v="11005.714285714286"/>
    <n v="8241.25"/>
    <n v="2637.2000000000003"/>
    <n v="35"/>
    <n v="416.02000000000044"/>
  </r>
  <r>
    <x v="792"/>
    <d v="2021-04-14T00:00:00"/>
    <s v="B0793"/>
    <x v="0"/>
    <n v="4713"/>
    <n v="16.7"/>
    <x v="0"/>
    <x v="0"/>
    <x v="4"/>
    <x v="4"/>
    <n v="125184"/>
    <x v="0"/>
    <n v="0.47"/>
    <n v="0.8"/>
    <n v="5500.07"/>
    <n v="0"/>
    <n v="5891.25"/>
    <n v="10432"/>
    <n v="4903.04"/>
    <n v="59"/>
    <n v="787.06999999999971"/>
  </r>
  <r>
    <x v="793"/>
    <d v="2023-11-29T00:00:00"/>
    <s v="B0794"/>
    <x v="5"/>
    <n v="6051"/>
    <n v="21.8"/>
    <x v="1"/>
    <x v="0"/>
    <x v="0"/>
    <x v="0"/>
    <n v="65944"/>
    <x v="2"/>
    <n v="0.45"/>
    <n v="0.65"/>
    <n v="7370.12"/>
    <n v="0"/>
    <n v="9309.2307692307695"/>
    <n v="5495.333333333333"/>
    <n v="2472.9"/>
    <n v="27"/>
    <n v="1319.12"/>
  </r>
  <r>
    <x v="794"/>
    <d v="2021-07-17T00:00:00"/>
    <s v="B0795"/>
    <x v="0"/>
    <n v="11756"/>
    <n v="16"/>
    <x v="1"/>
    <x v="0"/>
    <x v="0"/>
    <x v="3"/>
    <n v="129555"/>
    <x v="1"/>
    <n v="0.41"/>
    <n v="0.61"/>
    <n v="13636.96"/>
    <n v="0"/>
    <n v="19272.131147540986"/>
    <n v="10796.25"/>
    <n v="4426.4624999999996"/>
    <n v="56"/>
    <n v="1880.9599999999991"/>
  </r>
  <r>
    <x v="795"/>
    <d v="2022-08-02T00:00:00"/>
    <s v="B0796"/>
    <x v="1"/>
    <n v="3475"/>
    <n v="9.4"/>
    <x v="1"/>
    <x v="0"/>
    <x v="5"/>
    <x v="2"/>
    <n v="68134"/>
    <x v="2"/>
    <n v="0.21"/>
    <n v="0.78"/>
    <n v="3801.65"/>
    <n v="0"/>
    <n v="4455.1282051282051"/>
    <n v="5677.833333333333"/>
    <n v="1192.3449999999998"/>
    <n v="43"/>
    <n v="326.65000000000009"/>
  </r>
  <r>
    <x v="796"/>
    <d v="2022-01-26T00:00:00"/>
    <s v="B0797"/>
    <x v="4"/>
    <n v="37378"/>
    <n v="5.7"/>
    <x v="1"/>
    <x v="0"/>
    <x v="4"/>
    <x v="2"/>
    <n v="57323"/>
    <x v="1"/>
    <n v="0.46"/>
    <n v="0.51"/>
    <n v="39508.550000000003"/>
    <n v="0"/>
    <n v="73290.196078431371"/>
    <n v="4776.916666666667"/>
    <n v="2197.3816666666671"/>
    <n v="49"/>
    <n v="2130.5500000000029"/>
  </r>
  <r>
    <x v="797"/>
    <d v="2022-07-08T00:00:00"/>
    <s v="B0798"/>
    <x v="2"/>
    <n v="5255"/>
    <n v="9.3000000000000007"/>
    <x v="0"/>
    <x v="0"/>
    <x v="3"/>
    <x v="1"/>
    <n v="146205"/>
    <x v="1"/>
    <n v="0.14000000000000001"/>
    <n v="0.82"/>
    <n v="5743.72"/>
    <n v="0"/>
    <n v="6408.5365853658541"/>
    <n v="12183.75"/>
    <n v="1705.7250000000001"/>
    <n v="44"/>
    <n v="488.72000000000025"/>
  </r>
  <r>
    <x v="798"/>
    <d v="2023-11-05T00:00:00"/>
    <s v="B0799"/>
    <x v="1"/>
    <n v="15484"/>
    <n v="13.3"/>
    <x v="1"/>
    <x v="0"/>
    <x v="1"/>
    <x v="4"/>
    <n v="101762"/>
    <x v="2"/>
    <n v="0.44"/>
    <n v="0.73"/>
    <n v="17543.37"/>
    <n v="0"/>
    <n v="21210.95890410959"/>
    <n v="8480.1666666666661"/>
    <n v="3731.2733333333331"/>
    <n v="28"/>
    <n v="2059.369999999999"/>
  </r>
  <r>
    <x v="799"/>
    <d v="2022-04-23T00:00:00"/>
    <s v="B0800"/>
    <x v="8"/>
    <n v="35503"/>
    <n v="20.2"/>
    <x v="1"/>
    <x v="0"/>
    <x v="1"/>
    <x v="2"/>
    <n v="117225"/>
    <x v="1"/>
    <n v="0.23"/>
    <n v="0.77"/>
    <n v="42674.61"/>
    <n v="0"/>
    <n v="46107.792207792205"/>
    <n v="9768.75"/>
    <n v="2246.8125"/>
    <n v="46"/>
    <n v="7171.6100000000006"/>
  </r>
  <r>
    <x v="800"/>
    <d v="2023-07-12T00:00:00"/>
    <s v="B0801"/>
    <x v="9"/>
    <n v="9258"/>
    <n v="8.8000000000000007"/>
    <x v="0"/>
    <x v="1"/>
    <x v="2"/>
    <x v="2"/>
    <n v="126507"/>
    <x v="1"/>
    <n v="0.12"/>
    <n v="0.78"/>
    <n v="3956.83"/>
    <n v="0"/>
    <n v="11869.23076923077"/>
    <n v="10542.25"/>
    <n v="1265.07"/>
    <n v="32"/>
    <n v="-5301.17"/>
  </r>
  <r>
    <x v="801"/>
    <d v="2022-02-24T00:00:00"/>
    <s v="B0802"/>
    <x v="7"/>
    <n v="36196"/>
    <n v="19.399999999999999"/>
    <x v="1"/>
    <x v="3"/>
    <x v="2"/>
    <x v="3"/>
    <n v="55954"/>
    <x v="0"/>
    <n v="0.37"/>
    <n v="0.74"/>
    <n v="4744.32"/>
    <n v="13544.73"/>
    <n v="48913.513513513513"/>
    <n v="4662.833333333333"/>
    <n v="1725.2483333333332"/>
    <n v="48"/>
    <n v="-17906.95"/>
  </r>
  <r>
    <x v="802"/>
    <d v="2021-06-06T00:00:00"/>
    <s v="B0803"/>
    <x v="7"/>
    <n v="9533"/>
    <n v="22.3"/>
    <x v="1"/>
    <x v="0"/>
    <x v="4"/>
    <x v="3"/>
    <n v="85021"/>
    <x v="0"/>
    <n v="0.19"/>
    <n v="0.76"/>
    <n v="11658.86"/>
    <n v="0"/>
    <n v="12543.421052631578"/>
    <n v="7085.083333333333"/>
    <n v="1346.1658333333332"/>
    <n v="57"/>
    <n v="2125.8600000000006"/>
  </r>
  <r>
    <x v="803"/>
    <d v="2022-07-04T00:00:00"/>
    <s v="B0804"/>
    <x v="3"/>
    <n v="33581"/>
    <n v="14.1"/>
    <x v="0"/>
    <x v="0"/>
    <x v="0"/>
    <x v="1"/>
    <n v="119959"/>
    <x v="1"/>
    <n v="0.2"/>
    <n v="0.81"/>
    <n v="38315.919999999998"/>
    <n v="0"/>
    <n v="41458.024691358019"/>
    <n v="9996.5833333333339"/>
    <n v="1999.3166666666668"/>
    <n v="44"/>
    <n v="4734.9199999999983"/>
  </r>
  <r>
    <x v="804"/>
    <d v="2023-10-18T00:00:00"/>
    <s v="B0805"/>
    <x v="2"/>
    <n v="6249"/>
    <n v="21.4"/>
    <x v="0"/>
    <x v="0"/>
    <x v="1"/>
    <x v="1"/>
    <n v="125927"/>
    <x v="2"/>
    <n v="0.22"/>
    <n v="0.84"/>
    <n v="7586.29"/>
    <n v="0"/>
    <n v="7439.2857142857147"/>
    <n v="10493.916666666666"/>
    <n v="2308.6616666666664"/>
    <n v="29"/>
    <n v="1337.29"/>
  </r>
  <r>
    <x v="805"/>
    <d v="2023-09-24T00:00:00"/>
    <s v="B0806"/>
    <x v="8"/>
    <n v="20201"/>
    <n v="16.100000000000001"/>
    <x v="0"/>
    <x v="1"/>
    <x v="4"/>
    <x v="1"/>
    <n v="109866"/>
    <x v="1"/>
    <n v="0.13"/>
    <n v="0.83"/>
    <n v="8625.3799999999992"/>
    <n v="0"/>
    <n v="24338.554216867473"/>
    <n v="9155.5"/>
    <n v="1190.2150000000001"/>
    <n v="29"/>
    <n v="-11575.62"/>
  </r>
  <r>
    <x v="806"/>
    <d v="2023-08-09T00:00:00"/>
    <s v="B0807"/>
    <x v="9"/>
    <n v="10686"/>
    <n v="17.7"/>
    <x v="1"/>
    <x v="0"/>
    <x v="5"/>
    <x v="3"/>
    <n v="100427"/>
    <x v="2"/>
    <n v="0.17"/>
    <n v="0.89"/>
    <n v="12577.42"/>
    <n v="0"/>
    <n v="12006.741573033707"/>
    <n v="8368.9166666666661"/>
    <n v="1422.7158333333334"/>
    <n v="31"/>
    <n v="1891.42"/>
  </r>
  <r>
    <x v="807"/>
    <d v="2021-10-16T00:00:00"/>
    <s v="B0808"/>
    <x v="7"/>
    <n v="33007"/>
    <n v="15.5"/>
    <x v="0"/>
    <x v="0"/>
    <x v="1"/>
    <x v="3"/>
    <n v="34992"/>
    <x v="0"/>
    <n v="0.1"/>
    <n v="0.59"/>
    <n v="38123.08"/>
    <n v="0"/>
    <n v="55944.067796610172"/>
    <n v="2916"/>
    <n v="291.60000000000002"/>
    <n v="53"/>
    <n v="5116.0800000000017"/>
  </r>
  <r>
    <x v="808"/>
    <d v="2021-07-15T00:00:00"/>
    <s v="B0809"/>
    <x v="8"/>
    <n v="1661"/>
    <n v="14.3"/>
    <x v="0"/>
    <x v="1"/>
    <x v="2"/>
    <x v="4"/>
    <n v="31961"/>
    <x v="2"/>
    <n v="0.28000000000000003"/>
    <n v="0.68"/>
    <n v="197.22"/>
    <n v="0"/>
    <n v="2442.6470588235293"/>
    <n v="2663.4166666666665"/>
    <n v="745.75666666666666"/>
    <n v="56"/>
    <n v="-1463.78"/>
  </r>
  <r>
    <x v="809"/>
    <d v="2022-08-21T00:00:00"/>
    <s v="B0810"/>
    <x v="0"/>
    <n v="31137"/>
    <n v="9.6999999999999993"/>
    <x v="1"/>
    <x v="0"/>
    <x v="4"/>
    <x v="0"/>
    <n v="42497"/>
    <x v="1"/>
    <n v="0.13"/>
    <n v="0.93"/>
    <n v="34157.29"/>
    <n v="0"/>
    <n v="33480.645161290318"/>
    <n v="3541.4166666666665"/>
    <n v="460.38416666666666"/>
    <n v="42"/>
    <n v="3020.2900000000009"/>
  </r>
  <r>
    <x v="810"/>
    <d v="2022-06-01T00:00:00"/>
    <s v="B0811"/>
    <x v="3"/>
    <n v="11526"/>
    <n v="11.1"/>
    <x v="1"/>
    <x v="1"/>
    <x v="6"/>
    <x v="0"/>
    <n v="147551"/>
    <x v="1"/>
    <n v="0.37"/>
    <n v="0.68"/>
    <n v="1006.42"/>
    <n v="0"/>
    <n v="16950"/>
    <n v="12295.916666666666"/>
    <n v="4549.4891666666663"/>
    <n v="45"/>
    <n v="-10519.58"/>
  </r>
  <r>
    <x v="811"/>
    <d v="2023-05-15T00:00:00"/>
    <s v="B0812"/>
    <x v="1"/>
    <n v="4374"/>
    <n v="10.8"/>
    <x v="1"/>
    <x v="0"/>
    <x v="4"/>
    <x v="4"/>
    <n v="62551"/>
    <x v="1"/>
    <n v="0.19"/>
    <n v="0.56000000000000005"/>
    <n v="4846.3900000000003"/>
    <n v="0"/>
    <n v="7810.7142857142853"/>
    <n v="5212.583333333333"/>
    <n v="990.39083333333326"/>
    <n v="34"/>
    <n v="472.39000000000033"/>
  </r>
  <r>
    <x v="812"/>
    <d v="2023-03-17T00:00:00"/>
    <s v="B0813"/>
    <x v="1"/>
    <n v="26592"/>
    <n v="16.3"/>
    <x v="1"/>
    <x v="1"/>
    <x v="1"/>
    <x v="0"/>
    <n v="106384"/>
    <x v="1"/>
    <n v="0.48"/>
    <n v="0.74"/>
    <n v="9009.34"/>
    <n v="0"/>
    <n v="35935.135135135133"/>
    <n v="8865.3333333333339"/>
    <n v="4255.3600000000006"/>
    <n v="36"/>
    <n v="-17582.66"/>
  </r>
  <r>
    <x v="813"/>
    <d v="2023-03-26T00:00:00"/>
    <s v="B0814"/>
    <x v="4"/>
    <n v="29982"/>
    <n v="7.4"/>
    <x v="1"/>
    <x v="0"/>
    <x v="0"/>
    <x v="3"/>
    <n v="85755"/>
    <x v="1"/>
    <n v="0.45"/>
    <n v="0.55000000000000004"/>
    <n v="32200.67"/>
    <n v="0"/>
    <n v="54512.727272727265"/>
    <n v="7146.25"/>
    <n v="3215.8125"/>
    <n v="35"/>
    <n v="2218.6699999999983"/>
  </r>
  <r>
    <x v="814"/>
    <d v="2021-08-16T00:00:00"/>
    <s v="B0815"/>
    <x v="9"/>
    <n v="1207"/>
    <n v="23.3"/>
    <x v="0"/>
    <x v="3"/>
    <x v="6"/>
    <x v="0"/>
    <n v="43255"/>
    <x v="2"/>
    <n v="0.22"/>
    <n v="0.59"/>
    <n v="291.58999999999997"/>
    <n v="508.63"/>
    <n v="2045.7627118644068"/>
    <n v="3604.5833333333335"/>
    <n v="793.00833333333333"/>
    <n v="55"/>
    <n v="-406.78"/>
  </r>
  <r>
    <x v="815"/>
    <d v="2021-08-04T00:00:00"/>
    <s v="B0816"/>
    <x v="8"/>
    <n v="36433"/>
    <n v="19.399999999999999"/>
    <x v="0"/>
    <x v="1"/>
    <x v="0"/>
    <x v="3"/>
    <n v="34567"/>
    <x v="1"/>
    <n v="0.41"/>
    <n v="0.95"/>
    <n v="16706.38"/>
    <n v="0"/>
    <n v="38350.526315789473"/>
    <n v="2880.5833333333335"/>
    <n v="1181.0391666666667"/>
    <n v="55"/>
    <n v="-19726.62"/>
  </r>
  <r>
    <x v="816"/>
    <d v="2023-08-06T00:00:00"/>
    <s v="B0817"/>
    <x v="6"/>
    <n v="24197"/>
    <n v="13"/>
    <x v="0"/>
    <x v="0"/>
    <x v="1"/>
    <x v="4"/>
    <n v="78847"/>
    <x v="0"/>
    <n v="0.42"/>
    <n v="0.74"/>
    <n v="27342.61"/>
    <n v="0"/>
    <n v="32698.64864864865"/>
    <n v="6570.583333333333"/>
    <n v="2759.645"/>
    <n v="31"/>
    <n v="3145.6100000000006"/>
  </r>
  <r>
    <x v="817"/>
    <d v="2021-01-15T00:00:00"/>
    <s v="B0818"/>
    <x v="7"/>
    <n v="34400"/>
    <n v="8.1999999999999993"/>
    <x v="1"/>
    <x v="0"/>
    <x v="0"/>
    <x v="1"/>
    <n v="134817"/>
    <x v="1"/>
    <n v="0.49"/>
    <n v="0.63"/>
    <n v="37220.800000000003"/>
    <n v="0"/>
    <n v="54603.174603174601"/>
    <n v="11234.75"/>
    <n v="5505.0275000000001"/>
    <n v="62"/>
    <n v="2820.8000000000029"/>
  </r>
  <r>
    <x v="818"/>
    <d v="2021-02-16T00:00:00"/>
    <s v="B0819"/>
    <x v="5"/>
    <n v="4083"/>
    <n v="22.6"/>
    <x v="1"/>
    <x v="0"/>
    <x v="4"/>
    <x v="4"/>
    <n v="78003"/>
    <x v="2"/>
    <n v="0.34"/>
    <n v="0.95"/>
    <n v="5005.76"/>
    <n v="0"/>
    <n v="4297.8947368421059"/>
    <n v="6500.25"/>
    <n v="2210.085"/>
    <n v="61"/>
    <n v="922.76000000000022"/>
  </r>
  <r>
    <x v="819"/>
    <d v="2021-11-20T00:00:00"/>
    <s v="B0820"/>
    <x v="5"/>
    <n v="30328"/>
    <n v="21.5"/>
    <x v="1"/>
    <x v="1"/>
    <x v="5"/>
    <x v="0"/>
    <n v="50389"/>
    <x v="1"/>
    <n v="0.13"/>
    <n v="0.93"/>
    <n v="6473.06"/>
    <n v="0"/>
    <n v="32610.752688172041"/>
    <n v="4199.083333333333"/>
    <n v="545.88083333333327"/>
    <n v="51"/>
    <n v="-23854.94"/>
  </r>
  <r>
    <x v="820"/>
    <d v="2023-04-24T00:00:00"/>
    <s v="B0821"/>
    <x v="1"/>
    <n v="21103"/>
    <n v="19.399999999999999"/>
    <x v="0"/>
    <x v="1"/>
    <x v="4"/>
    <x v="3"/>
    <n v="74523"/>
    <x v="1"/>
    <n v="0.36"/>
    <n v="0.7"/>
    <n v="3782.05"/>
    <n v="0"/>
    <n v="30147.142857142859"/>
    <n v="6210.25"/>
    <n v="2235.69"/>
    <n v="34"/>
    <n v="-17320.95"/>
  </r>
  <r>
    <x v="821"/>
    <d v="2021-05-10T00:00:00"/>
    <s v="B0822"/>
    <x v="6"/>
    <n v="11754"/>
    <n v="10.4"/>
    <x v="0"/>
    <x v="0"/>
    <x v="0"/>
    <x v="0"/>
    <n v="91576"/>
    <x v="2"/>
    <n v="0.35"/>
    <n v="0.62"/>
    <n v="12976.42"/>
    <n v="0"/>
    <n v="18958.064516129034"/>
    <n v="7631.333333333333"/>
    <n v="2670.9666666666662"/>
    <n v="58"/>
    <n v="1222.42"/>
  </r>
  <r>
    <x v="822"/>
    <d v="2021-04-05T00:00:00"/>
    <s v="B0823"/>
    <x v="5"/>
    <n v="35447"/>
    <n v="13"/>
    <x v="1"/>
    <x v="3"/>
    <x v="4"/>
    <x v="0"/>
    <n v="73919"/>
    <x v="1"/>
    <n v="0.36"/>
    <n v="0.88"/>
    <n v="8869.57"/>
    <n v="8023.15"/>
    <n v="40280.681818181816"/>
    <n v="6159.916666666667"/>
    <n v="2217.5700000000002"/>
    <n v="59"/>
    <n v="-18554.28"/>
  </r>
  <r>
    <x v="823"/>
    <d v="2022-09-19T00:00:00"/>
    <s v="B0824"/>
    <x v="2"/>
    <n v="16901"/>
    <n v="7.1"/>
    <x v="0"/>
    <x v="0"/>
    <x v="1"/>
    <x v="1"/>
    <n v="112103"/>
    <x v="2"/>
    <n v="0.22"/>
    <n v="0.82"/>
    <n v="18100.97"/>
    <n v="0"/>
    <n v="20610.9756097561"/>
    <n v="9341.9166666666661"/>
    <n v="2055.2216666666664"/>
    <n v="42"/>
    <n v="1199.9700000000012"/>
  </r>
  <r>
    <x v="824"/>
    <d v="2023-01-25T00:00:00"/>
    <s v="B0825"/>
    <x v="2"/>
    <n v="34004"/>
    <n v="8.8000000000000007"/>
    <x v="1"/>
    <x v="0"/>
    <x v="1"/>
    <x v="0"/>
    <n v="33358"/>
    <x v="1"/>
    <n v="0.44"/>
    <n v="0.81"/>
    <n v="36996.35"/>
    <n v="0"/>
    <n v="41980.246913580246"/>
    <n v="2779.8333333333335"/>
    <n v="1223.1266666666668"/>
    <n v="37"/>
    <n v="2992.3499999999985"/>
  </r>
  <r>
    <x v="825"/>
    <d v="2023-03-05T00:00:00"/>
    <s v="B0826"/>
    <x v="9"/>
    <n v="8446"/>
    <n v="20.7"/>
    <x v="0"/>
    <x v="3"/>
    <x v="0"/>
    <x v="1"/>
    <n v="118535"/>
    <x v="0"/>
    <n v="0.48"/>
    <n v="0.9"/>
    <n v="1999.88"/>
    <n v="1314.2"/>
    <n v="9384.4444444444434"/>
    <n v="9877.9166666666661"/>
    <n v="4741.3999999999996"/>
    <n v="36"/>
    <n v="-5131.92"/>
  </r>
  <r>
    <x v="826"/>
    <d v="2021-03-10T00:00:00"/>
    <s v="B0827"/>
    <x v="6"/>
    <n v="38211"/>
    <n v="19.3"/>
    <x v="0"/>
    <x v="1"/>
    <x v="1"/>
    <x v="3"/>
    <n v="137894"/>
    <x v="1"/>
    <n v="0.19"/>
    <n v="0.81"/>
    <n v="7832.97"/>
    <n v="0"/>
    <n v="47174.074074074073"/>
    <n v="11491.166666666666"/>
    <n v="2183.3216666666667"/>
    <n v="60"/>
    <n v="-30378.03"/>
  </r>
  <r>
    <x v="827"/>
    <d v="2021-01-11T00:00:00"/>
    <s v="B0828"/>
    <x v="2"/>
    <n v="30301"/>
    <n v="16.899999999999999"/>
    <x v="0"/>
    <x v="0"/>
    <x v="0"/>
    <x v="3"/>
    <n v="106524"/>
    <x v="2"/>
    <n v="0.14000000000000001"/>
    <n v="0.63"/>
    <n v="35421.870000000003"/>
    <n v="0"/>
    <n v="48096.825396825399"/>
    <n v="8877"/>
    <n v="1242.7800000000002"/>
    <n v="62"/>
    <n v="5120.8700000000026"/>
  </r>
  <r>
    <x v="828"/>
    <d v="2023-05-22T00:00:00"/>
    <s v="B0829"/>
    <x v="2"/>
    <n v="27116"/>
    <n v="22.9"/>
    <x v="1"/>
    <x v="1"/>
    <x v="5"/>
    <x v="1"/>
    <n v="135982"/>
    <x v="0"/>
    <n v="0.18"/>
    <n v="0.81"/>
    <n v="9820.9699999999993"/>
    <n v="0"/>
    <n v="33476.543209876538"/>
    <n v="11331.833333333334"/>
    <n v="2039.73"/>
    <n v="33"/>
    <n v="-17295.03"/>
  </r>
  <r>
    <x v="829"/>
    <d v="2022-07-04T00:00:00"/>
    <s v="B0830"/>
    <x v="1"/>
    <n v="19752"/>
    <n v="16.7"/>
    <x v="0"/>
    <x v="2"/>
    <x v="4"/>
    <x v="4"/>
    <n v="127057"/>
    <x v="2"/>
    <n v="0.43"/>
    <n v="0.64"/>
    <n v="0"/>
    <n v="0"/>
    <n v="30862.5"/>
    <n v="10588.083333333334"/>
    <n v="4552.8758333333335"/>
    <n v="44"/>
    <n v="-19752"/>
  </r>
  <r>
    <x v="830"/>
    <d v="2022-12-13T00:00:00"/>
    <s v="B0831"/>
    <x v="5"/>
    <n v="33376"/>
    <n v="14.3"/>
    <x v="0"/>
    <x v="1"/>
    <x v="5"/>
    <x v="3"/>
    <n v="35698"/>
    <x v="1"/>
    <n v="0.37"/>
    <n v="0.84"/>
    <n v="13076.81"/>
    <n v="0"/>
    <n v="39733.333333333336"/>
    <n v="2974.8333333333335"/>
    <n v="1100.6883333333333"/>
    <n v="39"/>
    <n v="-20299.190000000002"/>
  </r>
  <r>
    <x v="831"/>
    <d v="2021-01-23T00:00:00"/>
    <s v="B0832"/>
    <x v="9"/>
    <n v="17669"/>
    <n v="11.8"/>
    <x v="1"/>
    <x v="1"/>
    <x v="4"/>
    <x v="4"/>
    <n v="96809"/>
    <x v="0"/>
    <n v="0.35"/>
    <n v="0.78"/>
    <n v="7665.57"/>
    <n v="0"/>
    <n v="22652.564102564102"/>
    <n v="8067.416666666667"/>
    <n v="2823.5958333333333"/>
    <n v="61"/>
    <n v="-10003.43"/>
  </r>
  <r>
    <x v="832"/>
    <d v="2023-03-26T00:00:00"/>
    <s v="B0833"/>
    <x v="8"/>
    <n v="33916"/>
    <n v="23.8"/>
    <x v="0"/>
    <x v="1"/>
    <x v="3"/>
    <x v="3"/>
    <n v="123079"/>
    <x v="2"/>
    <n v="0.26"/>
    <n v="0.53"/>
    <n v="16543.73"/>
    <n v="0"/>
    <n v="63992.452830188675"/>
    <n v="10256.583333333334"/>
    <n v="2666.711666666667"/>
    <n v="35"/>
    <n v="-17372.27"/>
  </r>
  <r>
    <x v="833"/>
    <d v="2021-12-12T00:00:00"/>
    <s v="B0834"/>
    <x v="0"/>
    <n v="14395"/>
    <n v="6.7"/>
    <x v="1"/>
    <x v="0"/>
    <x v="4"/>
    <x v="3"/>
    <n v="85805"/>
    <x v="0"/>
    <n v="0.33"/>
    <n v="0.73"/>
    <n v="15359.46"/>
    <n v="0"/>
    <n v="19719.178082191782"/>
    <n v="7150.416666666667"/>
    <n v="2359.6375000000003"/>
    <n v="51"/>
    <n v="964.45999999999913"/>
  </r>
  <r>
    <x v="834"/>
    <d v="2021-10-29T00:00:00"/>
    <s v="B0835"/>
    <x v="7"/>
    <n v="21421"/>
    <n v="23.6"/>
    <x v="1"/>
    <x v="1"/>
    <x v="0"/>
    <x v="2"/>
    <n v="61349"/>
    <x v="0"/>
    <n v="0.22"/>
    <n v="0.65"/>
    <n v="3641.47"/>
    <n v="0"/>
    <n v="32955.384615384617"/>
    <n v="5112.416666666667"/>
    <n v="1124.7316666666668"/>
    <n v="52"/>
    <n v="-17779.53"/>
  </r>
  <r>
    <x v="835"/>
    <d v="2021-12-29T00:00:00"/>
    <s v="B0836"/>
    <x v="7"/>
    <n v="27342"/>
    <n v="21.5"/>
    <x v="1"/>
    <x v="0"/>
    <x v="4"/>
    <x v="0"/>
    <n v="106777"/>
    <x v="2"/>
    <n v="0.28999999999999998"/>
    <n v="0.65"/>
    <n v="33220.53"/>
    <n v="0"/>
    <n v="42064.615384615383"/>
    <n v="8898.0833333333339"/>
    <n v="2580.4441666666667"/>
    <n v="50"/>
    <n v="5878.5299999999988"/>
  </r>
  <r>
    <x v="836"/>
    <d v="2022-01-31T00:00:00"/>
    <s v="B0837"/>
    <x v="3"/>
    <n v="5895"/>
    <n v="7.6"/>
    <x v="1"/>
    <x v="3"/>
    <x v="2"/>
    <x v="0"/>
    <n v="80248"/>
    <x v="0"/>
    <n v="0.42"/>
    <n v="0.77"/>
    <n v="1855.91"/>
    <n v="1714.08"/>
    <n v="7655.8441558441555"/>
    <n v="6687.333333333333"/>
    <n v="2808.68"/>
    <n v="49"/>
    <n v="-2325.0100000000002"/>
  </r>
  <r>
    <x v="837"/>
    <d v="2021-08-06T00:00:00"/>
    <s v="B0838"/>
    <x v="0"/>
    <n v="12023"/>
    <n v="16.3"/>
    <x v="1"/>
    <x v="0"/>
    <x v="1"/>
    <x v="4"/>
    <n v="105033"/>
    <x v="2"/>
    <n v="0.49"/>
    <n v="0.65"/>
    <n v="13982.75"/>
    <n v="0"/>
    <n v="18496.923076923078"/>
    <n v="8752.75"/>
    <n v="4288.8474999999999"/>
    <n v="55"/>
    <n v="1959.75"/>
  </r>
  <r>
    <x v="838"/>
    <d v="2021-05-21T00:00:00"/>
    <s v="B0839"/>
    <x v="0"/>
    <n v="11699"/>
    <n v="22.3"/>
    <x v="0"/>
    <x v="1"/>
    <x v="1"/>
    <x v="0"/>
    <n v="137411"/>
    <x v="0"/>
    <n v="0.47"/>
    <n v="0.85"/>
    <n v="2660.54"/>
    <n v="0"/>
    <n v="13763.529411764706"/>
    <n v="11450.916666666666"/>
    <n v="5381.9308333333329"/>
    <n v="57"/>
    <n v="-9038.4599999999991"/>
  </r>
  <r>
    <x v="839"/>
    <d v="2023-08-16T00:00:00"/>
    <s v="B0840"/>
    <x v="7"/>
    <n v="10715"/>
    <n v="16.399999999999999"/>
    <x v="1"/>
    <x v="0"/>
    <x v="2"/>
    <x v="4"/>
    <n v="128239"/>
    <x v="0"/>
    <n v="0.47"/>
    <n v="0.53"/>
    <n v="12472.26"/>
    <n v="0"/>
    <n v="20216.981132075471"/>
    <n v="10686.583333333334"/>
    <n v="5022.6941666666671"/>
    <n v="31"/>
    <n v="1757.2600000000002"/>
  </r>
  <r>
    <x v="840"/>
    <d v="2023-09-12T00:00:00"/>
    <s v="B0841"/>
    <x v="7"/>
    <n v="20169"/>
    <n v="23.1"/>
    <x v="1"/>
    <x v="0"/>
    <x v="2"/>
    <x v="3"/>
    <n v="74041"/>
    <x v="0"/>
    <n v="0.26"/>
    <n v="0.8"/>
    <n v="24828.04"/>
    <n v="0"/>
    <n v="25211.25"/>
    <n v="6170.083333333333"/>
    <n v="1604.2216666666666"/>
    <n v="30"/>
    <n v="4659.0400000000009"/>
  </r>
  <r>
    <x v="841"/>
    <d v="2023-09-20T00:00:00"/>
    <s v="B0842"/>
    <x v="8"/>
    <n v="17163"/>
    <n v="23.9"/>
    <x v="1"/>
    <x v="0"/>
    <x v="1"/>
    <x v="2"/>
    <n v="61954"/>
    <x v="1"/>
    <n v="0.28999999999999998"/>
    <n v="0.86"/>
    <n v="21264.959999999999"/>
    <n v="0"/>
    <n v="19956.976744186046"/>
    <n v="5162.833333333333"/>
    <n v="1497.2216666666666"/>
    <n v="29"/>
    <n v="4101.9599999999991"/>
  </r>
  <r>
    <x v="842"/>
    <d v="2023-04-08T00:00:00"/>
    <s v="B0843"/>
    <x v="6"/>
    <n v="6782"/>
    <n v="13.4"/>
    <x v="1"/>
    <x v="2"/>
    <x v="0"/>
    <x v="2"/>
    <n v="38002"/>
    <x v="1"/>
    <n v="0.38"/>
    <n v="0.8"/>
    <n v="0"/>
    <n v="0"/>
    <n v="8477.5"/>
    <n v="3166.8333333333335"/>
    <n v="1203.3966666666668"/>
    <n v="35"/>
    <n v="-6782"/>
  </r>
  <r>
    <x v="843"/>
    <d v="2022-11-14T00:00:00"/>
    <s v="B0844"/>
    <x v="6"/>
    <n v="23641"/>
    <n v="12.5"/>
    <x v="0"/>
    <x v="2"/>
    <x v="6"/>
    <x v="3"/>
    <n v="99783"/>
    <x v="2"/>
    <n v="0.47"/>
    <n v="0.72"/>
    <n v="0"/>
    <n v="0"/>
    <n v="32834.722222222226"/>
    <n v="8315.25"/>
    <n v="3908.1674999999996"/>
    <n v="40"/>
    <n v="-23641"/>
  </r>
  <r>
    <x v="844"/>
    <d v="2023-10-01T00:00:00"/>
    <s v="B0845"/>
    <x v="8"/>
    <n v="19792"/>
    <n v="23.7"/>
    <x v="1"/>
    <x v="0"/>
    <x v="0"/>
    <x v="1"/>
    <n v="137524"/>
    <x v="0"/>
    <n v="0.16"/>
    <n v="0.93"/>
    <n v="24482.7"/>
    <n v="0"/>
    <n v="21281.720430107525"/>
    <n v="11460.333333333334"/>
    <n v="1833.6533333333334"/>
    <n v="29"/>
    <n v="4690.7000000000007"/>
  </r>
  <r>
    <x v="845"/>
    <d v="2021-12-22T00:00:00"/>
    <s v="B0846"/>
    <x v="5"/>
    <n v="36585"/>
    <n v="18.5"/>
    <x v="0"/>
    <x v="4"/>
    <x v="1"/>
    <x v="1"/>
    <n v="117234"/>
    <x v="2"/>
    <n v="0.22"/>
    <n v="0.63"/>
    <n v="0"/>
    <n v="0"/>
    <n v="58071.428571428572"/>
    <n v="9769.5"/>
    <n v="2149.29"/>
    <n v="50"/>
    <n v="-36585"/>
  </r>
  <r>
    <x v="846"/>
    <d v="2023-10-05T00:00:00"/>
    <s v="B0847"/>
    <x v="0"/>
    <n v="31682"/>
    <n v="7.3"/>
    <x v="1"/>
    <x v="1"/>
    <x v="1"/>
    <x v="0"/>
    <n v="49738"/>
    <x v="1"/>
    <n v="0.16"/>
    <n v="0.51"/>
    <n v="11237.19"/>
    <n v="0"/>
    <n v="62121.568627450979"/>
    <n v="4144.833333333333"/>
    <n v="663.17333333333329"/>
    <n v="29"/>
    <n v="-20444.809999999998"/>
  </r>
  <r>
    <x v="847"/>
    <d v="2023-06-07T00:00:00"/>
    <s v="B0848"/>
    <x v="4"/>
    <n v="19880"/>
    <n v="5.8"/>
    <x v="0"/>
    <x v="1"/>
    <x v="1"/>
    <x v="4"/>
    <n v="40703"/>
    <x v="1"/>
    <n v="0.34"/>
    <n v="0.69"/>
    <n v="5252.13"/>
    <n v="0"/>
    <n v="28811.594202898552"/>
    <n v="3391.9166666666665"/>
    <n v="1153.2516666666668"/>
    <n v="33"/>
    <n v="-14627.869999999999"/>
  </r>
  <r>
    <x v="848"/>
    <d v="2021-05-07T00:00:00"/>
    <s v="B0849"/>
    <x v="0"/>
    <n v="39067"/>
    <n v="16.3"/>
    <x v="1"/>
    <x v="0"/>
    <x v="5"/>
    <x v="2"/>
    <n v="143776"/>
    <x v="1"/>
    <n v="0.22"/>
    <n v="0.51"/>
    <n v="45434.92"/>
    <n v="0"/>
    <n v="76601.96078431372"/>
    <n v="11981.333333333334"/>
    <n v="2635.8933333333334"/>
    <n v="58"/>
    <n v="6367.9199999999983"/>
  </r>
  <r>
    <x v="849"/>
    <d v="2023-10-06T00:00:00"/>
    <s v="B0850"/>
    <x v="3"/>
    <n v="19073"/>
    <n v="23.6"/>
    <x v="1"/>
    <x v="3"/>
    <x v="1"/>
    <x v="0"/>
    <n v="79422"/>
    <x v="1"/>
    <n v="0.23"/>
    <n v="0.93"/>
    <n v="7593.57"/>
    <n v="6148.31"/>
    <n v="20508.602150537634"/>
    <n v="6618.5"/>
    <n v="1522.2550000000001"/>
    <n v="29"/>
    <n v="-5331.119999999999"/>
  </r>
  <r>
    <x v="850"/>
    <d v="2022-08-27T00:00:00"/>
    <s v="B0851"/>
    <x v="7"/>
    <n v="37035"/>
    <n v="21.9"/>
    <x v="0"/>
    <x v="1"/>
    <x v="2"/>
    <x v="3"/>
    <n v="113106"/>
    <x v="2"/>
    <n v="0.13"/>
    <n v="0.59"/>
    <n v="13999.45"/>
    <n v="0"/>
    <n v="62771.186440677971"/>
    <n v="9425.5"/>
    <n v="1225.3150000000001"/>
    <n v="42"/>
    <n v="-23035.55"/>
  </r>
  <r>
    <x v="851"/>
    <d v="2023-10-11T00:00:00"/>
    <s v="B0852"/>
    <x v="0"/>
    <n v="38174"/>
    <n v="18.5"/>
    <x v="1"/>
    <x v="3"/>
    <x v="0"/>
    <x v="2"/>
    <n v="91899"/>
    <x v="0"/>
    <n v="0.24"/>
    <n v="0.86"/>
    <n v="14725.52"/>
    <n v="11118.32"/>
    <n v="44388.372093023259"/>
    <n v="7658.25"/>
    <n v="1837.98"/>
    <n v="29"/>
    <n v="-12330.16"/>
  </r>
  <r>
    <x v="852"/>
    <d v="2021-02-20T00:00:00"/>
    <s v="B0853"/>
    <x v="7"/>
    <n v="25837"/>
    <n v="7.8"/>
    <x v="0"/>
    <x v="1"/>
    <x v="4"/>
    <x v="4"/>
    <n v="42392"/>
    <x v="2"/>
    <n v="0.44"/>
    <n v="0.85"/>
    <n v="10999.75"/>
    <n v="0"/>
    <n v="30396.470588235294"/>
    <n v="3532.6666666666665"/>
    <n v="1554.3733333333332"/>
    <n v="60"/>
    <n v="-14837.25"/>
  </r>
  <r>
    <x v="853"/>
    <d v="2023-11-19T00:00:00"/>
    <s v="B0854"/>
    <x v="0"/>
    <n v="18826"/>
    <n v="10.1"/>
    <x v="1"/>
    <x v="1"/>
    <x v="5"/>
    <x v="4"/>
    <n v="74724"/>
    <x v="0"/>
    <n v="0.19"/>
    <n v="0.6"/>
    <n v="8590.41"/>
    <n v="0"/>
    <n v="31376.666666666668"/>
    <n v="6227"/>
    <n v="1183.1300000000001"/>
    <n v="28"/>
    <n v="-10235.59"/>
  </r>
  <r>
    <x v="854"/>
    <d v="2023-02-18T00:00:00"/>
    <s v="B0855"/>
    <x v="3"/>
    <n v="25981"/>
    <n v="22.5"/>
    <x v="0"/>
    <x v="1"/>
    <x v="3"/>
    <x v="1"/>
    <n v="62299"/>
    <x v="1"/>
    <n v="0.38"/>
    <n v="0.78"/>
    <n v="10820.79"/>
    <n v="0"/>
    <n v="33308.974358974359"/>
    <n v="5191.583333333333"/>
    <n v="1972.8016666666665"/>
    <n v="37"/>
    <n v="-15160.21"/>
  </r>
  <r>
    <x v="855"/>
    <d v="2023-03-25T00:00:00"/>
    <s v="B0856"/>
    <x v="5"/>
    <n v="11382"/>
    <n v="8.6999999999999993"/>
    <x v="1"/>
    <x v="0"/>
    <x v="0"/>
    <x v="0"/>
    <n v="45641"/>
    <x v="0"/>
    <n v="0.35"/>
    <n v="0.52"/>
    <n v="12372.23"/>
    <n v="0"/>
    <n v="21888.461538461539"/>
    <n v="3803.4166666666665"/>
    <n v="1331.1958333333332"/>
    <n v="35"/>
    <n v="990.22999999999956"/>
  </r>
  <r>
    <x v="856"/>
    <d v="2022-02-24T00:00:00"/>
    <s v="B0857"/>
    <x v="4"/>
    <n v="5437"/>
    <n v="10.6"/>
    <x v="1"/>
    <x v="0"/>
    <x v="0"/>
    <x v="3"/>
    <n v="109534"/>
    <x v="1"/>
    <n v="0.45"/>
    <n v="0.72"/>
    <n v="6013.32"/>
    <n v="0"/>
    <n v="7551.3888888888896"/>
    <n v="9127.8333333333339"/>
    <n v="4107.5250000000005"/>
    <n v="48"/>
    <n v="576.31999999999971"/>
  </r>
  <r>
    <x v="857"/>
    <d v="2023-09-10T00:00:00"/>
    <s v="B0858"/>
    <x v="2"/>
    <n v="6435"/>
    <n v="7.6"/>
    <x v="0"/>
    <x v="0"/>
    <x v="0"/>
    <x v="2"/>
    <n v="36305"/>
    <x v="2"/>
    <n v="0.15"/>
    <n v="0.51"/>
    <n v="6924.06"/>
    <n v="0"/>
    <n v="12617.64705882353"/>
    <n v="3025.4166666666665"/>
    <n v="453.81249999999994"/>
    <n v="30"/>
    <n v="489.0600000000004"/>
  </r>
  <r>
    <x v="858"/>
    <d v="2023-04-05T00:00:00"/>
    <s v="B0859"/>
    <x v="8"/>
    <n v="25819"/>
    <n v="18.5"/>
    <x v="1"/>
    <x v="0"/>
    <x v="0"/>
    <x v="4"/>
    <n v="128262"/>
    <x v="0"/>
    <n v="0.49"/>
    <n v="0.91"/>
    <n v="30595.52"/>
    <n v="0"/>
    <n v="28372.527472527472"/>
    <n v="10688.5"/>
    <n v="5237.3649999999998"/>
    <n v="35"/>
    <n v="4776.5200000000004"/>
  </r>
  <r>
    <x v="859"/>
    <d v="2023-10-22T00:00:00"/>
    <s v="B0860"/>
    <x v="8"/>
    <n v="37875"/>
    <n v="23.9"/>
    <x v="1"/>
    <x v="1"/>
    <x v="2"/>
    <x v="2"/>
    <n v="48782"/>
    <x v="2"/>
    <n v="0.33"/>
    <n v="0.94"/>
    <n v="9719.5400000000009"/>
    <n v="0"/>
    <n v="40292.553191489365"/>
    <n v="4065.1666666666665"/>
    <n v="1341.5050000000001"/>
    <n v="28"/>
    <n v="-28155.46"/>
  </r>
  <r>
    <x v="860"/>
    <d v="2022-07-21T00:00:00"/>
    <s v="B0861"/>
    <x v="4"/>
    <n v="32982"/>
    <n v="10.4"/>
    <x v="1"/>
    <x v="1"/>
    <x v="1"/>
    <x v="3"/>
    <n v="108257"/>
    <x v="1"/>
    <n v="0.5"/>
    <n v="0.6"/>
    <n v="5386.12"/>
    <n v="0"/>
    <n v="54970"/>
    <n v="9021.4166666666661"/>
    <n v="4510.708333333333"/>
    <n v="43"/>
    <n v="-27595.88"/>
  </r>
  <r>
    <x v="861"/>
    <d v="2022-01-06T00:00:00"/>
    <s v="B0862"/>
    <x v="0"/>
    <n v="34328"/>
    <n v="14.5"/>
    <x v="1"/>
    <x v="3"/>
    <x v="1"/>
    <x v="2"/>
    <n v="135299"/>
    <x v="2"/>
    <n v="0.46"/>
    <n v="0.59"/>
    <n v="7246.51"/>
    <n v="14471.77"/>
    <n v="58183.050847457627"/>
    <n v="11274.916666666666"/>
    <n v="5186.461666666667"/>
    <n v="50"/>
    <n v="-12609.720000000001"/>
  </r>
  <r>
    <x v="862"/>
    <d v="2023-07-25T00:00:00"/>
    <s v="B0863"/>
    <x v="2"/>
    <n v="13329"/>
    <n v="17.7"/>
    <x v="1"/>
    <x v="0"/>
    <x v="5"/>
    <x v="0"/>
    <n v="107963"/>
    <x v="1"/>
    <n v="0.19"/>
    <n v="0.84"/>
    <n v="15688.23"/>
    <n v="0"/>
    <n v="15867.857142857143"/>
    <n v="8996.9166666666661"/>
    <n v="1709.4141666666665"/>
    <n v="31"/>
    <n v="2359.2299999999996"/>
  </r>
  <r>
    <x v="863"/>
    <d v="2022-10-23T00:00:00"/>
    <s v="B0864"/>
    <x v="3"/>
    <n v="26169"/>
    <n v="25"/>
    <x v="1"/>
    <x v="0"/>
    <x v="6"/>
    <x v="1"/>
    <n v="142086"/>
    <x v="1"/>
    <n v="0.12"/>
    <n v="0.61"/>
    <n v="32711.25"/>
    <n v="0"/>
    <n v="42900"/>
    <n v="11840.5"/>
    <n v="1420.86"/>
    <n v="40"/>
    <n v="6542.25"/>
  </r>
  <r>
    <x v="864"/>
    <d v="2023-08-27T00:00:00"/>
    <s v="B0865"/>
    <x v="6"/>
    <n v="22932"/>
    <n v="7.1"/>
    <x v="0"/>
    <x v="0"/>
    <x v="0"/>
    <x v="2"/>
    <n v="50566"/>
    <x v="1"/>
    <n v="0.2"/>
    <n v="0.9"/>
    <n v="24560.17"/>
    <n v="0"/>
    <n v="25480"/>
    <n v="4213.833333333333"/>
    <n v="842.76666666666665"/>
    <n v="30"/>
    <n v="1628.1699999999983"/>
  </r>
  <r>
    <x v="865"/>
    <d v="2021-07-21T00:00:00"/>
    <s v="B0866"/>
    <x v="0"/>
    <n v="35594"/>
    <n v="15"/>
    <x v="0"/>
    <x v="0"/>
    <x v="4"/>
    <x v="1"/>
    <n v="97766"/>
    <x v="2"/>
    <n v="0.31"/>
    <n v="0.76"/>
    <n v="40933.1"/>
    <n v="0"/>
    <n v="46834.210526315786"/>
    <n v="8147.166666666667"/>
    <n v="2525.6216666666669"/>
    <n v="55"/>
    <n v="5339.0999999999985"/>
  </r>
  <r>
    <x v="866"/>
    <d v="2021-11-09T00:00:00"/>
    <s v="B0867"/>
    <x v="5"/>
    <n v="12421"/>
    <n v="12.7"/>
    <x v="0"/>
    <x v="0"/>
    <x v="5"/>
    <x v="3"/>
    <n v="36511"/>
    <x v="2"/>
    <n v="0.17"/>
    <n v="0.66"/>
    <n v="13998.47"/>
    <n v="0"/>
    <n v="18819.696969696968"/>
    <n v="3042.5833333333335"/>
    <n v="517.23916666666673"/>
    <n v="52"/>
    <n v="1577.4699999999993"/>
  </r>
  <r>
    <x v="867"/>
    <d v="2021-04-27T00:00:00"/>
    <s v="B0868"/>
    <x v="7"/>
    <n v="8629"/>
    <n v="22.3"/>
    <x v="1"/>
    <x v="1"/>
    <x v="0"/>
    <x v="1"/>
    <n v="144816"/>
    <x v="0"/>
    <n v="0.17"/>
    <n v="0.87"/>
    <n v="510.03"/>
    <n v="0"/>
    <n v="9918.3908045977005"/>
    <n v="12068"/>
    <n v="2051.56"/>
    <n v="58"/>
    <n v="-8118.97"/>
  </r>
  <r>
    <x v="868"/>
    <d v="2023-07-26T00:00:00"/>
    <s v="B0869"/>
    <x v="9"/>
    <n v="9325"/>
    <n v="14.5"/>
    <x v="0"/>
    <x v="0"/>
    <x v="4"/>
    <x v="2"/>
    <n v="137765"/>
    <x v="0"/>
    <n v="0.28999999999999998"/>
    <n v="0.72"/>
    <n v="10677.12"/>
    <n v="0"/>
    <n v="12951.388888888889"/>
    <n v="11480.416666666666"/>
    <n v="3329.3208333333328"/>
    <n v="31"/>
    <n v="1352.1200000000008"/>
  </r>
  <r>
    <x v="869"/>
    <d v="2022-07-29T00:00:00"/>
    <s v="B0870"/>
    <x v="0"/>
    <n v="29495"/>
    <n v="7.2"/>
    <x v="1"/>
    <x v="1"/>
    <x v="4"/>
    <x v="2"/>
    <n v="148360"/>
    <x v="2"/>
    <n v="0.11"/>
    <n v="0.91"/>
    <n v="8429.58"/>
    <n v="0"/>
    <n v="32412.087912087911"/>
    <n v="12363.333333333334"/>
    <n v="1359.9666666666667"/>
    <n v="43"/>
    <n v="-21065.42"/>
  </r>
  <r>
    <x v="870"/>
    <d v="2021-09-01T00:00:00"/>
    <s v="B0871"/>
    <x v="9"/>
    <n v="32750"/>
    <n v="17.7"/>
    <x v="1"/>
    <x v="0"/>
    <x v="0"/>
    <x v="4"/>
    <n v="56177"/>
    <x v="2"/>
    <n v="0.15"/>
    <n v="0.92"/>
    <n v="38546.75"/>
    <n v="0"/>
    <n v="35597.82608695652"/>
    <n v="4681.416666666667"/>
    <n v="702.21249999999998"/>
    <n v="54"/>
    <n v="5796.75"/>
  </r>
  <r>
    <x v="871"/>
    <d v="2022-06-21T00:00:00"/>
    <s v="B0872"/>
    <x v="0"/>
    <n v="30619"/>
    <n v="20.399999999999999"/>
    <x v="1"/>
    <x v="3"/>
    <x v="0"/>
    <x v="2"/>
    <n v="34765"/>
    <x v="2"/>
    <n v="0.27"/>
    <n v="0.56999999999999995"/>
    <n v="7701.21"/>
    <n v="8440.1"/>
    <n v="53717.543859649129"/>
    <n v="2897.0833333333335"/>
    <n v="782.21250000000009"/>
    <n v="44"/>
    <n v="-14477.689999999999"/>
  </r>
  <r>
    <x v="872"/>
    <d v="2021-03-16T00:00:00"/>
    <s v="B0873"/>
    <x v="4"/>
    <n v="9264"/>
    <n v="5.0999999999999996"/>
    <x v="1"/>
    <x v="1"/>
    <x v="1"/>
    <x v="1"/>
    <n v="50354"/>
    <x v="2"/>
    <n v="0.13"/>
    <n v="0.5"/>
    <n v="2652.86"/>
    <n v="0"/>
    <n v="18528"/>
    <n v="4196.166666666667"/>
    <n v="545.50166666666678"/>
    <n v="60"/>
    <n v="-6611.1399999999994"/>
  </r>
  <r>
    <x v="873"/>
    <d v="2022-01-21T00:00:00"/>
    <s v="B0874"/>
    <x v="9"/>
    <n v="13686"/>
    <n v="22.2"/>
    <x v="0"/>
    <x v="2"/>
    <x v="0"/>
    <x v="4"/>
    <n v="53929"/>
    <x v="1"/>
    <n v="0.26"/>
    <n v="0.94"/>
    <n v="0"/>
    <n v="0"/>
    <n v="14559.574468085108"/>
    <n v="4494.083333333333"/>
    <n v="1168.4616666666666"/>
    <n v="49"/>
    <n v="-13686"/>
  </r>
  <r>
    <x v="874"/>
    <d v="2022-04-20T00:00:00"/>
    <s v="B0875"/>
    <x v="0"/>
    <n v="25226"/>
    <n v="8.6999999999999993"/>
    <x v="1"/>
    <x v="3"/>
    <x v="2"/>
    <x v="2"/>
    <n v="58820"/>
    <x v="1"/>
    <n v="0.28999999999999998"/>
    <n v="0.91"/>
    <n v="9893.8700000000008"/>
    <n v="7297.15"/>
    <n v="27720.879120879119"/>
    <n v="4901.666666666667"/>
    <n v="1421.4833333333333"/>
    <n v="46"/>
    <n v="-8034.98"/>
  </r>
  <r>
    <x v="875"/>
    <d v="2022-02-22T00:00:00"/>
    <s v="B0876"/>
    <x v="8"/>
    <n v="7721"/>
    <n v="16"/>
    <x v="0"/>
    <x v="3"/>
    <x v="0"/>
    <x v="2"/>
    <n v="141576"/>
    <x v="1"/>
    <n v="0.28000000000000003"/>
    <n v="0.52"/>
    <n v="2883.3"/>
    <n v="822.57"/>
    <n v="14848.076923076922"/>
    <n v="11798"/>
    <n v="3303.4400000000005"/>
    <n v="48"/>
    <n v="-4015.1299999999997"/>
  </r>
  <r>
    <x v="876"/>
    <d v="2021-12-13T00:00:00"/>
    <s v="B0877"/>
    <x v="9"/>
    <n v="21609"/>
    <n v="13.3"/>
    <x v="1"/>
    <x v="3"/>
    <x v="6"/>
    <x v="3"/>
    <n v="59523"/>
    <x v="2"/>
    <n v="0.45"/>
    <n v="0.87"/>
    <n v="3209.24"/>
    <n v="5044.0600000000004"/>
    <n v="24837.931034482757"/>
    <n v="4960.25"/>
    <n v="2232.1125000000002"/>
    <n v="51"/>
    <n v="-13355.7"/>
  </r>
  <r>
    <x v="877"/>
    <d v="2022-10-02T00:00:00"/>
    <s v="B0878"/>
    <x v="0"/>
    <n v="8373"/>
    <n v="19.399999999999999"/>
    <x v="0"/>
    <x v="1"/>
    <x v="2"/>
    <x v="4"/>
    <n v="101088"/>
    <x v="1"/>
    <n v="0.31"/>
    <n v="0.71"/>
    <n v="1808.54"/>
    <n v="0"/>
    <n v="11792.957746478874"/>
    <n v="8424"/>
    <n v="2611.44"/>
    <n v="41"/>
    <n v="-6564.46"/>
  </r>
  <r>
    <x v="878"/>
    <d v="2023-07-28T00:00:00"/>
    <s v="B0879"/>
    <x v="6"/>
    <n v="39675"/>
    <n v="12.4"/>
    <x v="0"/>
    <x v="0"/>
    <x v="2"/>
    <x v="3"/>
    <n v="96163"/>
    <x v="1"/>
    <n v="0.28999999999999998"/>
    <n v="0.62"/>
    <n v="44594.7"/>
    <n v="0"/>
    <n v="63991.93548387097"/>
    <n v="8013.583333333333"/>
    <n v="2323.9391666666666"/>
    <n v="31"/>
    <n v="4919.6999999999971"/>
  </r>
  <r>
    <x v="879"/>
    <d v="2023-08-13T00:00:00"/>
    <s v="B0880"/>
    <x v="7"/>
    <n v="29937"/>
    <n v="22.4"/>
    <x v="0"/>
    <x v="0"/>
    <x v="6"/>
    <x v="3"/>
    <n v="107525"/>
    <x v="0"/>
    <n v="0.26"/>
    <n v="0.9"/>
    <n v="36642.89"/>
    <n v="0"/>
    <n v="33263.333333333336"/>
    <n v="8960.4166666666661"/>
    <n v="2329.708333333333"/>
    <n v="31"/>
    <n v="6705.8899999999994"/>
  </r>
  <r>
    <x v="880"/>
    <d v="2023-05-26T00:00:00"/>
    <s v="B0881"/>
    <x v="6"/>
    <n v="6656"/>
    <n v="19.600000000000001"/>
    <x v="0"/>
    <x v="0"/>
    <x v="4"/>
    <x v="3"/>
    <n v="43780"/>
    <x v="0"/>
    <n v="0.43"/>
    <n v="0.59"/>
    <n v="7960.58"/>
    <n v="0"/>
    <n v="11281.355932203391"/>
    <n v="3648.3333333333335"/>
    <n v="1568.7833333333333"/>
    <n v="33"/>
    <n v="1304.58"/>
  </r>
  <r>
    <x v="881"/>
    <d v="2023-02-02T00:00:00"/>
    <s v="B0882"/>
    <x v="2"/>
    <n v="9984"/>
    <n v="18"/>
    <x v="0"/>
    <x v="1"/>
    <x v="4"/>
    <x v="0"/>
    <n v="36589"/>
    <x v="1"/>
    <n v="0.46"/>
    <n v="0.93"/>
    <n v="2403.9499999999998"/>
    <n v="0"/>
    <n v="10735.483870967741"/>
    <n v="3049.0833333333335"/>
    <n v="1402.5783333333334"/>
    <n v="37"/>
    <n v="-7580.05"/>
  </r>
  <r>
    <x v="882"/>
    <d v="2022-10-26T00:00:00"/>
    <s v="B0883"/>
    <x v="0"/>
    <n v="30984"/>
    <n v="20.9"/>
    <x v="0"/>
    <x v="0"/>
    <x v="4"/>
    <x v="3"/>
    <n v="64812"/>
    <x v="1"/>
    <n v="0.44"/>
    <n v="0.59"/>
    <n v="37459.660000000003"/>
    <n v="0"/>
    <n v="52515.254237288136"/>
    <n v="5401"/>
    <n v="2376.44"/>
    <n v="40"/>
    <n v="6475.6600000000035"/>
  </r>
  <r>
    <x v="883"/>
    <d v="2021-01-25T00:00:00"/>
    <s v="B0884"/>
    <x v="1"/>
    <n v="9286"/>
    <n v="20.100000000000001"/>
    <x v="1"/>
    <x v="3"/>
    <x v="0"/>
    <x v="1"/>
    <n v="123664"/>
    <x v="1"/>
    <n v="0.37"/>
    <n v="0.78"/>
    <n v="1932.97"/>
    <n v="2167.4899999999998"/>
    <n v="11905.128205128205"/>
    <n v="10305.333333333334"/>
    <n v="3812.9733333333334"/>
    <n v="61"/>
    <n v="-5185.54"/>
  </r>
  <r>
    <x v="884"/>
    <d v="2022-12-11T00:00:00"/>
    <s v="B0885"/>
    <x v="5"/>
    <n v="6901"/>
    <n v="5.7"/>
    <x v="0"/>
    <x v="2"/>
    <x v="0"/>
    <x v="2"/>
    <n v="75939"/>
    <x v="2"/>
    <n v="0.15"/>
    <n v="0.6"/>
    <n v="0"/>
    <n v="0"/>
    <n v="11501.666666666668"/>
    <n v="6328.25"/>
    <n v="949.23749999999995"/>
    <n v="39"/>
    <n v="-6901"/>
  </r>
  <r>
    <x v="885"/>
    <d v="2021-06-26T00:00:00"/>
    <s v="B0886"/>
    <x v="6"/>
    <n v="32552"/>
    <n v="12.9"/>
    <x v="1"/>
    <x v="0"/>
    <x v="6"/>
    <x v="0"/>
    <n v="81493"/>
    <x v="0"/>
    <n v="0.21"/>
    <n v="0.75"/>
    <n v="36751.21"/>
    <n v="0"/>
    <n v="43402.666666666664"/>
    <n v="6791.083333333333"/>
    <n v="1426.1274999999998"/>
    <n v="56"/>
    <n v="4199.2099999999991"/>
  </r>
  <r>
    <x v="886"/>
    <d v="2021-10-12T00:00:00"/>
    <s v="B0887"/>
    <x v="9"/>
    <n v="26709"/>
    <n v="23.6"/>
    <x v="0"/>
    <x v="0"/>
    <x v="5"/>
    <x v="3"/>
    <n v="134188"/>
    <x v="0"/>
    <n v="0.12"/>
    <n v="0.81"/>
    <n v="33012.32"/>
    <n v="0"/>
    <n v="32974.074074074073"/>
    <n v="11182.333333333334"/>
    <n v="1341.88"/>
    <n v="53"/>
    <n v="6303.32"/>
  </r>
  <r>
    <x v="887"/>
    <d v="2021-03-04T00:00:00"/>
    <s v="B0888"/>
    <x v="4"/>
    <n v="32055"/>
    <n v="7.5"/>
    <x v="1"/>
    <x v="2"/>
    <x v="5"/>
    <x v="2"/>
    <n v="123326"/>
    <x v="0"/>
    <n v="0.47"/>
    <n v="0.59"/>
    <n v="0"/>
    <n v="0"/>
    <n v="54330.508474576272"/>
    <n v="10277.166666666666"/>
    <n v="4830.2683333333325"/>
    <n v="60"/>
    <n v="-32055"/>
  </r>
  <r>
    <x v="888"/>
    <d v="2023-09-30T00:00:00"/>
    <s v="B0889"/>
    <x v="5"/>
    <n v="38685"/>
    <n v="19.7"/>
    <x v="0"/>
    <x v="0"/>
    <x v="2"/>
    <x v="4"/>
    <n v="70953"/>
    <x v="1"/>
    <n v="0.36"/>
    <n v="0.73"/>
    <n v="46305.94"/>
    <n v="0"/>
    <n v="52993.150684931505"/>
    <n v="5912.75"/>
    <n v="2128.59"/>
    <n v="29"/>
    <n v="7620.9400000000023"/>
  </r>
  <r>
    <x v="889"/>
    <d v="2022-10-24T00:00:00"/>
    <s v="B0890"/>
    <x v="1"/>
    <n v="9429"/>
    <n v="24.5"/>
    <x v="0"/>
    <x v="1"/>
    <x v="1"/>
    <x v="4"/>
    <n v="95785"/>
    <x v="2"/>
    <n v="0.4"/>
    <n v="0.71"/>
    <n v="3859.51"/>
    <n v="0"/>
    <n v="13280.281690140846"/>
    <n v="7982.083333333333"/>
    <n v="3192.8333333333335"/>
    <n v="40"/>
    <n v="-5569.49"/>
  </r>
  <r>
    <x v="890"/>
    <d v="2022-10-28T00:00:00"/>
    <s v="B0891"/>
    <x v="3"/>
    <n v="15716"/>
    <n v="6"/>
    <x v="1"/>
    <x v="0"/>
    <x v="1"/>
    <x v="2"/>
    <n v="49309"/>
    <x v="0"/>
    <n v="0.22"/>
    <n v="0.53"/>
    <n v="16658.96"/>
    <n v="0"/>
    <n v="29652.830188679243"/>
    <n v="4109.083333333333"/>
    <n v="903.99833333333322"/>
    <n v="40"/>
    <n v="942.95999999999913"/>
  </r>
  <r>
    <x v="891"/>
    <d v="2021-06-05T00:00:00"/>
    <s v="B0892"/>
    <x v="0"/>
    <n v="12138"/>
    <n v="18.600000000000001"/>
    <x v="0"/>
    <x v="1"/>
    <x v="6"/>
    <x v="1"/>
    <n v="84195"/>
    <x v="0"/>
    <n v="0.44"/>
    <n v="0.87"/>
    <n v="3469.25"/>
    <n v="0"/>
    <n v="13951.724137931034"/>
    <n v="7016.25"/>
    <n v="3087.15"/>
    <n v="57"/>
    <n v="-8668.75"/>
  </r>
  <r>
    <x v="892"/>
    <d v="2023-12-09T00:00:00"/>
    <s v="B0893"/>
    <x v="4"/>
    <n v="36298"/>
    <n v="14.4"/>
    <x v="0"/>
    <x v="0"/>
    <x v="0"/>
    <x v="2"/>
    <n v="145662"/>
    <x v="2"/>
    <n v="0.2"/>
    <n v="0.65"/>
    <n v="41524.910000000003"/>
    <n v="0"/>
    <n v="55843.076923076922"/>
    <n v="12138.5"/>
    <n v="2427.7000000000003"/>
    <n v="27"/>
    <n v="5226.9100000000035"/>
  </r>
  <r>
    <x v="893"/>
    <d v="2023-08-25T00:00:00"/>
    <s v="B0894"/>
    <x v="0"/>
    <n v="24429"/>
    <n v="16.600000000000001"/>
    <x v="0"/>
    <x v="3"/>
    <x v="4"/>
    <x v="2"/>
    <n v="55901"/>
    <x v="1"/>
    <n v="0.1"/>
    <n v="0.76"/>
    <n v="6635.65"/>
    <n v="6328.17"/>
    <n v="32143.42105263158"/>
    <n v="4658.416666666667"/>
    <n v="465.8416666666667"/>
    <n v="30"/>
    <n v="-11465.18"/>
  </r>
  <r>
    <x v="894"/>
    <d v="2023-04-29T00:00:00"/>
    <s v="B0895"/>
    <x v="2"/>
    <n v="6772"/>
    <n v="6.7"/>
    <x v="1"/>
    <x v="1"/>
    <x v="3"/>
    <x v="0"/>
    <n v="53576"/>
    <x v="1"/>
    <n v="0.25"/>
    <n v="0.73"/>
    <n v="2938.07"/>
    <n v="0"/>
    <n v="9276.7123287671238"/>
    <n v="4464.666666666667"/>
    <n v="1116.1666666666667"/>
    <n v="34"/>
    <n v="-3833.93"/>
  </r>
  <r>
    <x v="895"/>
    <d v="2022-11-20T00:00:00"/>
    <s v="B0896"/>
    <x v="1"/>
    <n v="36732"/>
    <n v="5.9"/>
    <x v="0"/>
    <x v="0"/>
    <x v="2"/>
    <x v="4"/>
    <n v="61508"/>
    <x v="0"/>
    <n v="0.33"/>
    <n v="0.73"/>
    <n v="38899.19"/>
    <n v="0"/>
    <n v="50317.808219178085"/>
    <n v="5125.666666666667"/>
    <n v="1691.4700000000003"/>
    <n v="39"/>
    <n v="2167.1900000000023"/>
  </r>
  <r>
    <x v="896"/>
    <d v="2021-05-28T00:00:00"/>
    <s v="B0897"/>
    <x v="0"/>
    <n v="18347"/>
    <n v="18.3"/>
    <x v="1"/>
    <x v="0"/>
    <x v="2"/>
    <x v="4"/>
    <n v="104711"/>
    <x v="0"/>
    <n v="0.28999999999999998"/>
    <n v="0.55000000000000004"/>
    <n v="21704.5"/>
    <n v="0"/>
    <n v="33358.181818181816"/>
    <n v="8725.9166666666661"/>
    <n v="2530.5158333333329"/>
    <n v="57"/>
    <n v="3357.5"/>
  </r>
  <r>
    <x v="897"/>
    <d v="2021-12-08T00:00:00"/>
    <s v="B0898"/>
    <x v="9"/>
    <n v="17920"/>
    <n v="21.5"/>
    <x v="0"/>
    <x v="0"/>
    <x v="5"/>
    <x v="3"/>
    <n v="55464"/>
    <x v="2"/>
    <n v="0.44"/>
    <n v="0.69"/>
    <n v="21772.799999999999"/>
    <n v="0"/>
    <n v="25971.014492753624"/>
    <n v="4622"/>
    <n v="2033.68"/>
    <n v="51"/>
    <n v="3852.7999999999993"/>
  </r>
  <r>
    <x v="898"/>
    <d v="2022-04-21T00:00:00"/>
    <s v="B0899"/>
    <x v="2"/>
    <n v="32822"/>
    <n v="20.6"/>
    <x v="0"/>
    <x v="2"/>
    <x v="6"/>
    <x v="2"/>
    <n v="90281"/>
    <x v="0"/>
    <n v="0.14000000000000001"/>
    <n v="0.7"/>
    <n v="0"/>
    <n v="0"/>
    <n v="46888.571428571435"/>
    <n v="7523.416666666667"/>
    <n v="1053.2783333333334"/>
    <n v="46"/>
    <n v="-32822"/>
  </r>
  <r>
    <x v="899"/>
    <d v="2023-12-23T00:00:00"/>
    <s v="B0900"/>
    <x v="8"/>
    <n v="24563"/>
    <n v="15.9"/>
    <x v="1"/>
    <x v="1"/>
    <x v="0"/>
    <x v="2"/>
    <n v="46260"/>
    <x v="2"/>
    <n v="0.32"/>
    <n v="0.83"/>
    <n v="10136.36"/>
    <n v="0"/>
    <n v="29593.975903614461"/>
    <n v="3855"/>
    <n v="1233.6000000000001"/>
    <n v="26"/>
    <n v="-14426.64"/>
  </r>
  <r>
    <x v="900"/>
    <d v="2022-07-15T00:00:00"/>
    <s v="B0901"/>
    <x v="3"/>
    <n v="8967"/>
    <n v="7"/>
    <x v="0"/>
    <x v="0"/>
    <x v="0"/>
    <x v="1"/>
    <n v="65440"/>
    <x v="0"/>
    <n v="0.31"/>
    <n v="0.88"/>
    <n v="9594.69"/>
    <n v="0"/>
    <n v="10189.772727272728"/>
    <n v="5453.333333333333"/>
    <n v="1690.5333333333333"/>
    <n v="44"/>
    <n v="627.69000000000051"/>
  </r>
  <r>
    <x v="901"/>
    <d v="2021-11-23T00:00:00"/>
    <s v="B0902"/>
    <x v="1"/>
    <n v="12871"/>
    <n v="18.8"/>
    <x v="0"/>
    <x v="0"/>
    <x v="4"/>
    <x v="4"/>
    <n v="125082"/>
    <x v="0"/>
    <n v="0.21"/>
    <n v="0.75"/>
    <n v="15290.75"/>
    <n v="0"/>
    <n v="17161.333333333332"/>
    <n v="10423.5"/>
    <n v="2188.9349999999999"/>
    <n v="51"/>
    <n v="2419.75"/>
  </r>
  <r>
    <x v="902"/>
    <d v="2023-09-17T00:00:00"/>
    <s v="B0903"/>
    <x v="7"/>
    <n v="29763"/>
    <n v="9.8000000000000007"/>
    <x v="1"/>
    <x v="0"/>
    <x v="5"/>
    <x v="1"/>
    <n v="135583"/>
    <x v="0"/>
    <n v="0.43"/>
    <n v="0.54"/>
    <n v="32679.77"/>
    <n v="0"/>
    <n v="55116.666666666664"/>
    <n v="11298.583333333334"/>
    <n v="4858.3908333333338"/>
    <n v="30"/>
    <n v="2916.7700000000004"/>
  </r>
  <r>
    <x v="903"/>
    <d v="2021-08-03T00:00:00"/>
    <s v="B0904"/>
    <x v="4"/>
    <n v="12916"/>
    <n v="23.2"/>
    <x v="0"/>
    <x v="1"/>
    <x v="4"/>
    <x v="0"/>
    <n v="86683"/>
    <x v="1"/>
    <n v="0.4"/>
    <n v="0.61"/>
    <n v="1414.24"/>
    <n v="0"/>
    <n v="21173.77049180328"/>
    <n v="7223.583333333333"/>
    <n v="2889.4333333333334"/>
    <n v="55"/>
    <n v="-11501.76"/>
  </r>
  <r>
    <x v="904"/>
    <d v="2022-03-11T00:00:00"/>
    <s v="B0905"/>
    <x v="6"/>
    <n v="9734"/>
    <n v="21.8"/>
    <x v="1"/>
    <x v="1"/>
    <x v="4"/>
    <x v="3"/>
    <n v="71430"/>
    <x v="2"/>
    <n v="0.39"/>
    <n v="0.56999999999999995"/>
    <n v="3613.86"/>
    <n v="0"/>
    <n v="17077.192982456141"/>
    <n v="5952.5"/>
    <n v="2321.4749999999999"/>
    <n v="48"/>
    <n v="-6120.1399999999994"/>
  </r>
  <r>
    <x v="905"/>
    <d v="2023-08-10T00:00:00"/>
    <s v="B0906"/>
    <x v="0"/>
    <n v="34613"/>
    <n v="19.2"/>
    <x v="1"/>
    <x v="0"/>
    <x v="0"/>
    <x v="1"/>
    <n v="31987"/>
    <x v="2"/>
    <n v="0.45"/>
    <n v="0.56000000000000005"/>
    <n v="41258.699999999997"/>
    <n v="0"/>
    <n v="61808.928571428565"/>
    <n v="2665.5833333333335"/>
    <n v="1199.5125"/>
    <n v="31"/>
    <n v="6645.6999999999971"/>
  </r>
  <r>
    <x v="906"/>
    <d v="2022-12-24T00:00:00"/>
    <s v="B0907"/>
    <x v="4"/>
    <n v="29179"/>
    <n v="24"/>
    <x v="1"/>
    <x v="1"/>
    <x v="5"/>
    <x v="4"/>
    <n v="144778"/>
    <x v="1"/>
    <n v="0.39"/>
    <n v="0.66"/>
    <n v="7176.47"/>
    <n v="0"/>
    <n v="44210.606060606056"/>
    <n v="12064.833333333334"/>
    <n v="4705.2850000000008"/>
    <n v="38"/>
    <n v="-22002.53"/>
  </r>
  <r>
    <x v="907"/>
    <d v="2021-02-01T00:00:00"/>
    <s v="B0908"/>
    <x v="4"/>
    <n v="36262"/>
    <n v="5.6"/>
    <x v="0"/>
    <x v="1"/>
    <x v="6"/>
    <x v="0"/>
    <n v="55105"/>
    <x v="1"/>
    <n v="0.19"/>
    <n v="0.6"/>
    <n v="6621.15"/>
    <n v="0"/>
    <n v="60436.666666666672"/>
    <n v="4592.083333333333"/>
    <n v="872.49583333333328"/>
    <n v="61"/>
    <n v="-29640.85"/>
  </r>
  <r>
    <x v="908"/>
    <d v="2022-11-01T00:00:00"/>
    <s v="B0909"/>
    <x v="7"/>
    <n v="13677"/>
    <n v="19.7"/>
    <x v="1"/>
    <x v="2"/>
    <x v="1"/>
    <x v="2"/>
    <n v="108484"/>
    <x v="1"/>
    <n v="0.38"/>
    <n v="0.6"/>
    <n v="0"/>
    <n v="0"/>
    <n v="22795"/>
    <n v="9040.3333333333339"/>
    <n v="3435.3266666666668"/>
    <n v="40"/>
    <n v="-13677"/>
  </r>
  <r>
    <x v="909"/>
    <d v="2021-10-12T00:00:00"/>
    <s v="B0910"/>
    <x v="7"/>
    <n v="19268"/>
    <n v="11.6"/>
    <x v="1"/>
    <x v="3"/>
    <x v="0"/>
    <x v="0"/>
    <n v="148747"/>
    <x v="2"/>
    <n v="0.22"/>
    <n v="0.52"/>
    <n v="2215.9299999999998"/>
    <n v="9626.5400000000009"/>
    <n v="37053.846153846156"/>
    <n v="12395.583333333334"/>
    <n v="2727.0283333333336"/>
    <n v="53"/>
    <n v="-7425.5299999999988"/>
  </r>
  <r>
    <x v="910"/>
    <d v="2022-03-05T00:00:00"/>
    <s v="B0911"/>
    <x v="2"/>
    <n v="13330"/>
    <n v="23.1"/>
    <x v="0"/>
    <x v="1"/>
    <x v="5"/>
    <x v="1"/>
    <n v="43026"/>
    <x v="0"/>
    <n v="0.2"/>
    <n v="0.51"/>
    <n v="3589.27"/>
    <n v="0"/>
    <n v="26137.254901960783"/>
    <n v="3585.5"/>
    <n v="717.1"/>
    <n v="48"/>
    <n v="-9740.73"/>
  </r>
  <r>
    <x v="911"/>
    <d v="2021-10-13T00:00:00"/>
    <s v="B0912"/>
    <x v="1"/>
    <n v="21733"/>
    <n v="10.3"/>
    <x v="1"/>
    <x v="1"/>
    <x v="1"/>
    <x v="4"/>
    <n v="98309"/>
    <x v="1"/>
    <n v="0.13"/>
    <n v="0.55000000000000004"/>
    <n v="4562.7700000000004"/>
    <n v="0"/>
    <n v="39514.545454545449"/>
    <n v="8192.4166666666661"/>
    <n v="1065.0141666666666"/>
    <n v="53"/>
    <n v="-17170.23"/>
  </r>
  <r>
    <x v="912"/>
    <d v="2023-11-09T00:00:00"/>
    <s v="B0913"/>
    <x v="9"/>
    <n v="38947"/>
    <n v="19.5"/>
    <x v="0"/>
    <x v="0"/>
    <x v="5"/>
    <x v="1"/>
    <n v="75927"/>
    <x v="1"/>
    <n v="0.4"/>
    <n v="0.57999999999999996"/>
    <n v="46541.66"/>
    <n v="0"/>
    <n v="67150"/>
    <n v="6327.25"/>
    <n v="2530.9"/>
    <n v="28"/>
    <n v="7594.6600000000035"/>
  </r>
  <r>
    <x v="913"/>
    <d v="2021-01-18T00:00:00"/>
    <s v="B0914"/>
    <x v="3"/>
    <n v="28286"/>
    <n v="22.6"/>
    <x v="0"/>
    <x v="1"/>
    <x v="4"/>
    <x v="2"/>
    <n v="105414"/>
    <x v="1"/>
    <n v="0.38"/>
    <n v="0.69"/>
    <n v="4615.7299999999996"/>
    <n v="0"/>
    <n v="40994.202898550728"/>
    <n v="8784.5"/>
    <n v="3338.11"/>
    <n v="62"/>
    <n v="-23670.27"/>
  </r>
  <r>
    <x v="914"/>
    <d v="2023-02-08T00:00:00"/>
    <s v="B0915"/>
    <x v="7"/>
    <n v="7610"/>
    <n v="5.8"/>
    <x v="0"/>
    <x v="0"/>
    <x v="5"/>
    <x v="2"/>
    <n v="87535"/>
    <x v="0"/>
    <n v="0.19"/>
    <n v="0.73"/>
    <n v="8051.38"/>
    <n v="0"/>
    <n v="10424.657534246575"/>
    <n v="7294.583333333333"/>
    <n v="1385.9708333333333"/>
    <n v="37"/>
    <n v="441.38000000000011"/>
  </r>
  <r>
    <x v="915"/>
    <d v="2022-08-13T00:00:00"/>
    <s v="B0916"/>
    <x v="7"/>
    <n v="7430"/>
    <n v="13"/>
    <x v="0"/>
    <x v="0"/>
    <x v="3"/>
    <x v="4"/>
    <n v="72946"/>
    <x v="0"/>
    <n v="0.4"/>
    <n v="0.56000000000000005"/>
    <n v="8395.9"/>
    <n v="0"/>
    <n v="13267.857142857141"/>
    <n v="6078.833333333333"/>
    <n v="2431.5333333333333"/>
    <n v="43"/>
    <n v="965.89999999999964"/>
  </r>
  <r>
    <x v="916"/>
    <d v="2023-10-07T00:00:00"/>
    <s v="B0917"/>
    <x v="6"/>
    <n v="14828"/>
    <n v="20.2"/>
    <x v="1"/>
    <x v="0"/>
    <x v="0"/>
    <x v="3"/>
    <n v="86561"/>
    <x v="1"/>
    <n v="0.47"/>
    <n v="0.69"/>
    <n v="17823.259999999998"/>
    <n v="0"/>
    <n v="21489.855072463768"/>
    <n v="7213.416666666667"/>
    <n v="3390.3058333333333"/>
    <n v="29"/>
    <n v="2995.2599999999984"/>
  </r>
  <r>
    <x v="917"/>
    <d v="2021-07-13T00:00:00"/>
    <s v="B0918"/>
    <x v="8"/>
    <n v="32497"/>
    <n v="14.1"/>
    <x v="1"/>
    <x v="1"/>
    <x v="4"/>
    <x v="0"/>
    <n v="40377"/>
    <x v="0"/>
    <n v="0.14000000000000001"/>
    <n v="0.65"/>
    <n v="11783.49"/>
    <n v="0"/>
    <n v="49995.384615384617"/>
    <n v="3364.75"/>
    <n v="471.06500000000005"/>
    <n v="56"/>
    <n v="-20713.510000000002"/>
  </r>
  <r>
    <x v="918"/>
    <d v="2022-05-17T00:00:00"/>
    <s v="B0919"/>
    <x v="7"/>
    <n v="37618"/>
    <n v="10.3"/>
    <x v="1"/>
    <x v="0"/>
    <x v="4"/>
    <x v="0"/>
    <n v="83592"/>
    <x v="1"/>
    <n v="0.19"/>
    <n v="0.57999999999999996"/>
    <n v="41492.65"/>
    <n v="0"/>
    <n v="64858.620689655174"/>
    <n v="6966"/>
    <n v="1323.54"/>
    <n v="46"/>
    <n v="3874.6500000000015"/>
  </r>
  <r>
    <x v="919"/>
    <d v="2023-09-15T00:00:00"/>
    <s v="B0920"/>
    <x v="8"/>
    <n v="27526"/>
    <n v="9.4"/>
    <x v="1"/>
    <x v="0"/>
    <x v="5"/>
    <x v="2"/>
    <n v="37347"/>
    <x v="0"/>
    <n v="0.4"/>
    <n v="0.5"/>
    <n v="30113.439999999999"/>
    <n v="0"/>
    <n v="55052"/>
    <n v="3112.25"/>
    <n v="1244.9000000000001"/>
    <n v="30"/>
    <n v="2587.4399999999987"/>
  </r>
  <r>
    <x v="920"/>
    <d v="2021-04-24T00:00:00"/>
    <s v="B0921"/>
    <x v="2"/>
    <n v="31158"/>
    <n v="7.6"/>
    <x v="1"/>
    <x v="0"/>
    <x v="0"/>
    <x v="1"/>
    <n v="63776"/>
    <x v="2"/>
    <n v="0.21"/>
    <n v="0.71"/>
    <n v="33526.01"/>
    <n v="0"/>
    <n v="43884.507042253521"/>
    <n v="5314.666666666667"/>
    <n v="1116.08"/>
    <n v="58"/>
    <n v="2368.010000000002"/>
  </r>
  <r>
    <x v="921"/>
    <d v="2023-08-05T00:00:00"/>
    <s v="B0922"/>
    <x v="9"/>
    <n v="26032"/>
    <n v="22.1"/>
    <x v="0"/>
    <x v="0"/>
    <x v="0"/>
    <x v="1"/>
    <n v="33783"/>
    <x v="2"/>
    <n v="0.35"/>
    <n v="0.81"/>
    <n v="31785.07"/>
    <n v="0"/>
    <n v="32138.271604938269"/>
    <n v="2815.25"/>
    <n v="985.33749999999998"/>
    <n v="31"/>
    <n v="5753.07"/>
  </r>
  <r>
    <x v="922"/>
    <d v="2023-04-11T00:00:00"/>
    <s v="B0923"/>
    <x v="4"/>
    <n v="38846"/>
    <n v="16.5"/>
    <x v="1"/>
    <x v="0"/>
    <x v="4"/>
    <x v="3"/>
    <n v="85798"/>
    <x v="0"/>
    <n v="0.13"/>
    <n v="0.6"/>
    <n v="45255.59"/>
    <n v="0"/>
    <n v="64743.333333333336"/>
    <n v="7149.833333333333"/>
    <n v="929.47833333333335"/>
    <n v="35"/>
    <n v="6409.5899999999965"/>
  </r>
  <r>
    <x v="923"/>
    <d v="2023-07-14T00:00:00"/>
    <s v="B0924"/>
    <x v="7"/>
    <n v="30794"/>
    <n v="6.5"/>
    <x v="1"/>
    <x v="1"/>
    <x v="2"/>
    <x v="1"/>
    <n v="34298"/>
    <x v="2"/>
    <n v="0.28000000000000003"/>
    <n v="0.56000000000000005"/>
    <n v="12202.69"/>
    <n v="0"/>
    <n v="54989.28571428571"/>
    <n v="2858.1666666666665"/>
    <n v="800.28666666666675"/>
    <n v="32"/>
    <n v="-18591.309999999998"/>
  </r>
  <r>
    <x v="924"/>
    <d v="2021-02-24T00:00:00"/>
    <s v="B0925"/>
    <x v="0"/>
    <n v="6448"/>
    <n v="12.7"/>
    <x v="1"/>
    <x v="1"/>
    <x v="1"/>
    <x v="0"/>
    <n v="100204"/>
    <x v="2"/>
    <n v="0.4"/>
    <n v="0.9"/>
    <n v="1032.68"/>
    <n v="0"/>
    <n v="7164.4444444444443"/>
    <n v="8350.3333333333339"/>
    <n v="3340.1333333333337"/>
    <n v="60"/>
    <n v="-5415.32"/>
  </r>
  <r>
    <x v="925"/>
    <d v="2023-03-11T00:00:00"/>
    <s v="B0926"/>
    <x v="8"/>
    <n v="29861"/>
    <n v="12.4"/>
    <x v="0"/>
    <x v="0"/>
    <x v="1"/>
    <x v="1"/>
    <n v="116207"/>
    <x v="2"/>
    <n v="0.37"/>
    <n v="0.62"/>
    <n v="33563.760000000002"/>
    <n v="0"/>
    <n v="48162.903225806454"/>
    <n v="9683.9166666666661"/>
    <n v="3583.0491666666662"/>
    <n v="36"/>
    <n v="3702.760000000002"/>
  </r>
  <r>
    <x v="926"/>
    <d v="2023-02-17T00:00:00"/>
    <s v="B0927"/>
    <x v="6"/>
    <n v="29141"/>
    <n v="8.6"/>
    <x v="0"/>
    <x v="3"/>
    <x v="6"/>
    <x v="3"/>
    <n v="130356"/>
    <x v="1"/>
    <n v="0.43"/>
    <n v="0.6"/>
    <n v="3346.38"/>
    <n v="13855.54"/>
    <n v="48568.333333333336"/>
    <n v="10863"/>
    <n v="4671.09"/>
    <n v="37"/>
    <n v="-11939.079999999998"/>
  </r>
  <r>
    <x v="927"/>
    <d v="2021-06-11T00:00:00"/>
    <s v="B0928"/>
    <x v="3"/>
    <n v="10074"/>
    <n v="13.7"/>
    <x v="1"/>
    <x v="1"/>
    <x v="0"/>
    <x v="0"/>
    <n v="85161"/>
    <x v="0"/>
    <n v="0.45"/>
    <n v="0.89"/>
    <n v="4351.3500000000004"/>
    <n v="0"/>
    <n v="11319.101123595505"/>
    <n v="7096.75"/>
    <n v="3193.5374999999999"/>
    <n v="57"/>
    <n v="-5722.65"/>
  </r>
  <r>
    <x v="928"/>
    <d v="2021-03-28T00:00:00"/>
    <s v="B0929"/>
    <x v="6"/>
    <n v="7406"/>
    <n v="11.6"/>
    <x v="0"/>
    <x v="0"/>
    <x v="6"/>
    <x v="1"/>
    <n v="90652"/>
    <x v="0"/>
    <n v="0.41"/>
    <n v="0.87"/>
    <n v="8265.1"/>
    <n v="0"/>
    <n v="8512.6436781609191"/>
    <n v="7554.333333333333"/>
    <n v="3097.2766666666662"/>
    <n v="59"/>
    <n v="859.10000000000036"/>
  </r>
  <r>
    <x v="929"/>
    <d v="2021-02-24T00:00:00"/>
    <s v="B0930"/>
    <x v="7"/>
    <n v="32823"/>
    <n v="11.8"/>
    <x v="1"/>
    <x v="1"/>
    <x v="5"/>
    <x v="0"/>
    <n v="64484"/>
    <x v="0"/>
    <n v="0.37"/>
    <n v="0.7"/>
    <n v="1788.26"/>
    <n v="0"/>
    <n v="46890"/>
    <n v="5373.666666666667"/>
    <n v="1988.2566666666667"/>
    <n v="60"/>
    <n v="-31034.74"/>
  </r>
  <r>
    <x v="930"/>
    <d v="2023-10-29T00:00:00"/>
    <s v="B0931"/>
    <x v="1"/>
    <n v="24291"/>
    <n v="19.8"/>
    <x v="1"/>
    <x v="2"/>
    <x v="4"/>
    <x v="2"/>
    <n v="128614"/>
    <x v="2"/>
    <n v="0.11"/>
    <n v="0.72"/>
    <n v="0"/>
    <n v="0"/>
    <n v="33737.5"/>
    <n v="10717.833333333334"/>
    <n v="1178.9616666666668"/>
    <n v="28"/>
    <n v="-24291"/>
  </r>
  <r>
    <x v="931"/>
    <d v="2023-04-13T00:00:00"/>
    <s v="B0932"/>
    <x v="4"/>
    <n v="33003"/>
    <n v="9.5"/>
    <x v="0"/>
    <x v="0"/>
    <x v="6"/>
    <x v="2"/>
    <n v="142695"/>
    <x v="1"/>
    <n v="0.31"/>
    <n v="0.6"/>
    <n v="36138.28"/>
    <n v="0"/>
    <n v="55005"/>
    <n v="11891.25"/>
    <n v="3686.2874999999999"/>
    <n v="35"/>
    <n v="3135.2799999999988"/>
  </r>
  <r>
    <x v="932"/>
    <d v="2021-11-09T00:00:00"/>
    <s v="B0933"/>
    <x v="9"/>
    <n v="35406"/>
    <n v="17.8"/>
    <x v="0"/>
    <x v="0"/>
    <x v="6"/>
    <x v="2"/>
    <n v="50922"/>
    <x v="0"/>
    <n v="0.12"/>
    <n v="0.54"/>
    <n v="41708.269999999997"/>
    <n v="0"/>
    <n v="65566.666666666657"/>
    <n v="4243.5"/>
    <n v="509.21999999999997"/>
    <n v="52"/>
    <n v="6302.2699999999968"/>
  </r>
  <r>
    <x v="933"/>
    <d v="2023-01-29T00:00:00"/>
    <s v="B0934"/>
    <x v="0"/>
    <n v="24312"/>
    <n v="16.399999999999999"/>
    <x v="1"/>
    <x v="3"/>
    <x v="6"/>
    <x v="1"/>
    <n v="64028"/>
    <x v="2"/>
    <n v="0.42"/>
    <n v="0.76"/>
    <n v="9266.1200000000008"/>
    <n v="2516.62"/>
    <n v="31989.473684210527"/>
    <n v="5335.666666666667"/>
    <n v="2240.98"/>
    <n v="37"/>
    <n v="-12529.259999999998"/>
  </r>
  <r>
    <x v="934"/>
    <d v="2022-03-19T00:00:00"/>
    <s v="B0935"/>
    <x v="1"/>
    <n v="2382"/>
    <n v="16.399999999999999"/>
    <x v="1"/>
    <x v="1"/>
    <x v="0"/>
    <x v="3"/>
    <n v="141461"/>
    <x v="1"/>
    <n v="0.23"/>
    <n v="0.54"/>
    <n v="791.85"/>
    <n v="0"/>
    <n v="4411.1111111111104"/>
    <n v="11788.416666666666"/>
    <n v="2711.3358333333331"/>
    <n v="48"/>
    <n v="-1590.15"/>
  </r>
  <r>
    <x v="935"/>
    <d v="2021-11-24T00:00:00"/>
    <s v="B0936"/>
    <x v="6"/>
    <n v="35171"/>
    <n v="18.3"/>
    <x v="0"/>
    <x v="0"/>
    <x v="3"/>
    <x v="0"/>
    <n v="50316"/>
    <x v="1"/>
    <n v="0.32"/>
    <n v="0.7"/>
    <n v="41607.29"/>
    <n v="0"/>
    <n v="50244.285714285717"/>
    <n v="4193"/>
    <n v="1341.76"/>
    <n v="51"/>
    <n v="6436.2900000000009"/>
  </r>
  <r>
    <x v="936"/>
    <d v="2023-12-14T00:00:00"/>
    <s v="B0937"/>
    <x v="8"/>
    <n v="4292"/>
    <n v="16"/>
    <x v="1"/>
    <x v="1"/>
    <x v="2"/>
    <x v="4"/>
    <n v="106996"/>
    <x v="0"/>
    <n v="0.21"/>
    <n v="0.92"/>
    <n v="836.21"/>
    <n v="0"/>
    <n v="4665.217391304348"/>
    <n v="8916.3333333333339"/>
    <n v="1872.43"/>
    <n v="27"/>
    <n v="-3455.79"/>
  </r>
  <r>
    <x v="937"/>
    <d v="2023-01-31T00:00:00"/>
    <s v="B0938"/>
    <x v="8"/>
    <n v="34187"/>
    <n v="22.6"/>
    <x v="0"/>
    <x v="0"/>
    <x v="4"/>
    <x v="2"/>
    <n v="46968"/>
    <x v="0"/>
    <n v="0.41"/>
    <n v="0.93"/>
    <n v="41913.26"/>
    <n v="0"/>
    <n v="36760.215053763437"/>
    <n v="3914"/>
    <n v="1604.74"/>
    <n v="37"/>
    <n v="7726.260000000002"/>
  </r>
  <r>
    <x v="938"/>
    <d v="2022-08-02T00:00:00"/>
    <s v="B0939"/>
    <x v="1"/>
    <n v="13411"/>
    <n v="18.5"/>
    <x v="1"/>
    <x v="3"/>
    <x v="0"/>
    <x v="2"/>
    <n v="60266"/>
    <x v="2"/>
    <n v="0.45"/>
    <n v="0.61"/>
    <n v="2332.75"/>
    <n v="2064.9299999999998"/>
    <n v="21985.245901639344"/>
    <n v="5022.166666666667"/>
    <n v="2259.9750000000004"/>
    <n v="43"/>
    <n v="-9013.32"/>
  </r>
  <r>
    <x v="939"/>
    <d v="2023-12-11T00:00:00"/>
    <s v="B0940"/>
    <x v="8"/>
    <n v="38285"/>
    <n v="15.9"/>
    <x v="0"/>
    <x v="0"/>
    <x v="0"/>
    <x v="4"/>
    <n v="125745"/>
    <x v="0"/>
    <n v="0.26"/>
    <n v="0.78"/>
    <n v="44372.32"/>
    <n v="0"/>
    <n v="49083.333333333328"/>
    <n v="10478.75"/>
    <n v="2724.4749999999999"/>
    <n v="27"/>
    <n v="6087.32"/>
  </r>
  <r>
    <x v="940"/>
    <d v="2023-10-04T00:00:00"/>
    <s v="B0941"/>
    <x v="6"/>
    <n v="16422"/>
    <n v="21.6"/>
    <x v="1"/>
    <x v="0"/>
    <x v="3"/>
    <x v="4"/>
    <n v="54000"/>
    <x v="2"/>
    <n v="0.45"/>
    <n v="0.71"/>
    <n v="19969.150000000001"/>
    <n v="0"/>
    <n v="23129.577464788734"/>
    <n v="4500"/>
    <n v="2025"/>
    <n v="29"/>
    <n v="3547.1500000000015"/>
  </r>
  <r>
    <x v="941"/>
    <d v="2021-04-06T00:00:00"/>
    <s v="B0942"/>
    <x v="1"/>
    <n v="33371"/>
    <n v="17.100000000000001"/>
    <x v="1"/>
    <x v="1"/>
    <x v="5"/>
    <x v="1"/>
    <n v="44011"/>
    <x v="1"/>
    <n v="0.21"/>
    <n v="0.89"/>
    <n v="1803.79"/>
    <n v="0"/>
    <n v="37495.505617977527"/>
    <n v="3667.5833333333335"/>
    <n v="770.1925"/>
    <n v="59"/>
    <n v="-31567.21"/>
  </r>
  <r>
    <x v="942"/>
    <d v="2023-03-25T00:00:00"/>
    <s v="B0943"/>
    <x v="6"/>
    <n v="6693"/>
    <n v="10.8"/>
    <x v="0"/>
    <x v="0"/>
    <x v="4"/>
    <x v="0"/>
    <n v="32866"/>
    <x v="1"/>
    <n v="0.31"/>
    <n v="0.62"/>
    <n v="7415.84"/>
    <n v="0"/>
    <n v="10795.161290322581"/>
    <n v="2738.8333333333335"/>
    <n v="849.03833333333341"/>
    <n v="35"/>
    <n v="722.84000000000015"/>
  </r>
  <r>
    <x v="943"/>
    <d v="2022-05-06T00:00:00"/>
    <s v="B0944"/>
    <x v="0"/>
    <n v="34535"/>
    <n v="9.1"/>
    <x v="1"/>
    <x v="0"/>
    <x v="4"/>
    <x v="2"/>
    <n v="142669"/>
    <x v="1"/>
    <n v="0.44"/>
    <n v="0.5"/>
    <n v="37677.68"/>
    <n v="0"/>
    <n v="69070"/>
    <n v="11889.083333333334"/>
    <n v="5231.1966666666667"/>
    <n v="46"/>
    <n v="3142.6800000000003"/>
  </r>
  <r>
    <x v="944"/>
    <d v="2022-03-28T00:00:00"/>
    <s v="B0945"/>
    <x v="4"/>
    <n v="15818"/>
    <n v="8"/>
    <x v="1"/>
    <x v="1"/>
    <x v="4"/>
    <x v="3"/>
    <n v="35898"/>
    <x v="1"/>
    <n v="0.23"/>
    <n v="0.56999999999999995"/>
    <n v="2467.0100000000002"/>
    <n v="0"/>
    <n v="27750.877192982458"/>
    <n v="2991.5"/>
    <n v="688.04500000000007"/>
    <n v="47"/>
    <n v="-13350.99"/>
  </r>
  <r>
    <x v="945"/>
    <d v="2021-06-14T00:00:00"/>
    <s v="B0946"/>
    <x v="3"/>
    <n v="32238"/>
    <n v="23"/>
    <x v="0"/>
    <x v="1"/>
    <x v="1"/>
    <x v="1"/>
    <n v="48395"/>
    <x v="0"/>
    <n v="0.48"/>
    <n v="0.66"/>
    <n v="3609.94"/>
    <n v="0"/>
    <n v="48845.454545454544"/>
    <n v="4032.9166666666665"/>
    <n v="1935.8"/>
    <n v="57"/>
    <n v="-28628.06"/>
  </r>
  <r>
    <x v="946"/>
    <d v="2021-07-01T00:00:00"/>
    <s v="B0947"/>
    <x v="0"/>
    <n v="31874"/>
    <n v="19.2"/>
    <x v="1"/>
    <x v="0"/>
    <x v="4"/>
    <x v="1"/>
    <n v="69019"/>
    <x v="0"/>
    <n v="0.15"/>
    <n v="0.64"/>
    <n v="37993.81"/>
    <n v="0"/>
    <n v="49803.125"/>
    <n v="5751.583333333333"/>
    <n v="862.73749999999995"/>
    <n v="56"/>
    <n v="6119.8099999999977"/>
  </r>
  <r>
    <x v="947"/>
    <d v="2022-04-14T00:00:00"/>
    <s v="B0948"/>
    <x v="0"/>
    <n v="27715"/>
    <n v="23.7"/>
    <x v="1"/>
    <x v="1"/>
    <x v="3"/>
    <x v="3"/>
    <n v="133243"/>
    <x v="2"/>
    <n v="0.11"/>
    <n v="0.86"/>
    <n v="9020.5300000000007"/>
    <n v="0"/>
    <n v="32226.744186046511"/>
    <n v="11103.583333333334"/>
    <n v="1221.3941666666667"/>
    <n v="47"/>
    <n v="-18694.47"/>
  </r>
  <r>
    <x v="948"/>
    <d v="2023-06-29T00:00:00"/>
    <s v="B0949"/>
    <x v="8"/>
    <n v="28605"/>
    <n v="17.100000000000001"/>
    <x v="1"/>
    <x v="0"/>
    <x v="1"/>
    <x v="3"/>
    <n v="34006"/>
    <x v="2"/>
    <n v="0.46"/>
    <n v="0.81"/>
    <n v="33496.46"/>
    <n v="0"/>
    <n v="35314.81481481481"/>
    <n v="2833.8333333333335"/>
    <n v="1303.5633333333335"/>
    <n v="32"/>
    <n v="4891.4599999999991"/>
  </r>
  <r>
    <x v="949"/>
    <d v="2023-01-05T00:00:00"/>
    <s v="B0950"/>
    <x v="7"/>
    <n v="35317"/>
    <n v="14.5"/>
    <x v="0"/>
    <x v="0"/>
    <x v="6"/>
    <x v="3"/>
    <n v="64393"/>
    <x v="2"/>
    <n v="0.13"/>
    <n v="0.63"/>
    <n v="40437.97"/>
    <n v="0"/>
    <n v="56058.730158730155"/>
    <n v="5366.083333333333"/>
    <n v="697.59083333333331"/>
    <n v="38"/>
    <n v="5120.9700000000012"/>
  </r>
  <r>
    <x v="950"/>
    <d v="2023-04-03T00:00:00"/>
    <s v="B0951"/>
    <x v="5"/>
    <n v="32174"/>
    <n v="6.2"/>
    <x v="0"/>
    <x v="0"/>
    <x v="4"/>
    <x v="4"/>
    <n v="40956"/>
    <x v="2"/>
    <n v="0.5"/>
    <n v="0.71"/>
    <n v="34168.79"/>
    <n v="0"/>
    <n v="45315.492957746479"/>
    <n v="3413"/>
    <n v="1706.5"/>
    <n v="35"/>
    <n v="1994.7900000000009"/>
  </r>
  <r>
    <x v="951"/>
    <d v="2023-08-02T00:00:00"/>
    <s v="B0952"/>
    <x v="8"/>
    <n v="10956"/>
    <n v="18.399999999999999"/>
    <x v="0"/>
    <x v="0"/>
    <x v="0"/>
    <x v="2"/>
    <n v="80042"/>
    <x v="2"/>
    <n v="0.48"/>
    <n v="0.54"/>
    <n v="12971.9"/>
    <n v="0"/>
    <n v="20288.888888888887"/>
    <n v="6670.166666666667"/>
    <n v="3201.68"/>
    <n v="31"/>
    <n v="2015.8999999999996"/>
  </r>
  <r>
    <x v="952"/>
    <d v="2021-01-07T00:00:00"/>
    <s v="B0953"/>
    <x v="7"/>
    <n v="39908"/>
    <n v="16.600000000000001"/>
    <x v="1"/>
    <x v="1"/>
    <x v="5"/>
    <x v="4"/>
    <n v="126199"/>
    <x v="1"/>
    <n v="0.15"/>
    <n v="0.9"/>
    <n v="4986.33"/>
    <n v="0"/>
    <n v="44342.222222222219"/>
    <n v="10516.583333333334"/>
    <n v="1577.4875"/>
    <n v="62"/>
    <n v="-34921.67"/>
  </r>
  <r>
    <x v="953"/>
    <d v="2021-11-26T00:00:00"/>
    <s v="B0954"/>
    <x v="6"/>
    <n v="11837"/>
    <n v="24.8"/>
    <x v="1"/>
    <x v="0"/>
    <x v="4"/>
    <x v="2"/>
    <n v="36078"/>
    <x v="1"/>
    <n v="0.32"/>
    <n v="0.92"/>
    <n v="14772.58"/>
    <n v="0"/>
    <n v="12866.304347826086"/>
    <n v="3006.5"/>
    <n v="962.08"/>
    <n v="51"/>
    <n v="2935.58"/>
  </r>
  <r>
    <x v="954"/>
    <d v="2023-02-14T00:00:00"/>
    <s v="B0955"/>
    <x v="5"/>
    <n v="4716"/>
    <n v="9.8000000000000007"/>
    <x v="1"/>
    <x v="1"/>
    <x v="0"/>
    <x v="4"/>
    <n v="59631"/>
    <x v="1"/>
    <n v="0.17"/>
    <n v="0.94"/>
    <n v="1357.66"/>
    <n v="0"/>
    <n v="5017.0212765957449"/>
    <n v="4969.25"/>
    <n v="844.77250000000004"/>
    <n v="37"/>
    <n v="-3358.34"/>
  </r>
  <r>
    <x v="955"/>
    <d v="2021-05-31T00:00:00"/>
    <s v="B0956"/>
    <x v="8"/>
    <n v="5481"/>
    <n v="15.6"/>
    <x v="1"/>
    <x v="0"/>
    <x v="2"/>
    <x v="0"/>
    <n v="125676"/>
    <x v="2"/>
    <n v="0.27"/>
    <n v="0.89"/>
    <n v="6336.04"/>
    <n v="0"/>
    <n v="6158.4269662921351"/>
    <n v="10473"/>
    <n v="2827.71"/>
    <n v="57"/>
    <n v="855.04"/>
  </r>
  <r>
    <x v="956"/>
    <d v="2021-05-27T00:00:00"/>
    <s v="B0957"/>
    <x v="5"/>
    <n v="25282"/>
    <n v="18"/>
    <x v="0"/>
    <x v="2"/>
    <x v="4"/>
    <x v="2"/>
    <n v="92901"/>
    <x v="1"/>
    <n v="0.12"/>
    <n v="0.57999999999999996"/>
    <n v="0"/>
    <n v="0"/>
    <n v="43589.655172413797"/>
    <n v="7741.75"/>
    <n v="929.01"/>
    <n v="57"/>
    <n v="-25282"/>
  </r>
  <r>
    <x v="957"/>
    <d v="2023-07-04T00:00:00"/>
    <s v="B0958"/>
    <x v="5"/>
    <n v="7548"/>
    <n v="17.899999999999999"/>
    <x v="1"/>
    <x v="1"/>
    <x v="0"/>
    <x v="1"/>
    <n v="137227"/>
    <x v="1"/>
    <n v="0.19"/>
    <n v="0.52"/>
    <n v="2381.79"/>
    <n v="0"/>
    <n v="14515.384615384615"/>
    <n v="11435.583333333334"/>
    <n v="2172.7608333333333"/>
    <n v="32"/>
    <n v="-5166.21"/>
  </r>
  <r>
    <x v="958"/>
    <d v="2022-12-01T00:00:00"/>
    <s v="B0959"/>
    <x v="2"/>
    <n v="38605"/>
    <n v="16.2"/>
    <x v="1"/>
    <x v="1"/>
    <x v="0"/>
    <x v="2"/>
    <n v="99497"/>
    <x v="1"/>
    <n v="0.25"/>
    <n v="0.76"/>
    <n v="7107.9"/>
    <n v="0"/>
    <n v="50796.052631578947"/>
    <n v="8291.4166666666661"/>
    <n v="2072.8541666666665"/>
    <n v="39"/>
    <n v="-31497.1"/>
  </r>
  <r>
    <x v="959"/>
    <d v="2021-03-23T00:00:00"/>
    <s v="B0960"/>
    <x v="4"/>
    <n v="8758"/>
    <n v="20.5"/>
    <x v="1"/>
    <x v="0"/>
    <x v="4"/>
    <x v="2"/>
    <n v="124813"/>
    <x v="1"/>
    <n v="0.28000000000000003"/>
    <n v="0.91"/>
    <n v="10553.39"/>
    <n v="0"/>
    <n v="9624.1758241758234"/>
    <n v="10401.083333333334"/>
    <n v="2912.3033333333337"/>
    <n v="59"/>
    <n v="1795.3899999999994"/>
  </r>
  <r>
    <x v="960"/>
    <d v="2022-05-29T00:00:00"/>
    <s v="B0961"/>
    <x v="2"/>
    <n v="24177"/>
    <n v="9.1"/>
    <x v="0"/>
    <x v="0"/>
    <x v="3"/>
    <x v="2"/>
    <n v="147192"/>
    <x v="0"/>
    <n v="0.49"/>
    <n v="0.57999999999999996"/>
    <n v="26377.11"/>
    <n v="0"/>
    <n v="41684.482758620696"/>
    <n v="12266"/>
    <n v="6010.34"/>
    <n v="45"/>
    <n v="2200.1100000000006"/>
  </r>
  <r>
    <x v="961"/>
    <d v="2023-03-26T00:00:00"/>
    <s v="B0962"/>
    <x v="7"/>
    <n v="25022"/>
    <n v="19.5"/>
    <x v="1"/>
    <x v="0"/>
    <x v="4"/>
    <x v="0"/>
    <n v="71574"/>
    <x v="2"/>
    <n v="0.42"/>
    <n v="0.5"/>
    <n v="29901.29"/>
    <n v="0"/>
    <n v="50044"/>
    <n v="5964.5"/>
    <n v="2505.0899999999997"/>
    <n v="35"/>
    <n v="4879.2900000000009"/>
  </r>
  <r>
    <x v="962"/>
    <d v="2022-12-10T00:00:00"/>
    <s v="B0963"/>
    <x v="9"/>
    <n v="6542"/>
    <n v="17.399999999999999"/>
    <x v="1"/>
    <x v="3"/>
    <x v="4"/>
    <x v="4"/>
    <n v="148494"/>
    <x v="2"/>
    <n v="0.39"/>
    <n v="0.86"/>
    <n v="723.02"/>
    <n v="1622.45"/>
    <n v="7606.9767441860467"/>
    <n v="12374.5"/>
    <n v="4826.0550000000003"/>
    <n v="39"/>
    <n v="-4196.53"/>
  </r>
  <r>
    <x v="963"/>
    <d v="2023-01-16T00:00:00"/>
    <s v="B0964"/>
    <x v="1"/>
    <n v="26476"/>
    <n v="22.9"/>
    <x v="1"/>
    <x v="0"/>
    <x v="1"/>
    <x v="1"/>
    <n v="61417"/>
    <x v="0"/>
    <n v="0.31"/>
    <n v="0.53"/>
    <n v="32539"/>
    <n v="0"/>
    <n v="49954.716981132071"/>
    <n v="5118.083333333333"/>
    <n v="1586.6058333333333"/>
    <n v="38"/>
    <n v="6063"/>
  </r>
  <r>
    <x v="964"/>
    <d v="2023-10-20T00:00:00"/>
    <s v="B0965"/>
    <x v="3"/>
    <n v="31784"/>
    <n v="21.9"/>
    <x v="1"/>
    <x v="1"/>
    <x v="4"/>
    <x v="4"/>
    <n v="118020"/>
    <x v="1"/>
    <n v="0.44"/>
    <n v="0.69"/>
    <n v="2122.0300000000002"/>
    <n v="0"/>
    <n v="46063.768115942032"/>
    <n v="9835"/>
    <n v="4327.3999999999996"/>
    <n v="28"/>
    <n v="-29661.97"/>
  </r>
  <r>
    <x v="965"/>
    <d v="2022-12-08T00:00:00"/>
    <s v="B0966"/>
    <x v="9"/>
    <n v="23740"/>
    <n v="11.3"/>
    <x v="1"/>
    <x v="1"/>
    <x v="0"/>
    <x v="4"/>
    <n v="113639"/>
    <x v="1"/>
    <n v="0.24"/>
    <n v="0.81"/>
    <n v="1468.47"/>
    <n v="0"/>
    <n v="29308.641975308641"/>
    <n v="9469.9166666666661"/>
    <n v="2272.7799999999997"/>
    <n v="39"/>
    <n v="-22271.53"/>
  </r>
  <r>
    <x v="966"/>
    <d v="2022-04-16T00:00:00"/>
    <s v="B0967"/>
    <x v="1"/>
    <n v="25817"/>
    <n v="10.5"/>
    <x v="0"/>
    <x v="0"/>
    <x v="0"/>
    <x v="3"/>
    <n v="95006"/>
    <x v="1"/>
    <n v="0.38"/>
    <n v="0.61"/>
    <n v="28527.78"/>
    <n v="0"/>
    <n v="42322.950819672129"/>
    <n v="7917.166666666667"/>
    <n v="3008.5233333333335"/>
    <n v="47"/>
    <n v="2710.7799999999988"/>
  </r>
  <r>
    <x v="967"/>
    <d v="2022-01-31T00:00:00"/>
    <s v="B0968"/>
    <x v="7"/>
    <n v="17052"/>
    <n v="24.6"/>
    <x v="1"/>
    <x v="1"/>
    <x v="4"/>
    <x v="0"/>
    <n v="124881"/>
    <x v="2"/>
    <n v="0.5"/>
    <n v="0.54"/>
    <n v="6524.2"/>
    <n v="0"/>
    <n v="31577.777777777777"/>
    <n v="10406.75"/>
    <n v="5203.375"/>
    <n v="49"/>
    <n v="-10527.8"/>
  </r>
  <r>
    <x v="968"/>
    <d v="2021-09-18T00:00:00"/>
    <s v="B0969"/>
    <x v="7"/>
    <n v="36153"/>
    <n v="15.5"/>
    <x v="1"/>
    <x v="1"/>
    <x v="0"/>
    <x v="3"/>
    <n v="141862"/>
    <x v="2"/>
    <n v="0.23"/>
    <n v="0.85"/>
    <n v="6981.3"/>
    <n v="0"/>
    <n v="42532.941176470587"/>
    <n v="11821.833333333334"/>
    <n v="2719.021666666667"/>
    <n v="54"/>
    <n v="-29171.7"/>
  </r>
  <r>
    <x v="969"/>
    <d v="2023-03-16T00:00:00"/>
    <s v="B0970"/>
    <x v="6"/>
    <n v="1671"/>
    <n v="23.1"/>
    <x v="1"/>
    <x v="1"/>
    <x v="0"/>
    <x v="0"/>
    <n v="69454"/>
    <x v="2"/>
    <n v="0.37"/>
    <n v="0.78"/>
    <n v="682.33"/>
    <n v="0"/>
    <n v="2142.3076923076924"/>
    <n v="5787.833333333333"/>
    <n v="2141.498333333333"/>
    <n v="36"/>
    <n v="-988.67"/>
  </r>
  <r>
    <x v="970"/>
    <d v="2023-07-23T00:00:00"/>
    <s v="B0971"/>
    <x v="3"/>
    <n v="1163"/>
    <n v="8.3000000000000007"/>
    <x v="1"/>
    <x v="0"/>
    <x v="6"/>
    <x v="4"/>
    <n v="31587"/>
    <x v="2"/>
    <n v="0.44"/>
    <n v="0.94"/>
    <n v="1259.53"/>
    <n v="0"/>
    <n v="1237.2340425531916"/>
    <n v="2632.25"/>
    <n v="1158.19"/>
    <n v="31"/>
    <n v="96.529999999999973"/>
  </r>
  <r>
    <x v="971"/>
    <d v="2023-06-24T00:00:00"/>
    <s v="B0972"/>
    <x v="4"/>
    <n v="5795"/>
    <n v="17.899999999999999"/>
    <x v="1"/>
    <x v="0"/>
    <x v="0"/>
    <x v="4"/>
    <n v="138107"/>
    <x v="2"/>
    <n v="0.47"/>
    <n v="0.65"/>
    <n v="6832.3"/>
    <n v="0"/>
    <n v="8915.3846153846152"/>
    <n v="11508.916666666666"/>
    <n v="5409.1908333333331"/>
    <n v="32"/>
    <n v="1037.3000000000002"/>
  </r>
  <r>
    <x v="972"/>
    <d v="2023-12-13T00:00:00"/>
    <s v="B0973"/>
    <x v="5"/>
    <n v="11634"/>
    <n v="21.2"/>
    <x v="1"/>
    <x v="0"/>
    <x v="1"/>
    <x v="0"/>
    <n v="145584"/>
    <x v="0"/>
    <n v="0.39"/>
    <n v="0.53"/>
    <n v="14100.41"/>
    <n v="0"/>
    <n v="21950.943396226416"/>
    <n v="12132"/>
    <n v="4731.4800000000005"/>
    <n v="27"/>
    <n v="2466.41"/>
  </r>
  <r>
    <x v="973"/>
    <d v="2023-07-29T00:00:00"/>
    <s v="B0974"/>
    <x v="2"/>
    <n v="5798"/>
    <n v="23.9"/>
    <x v="1"/>
    <x v="1"/>
    <x v="6"/>
    <x v="4"/>
    <n v="84710"/>
    <x v="2"/>
    <n v="0.21"/>
    <n v="0.83"/>
    <n v="1416.33"/>
    <n v="0"/>
    <n v="6985.5421686746995"/>
    <n v="7059.166666666667"/>
    <n v="1482.425"/>
    <n v="31"/>
    <n v="-4381.67"/>
  </r>
  <r>
    <x v="974"/>
    <d v="2023-05-04T00:00:00"/>
    <s v="B0975"/>
    <x v="2"/>
    <n v="23420"/>
    <n v="11.7"/>
    <x v="1"/>
    <x v="1"/>
    <x v="5"/>
    <x v="4"/>
    <n v="116567"/>
    <x v="1"/>
    <n v="0.23"/>
    <n v="0.73"/>
    <n v="5945.15"/>
    <n v="0"/>
    <n v="32082.191780821919"/>
    <n v="9713.9166666666661"/>
    <n v="2234.2008333333333"/>
    <n v="34"/>
    <n v="-17474.849999999999"/>
  </r>
  <r>
    <x v="975"/>
    <d v="2022-08-16T00:00:00"/>
    <s v="B0976"/>
    <x v="7"/>
    <n v="30300"/>
    <n v="19.5"/>
    <x v="1"/>
    <x v="0"/>
    <x v="4"/>
    <x v="1"/>
    <n v="121748"/>
    <x v="2"/>
    <n v="0.11"/>
    <n v="0.6"/>
    <n v="36208.5"/>
    <n v="0"/>
    <n v="50500"/>
    <n v="10145.666666666666"/>
    <n v="1116.0233333333333"/>
    <n v="43"/>
    <n v="5908.5"/>
  </r>
  <r>
    <x v="976"/>
    <d v="2022-12-15T00:00:00"/>
    <s v="B0977"/>
    <x v="2"/>
    <n v="25345"/>
    <n v="15.8"/>
    <x v="1"/>
    <x v="3"/>
    <x v="0"/>
    <x v="3"/>
    <n v="105886"/>
    <x v="0"/>
    <n v="0.4"/>
    <n v="0.85"/>
    <n v="6434.2"/>
    <n v="4640.18"/>
    <n v="29817.647058823532"/>
    <n v="8823.8333333333339"/>
    <n v="3529.5333333333338"/>
    <n v="39"/>
    <n v="-14270.619999999999"/>
  </r>
  <r>
    <x v="977"/>
    <d v="2022-09-24T00:00:00"/>
    <s v="B0978"/>
    <x v="7"/>
    <n v="11749"/>
    <n v="6.2"/>
    <x v="0"/>
    <x v="0"/>
    <x v="1"/>
    <x v="3"/>
    <n v="48816"/>
    <x v="1"/>
    <n v="0.12"/>
    <n v="0.59"/>
    <n v="12477.44"/>
    <n v="0"/>
    <n v="19913.5593220339"/>
    <n v="4068"/>
    <n v="488.15999999999997"/>
    <n v="41"/>
    <n v="728.44000000000051"/>
  </r>
  <r>
    <x v="978"/>
    <d v="2021-02-28T00:00:00"/>
    <s v="B0979"/>
    <x v="5"/>
    <n v="39595"/>
    <n v="18.8"/>
    <x v="0"/>
    <x v="3"/>
    <x v="5"/>
    <x v="3"/>
    <n v="115824"/>
    <x v="0"/>
    <n v="0.45"/>
    <n v="0.62"/>
    <n v="12429.24"/>
    <n v="11066.94"/>
    <n v="63862.903225806454"/>
    <n v="9652"/>
    <n v="4343.4000000000005"/>
    <n v="60"/>
    <n v="-16098.82"/>
  </r>
  <r>
    <x v="979"/>
    <d v="2021-05-08T00:00:00"/>
    <s v="B0980"/>
    <x v="7"/>
    <n v="26121"/>
    <n v="18.8"/>
    <x v="0"/>
    <x v="4"/>
    <x v="1"/>
    <x v="2"/>
    <n v="59432"/>
    <x v="1"/>
    <n v="0.15"/>
    <n v="0.54"/>
    <n v="0"/>
    <n v="0"/>
    <n v="48372.222222222219"/>
    <n v="4952.666666666667"/>
    <n v="742.9"/>
    <n v="58"/>
    <n v="-26121"/>
  </r>
  <r>
    <x v="980"/>
    <d v="2023-01-06T00:00:00"/>
    <s v="B0981"/>
    <x v="6"/>
    <n v="38487"/>
    <n v="23.6"/>
    <x v="0"/>
    <x v="3"/>
    <x v="0"/>
    <x v="1"/>
    <n v="139758"/>
    <x v="2"/>
    <n v="0.17"/>
    <n v="0.68"/>
    <n v="7006.59"/>
    <n v="17357.919999999998"/>
    <n v="56598.529411764699"/>
    <n v="11646.5"/>
    <n v="1979.9050000000002"/>
    <n v="38"/>
    <n v="-14122.490000000002"/>
  </r>
  <r>
    <x v="981"/>
    <d v="2022-12-22T00:00:00"/>
    <s v="B0982"/>
    <x v="4"/>
    <n v="29411"/>
    <n v="14.9"/>
    <x v="1"/>
    <x v="1"/>
    <x v="2"/>
    <x v="3"/>
    <n v="78617"/>
    <x v="0"/>
    <n v="0.28999999999999998"/>
    <n v="0.69"/>
    <n v="3079.75"/>
    <n v="0"/>
    <n v="42624.637681159424"/>
    <n v="6551.416666666667"/>
    <n v="1899.9108333333334"/>
    <n v="38"/>
    <n v="-26331.25"/>
  </r>
  <r>
    <x v="982"/>
    <d v="2022-06-10T00:00:00"/>
    <s v="B0983"/>
    <x v="0"/>
    <n v="34361"/>
    <n v="9.6"/>
    <x v="0"/>
    <x v="0"/>
    <x v="0"/>
    <x v="3"/>
    <n v="102373"/>
    <x v="1"/>
    <n v="0.4"/>
    <n v="0.73"/>
    <n v="37659.660000000003"/>
    <n v="0"/>
    <n v="47069.863013698632"/>
    <n v="8531.0833333333339"/>
    <n v="3412.4333333333338"/>
    <n v="45"/>
    <n v="3298.6600000000035"/>
  </r>
  <r>
    <x v="983"/>
    <d v="2022-06-05T00:00:00"/>
    <s v="B0984"/>
    <x v="8"/>
    <n v="22223"/>
    <n v="5.9"/>
    <x v="0"/>
    <x v="0"/>
    <x v="4"/>
    <x v="1"/>
    <n v="64217"/>
    <x v="2"/>
    <n v="0.16"/>
    <n v="0.82"/>
    <n v="23534.16"/>
    <n v="0"/>
    <n v="27101.219512195123"/>
    <n v="5351.416666666667"/>
    <n v="856.22666666666669"/>
    <n v="45"/>
    <n v="1311.1599999999999"/>
  </r>
  <r>
    <x v="984"/>
    <d v="2022-07-06T00:00:00"/>
    <s v="B0985"/>
    <x v="4"/>
    <n v="8394"/>
    <n v="13.3"/>
    <x v="1"/>
    <x v="1"/>
    <x v="4"/>
    <x v="4"/>
    <n v="50884"/>
    <x v="1"/>
    <n v="0.28000000000000003"/>
    <n v="0.91"/>
    <n v="2520.1"/>
    <n v="0"/>
    <n v="9224.1758241758234"/>
    <n v="4240.333333333333"/>
    <n v="1187.2933333333333"/>
    <n v="44"/>
    <n v="-5873.9"/>
  </r>
  <r>
    <x v="985"/>
    <d v="2021-08-25T00:00:00"/>
    <s v="B0986"/>
    <x v="4"/>
    <n v="15056"/>
    <n v="11"/>
    <x v="0"/>
    <x v="0"/>
    <x v="0"/>
    <x v="3"/>
    <n v="35454"/>
    <x v="0"/>
    <n v="0.28999999999999998"/>
    <n v="0.56000000000000005"/>
    <n v="16712.16"/>
    <n v="0"/>
    <n v="26885.714285714283"/>
    <n v="2954.5"/>
    <n v="856.80499999999995"/>
    <n v="54"/>
    <n v="1656.1599999999999"/>
  </r>
  <r>
    <x v="986"/>
    <d v="2022-05-09T00:00:00"/>
    <s v="B0987"/>
    <x v="9"/>
    <n v="29380"/>
    <n v="20.2"/>
    <x v="0"/>
    <x v="0"/>
    <x v="5"/>
    <x v="4"/>
    <n v="104960"/>
    <x v="0"/>
    <n v="0.18"/>
    <n v="0.52"/>
    <n v="35314.76"/>
    <n v="0"/>
    <n v="56500"/>
    <n v="8746.6666666666661"/>
    <n v="1574.3999999999999"/>
    <n v="46"/>
    <n v="5934.760000000002"/>
  </r>
  <r>
    <x v="987"/>
    <d v="2021-01-04T00:00:00"/>
    <s v="B0988"/>
    <x v="3"/>
    <n v="27035"/>
    <n v="12.1"/>
    <x v="1"/>
    <x v="1"/>
    <x v="1"/>
    <x v="3"/>
    <n v="132421"/>
    <x v="0"/>
    <n v="0.15"/>
    <n v="0.51"/>
    <n v="5329.68"/>
    <n v="0"/>
    <n v="53009.803921568629"/>
    <n v="11035.083333333334"/>
    <n v="1655.2625"/>
    <n v="62"/>
    <n v="-21705.32"/>
  </r>
  <r>
    <x v="988"/>
    <d v="2022-10-28T00:00:00"/>
    <s v="B0989"/>
    <x v="3"/>
    <n v="31620"/>
    <n v="24"/>
    <x v="1"/>
    <x v="0"/>
    <x v="6"/>
    <x v="0"/>
    <n v="137173"/>
    <x v="0"/>
    <n v="0.43"/>
    <n v="0.56000000000000005"/>
    <n v="39208.800000000003"/>
    <n v="0"/>
    <n v="56464.28571428571"/>
    <n v="11431.083333333334"/>
    <n v="4915.3658333333333"/>
    <n v="40"/>
    <n v="7588.8000000000029"/>
  </r>
  <r>
    <x v="989"/>
    <d v="2022-03-18T00:00:00"/>
    <s v="B0990"/>
    <x v="1"/>
    <n v="20877"/>
    <n v="24.2"/>
    <x v="1"/>
    <x v="3"/>
    <x v="6"/>
    <x v="2"/>
    <n v="73618"/>
    <x v="2"/>
    <n v="0.3"/>
    <n v="0.8"/>
    <n v="4859.07"/>
    <n v="9308.75"/>
    <n v="26096.25"/>
    <n v="6134.833333333333"/>
    <n v="1840.4499999999998"/>
    <n v="48"/>
    <n v="-6709.18"/>
  </r>
  <r>
    <x v="990"/>
    <d v="2021-01-29T00:00:00"/>
    <s v="B0991"/>
    <x v="8"/>
    <n v="31911"/>
    <n v="17.399999999999999"/>
    <x v="0"/>
    <x v="1"/>
    <x v="5"/>
    <x v="3"/>
    <n v="113948"/>
    <x v="1"/>
    <n v="0.11"/>
    <n v="0.83"/>
    <n v="10885.67"/>
    <n v="0"/>
    <n v="38446.987951807234"/>
    <n v="9495.6666666666661"/>
    <n v="1044.5233333333333"/>
    <n v="61"/>
    <n v="-21025.33"/>
  </r>
  <r>
    <x v="991"/>
    <d v="2022-09-02T00:00:00"/>
    <s v="B0992"/>
    <x v="5"/>
    <n v="33784"/>
    <n v="23.6"/>
    <x v="0"/>
    <x v="1"/>
    <x v="1"/>
    <x v="0"/>
    <n v="92671"/>
    <x v="2"/>
    <n v="0.42"/>
    <n v="0.85"/>
    <n v="9201.2900000000009"/>
    <n v="0"/>
    <n v="39745.882352941175"/>
    <n v="7722.583333333333"/>
    <n v="3243.4849999999997"/>
    <n v="42"/>
    <n v="-24582.71"/>
  </r>
  <r>
    <x v="992"/>
    <d v="2023-03-16T00:00:00"/>
    <s v="B0993"/>
    <x v="0"/>
    <n v="4191"/>
    <n v="20.2"/>
    <x v="1"/>
    <x v="1"/>
    <x v="0"/>
    <x v="1"/>
    <n v="77111"/>
    <x v="0"/>
    <n v="0.49"/>
    <n v="0.61"/>
    <n v="1379.36"/>
    <n v="0"/>
    <n v="6870.4918032786891"/>
    <n v="6425.916666666667"/>
    <n v="3148.6991666666668"/>
    <n v="36"/>
    <n v="-2811.6400000000003"/>
  </r>
  <r>
    <x v="993"/>
    <d v="2021-03-16T00:00:00"/>
    <s v="B0994"/>
    <x v="0"/>
    <n v="34160"/>
    <n v="15.9"/>
    <x v="1"/>
    <x v="3"/>
    <x v="5"/>
    <x v="0"/>
    <n v="69613"/>
    <x v="1"/>
    <n v="0.34"/>
    <n v="0.64"/>
    <n v="8992.9599999999991"/>
    <n v="10741.33"/>
    <n v="53375"/>
    <n v="5801.083333333333"/>
    <n v="1972.3683333333333"/>
    <n v="60"/>
    <n v="-14425.71"/>
  </r>
  <r>
    <x v="994"/>
    <d v="2023-04-18T00:00:00"/>
    <s v="B0995"/>
    <x v="3"/>
    <n v="26000"/>
    <n v="8.6"/>
    <x v="0"/>
    <x v="1"/>
    <x v="0"/>
    <x v="1"/>
    <n v="115678"/>
    <x v="0"/>
    <n v="0.3"/>
    <n v="0.72"/>
    <n v="9955.6200000000008"/>
    <n v="0"/>
    <n v="36111.111111111109"/>
    <n v="9639.8333333333339"/>
    <n v="2891.9500000000003"/>
    <n v="35"/>
    <n v="-16044.38"/>
  </r>
  <r>
    <x v="995"/>
    <d v="2021-05-08T00:00:00"/>
    <s v="B0996"/>
    <x v="4"/>
    <n v="4631"/>
    <n v="14.2"/>
    <x v="1"/>
    <x v="1"/>
    <x v="4"/>
    <x v="3"/>
    <n v="132928"/>
    <x v="2"/>
    <n v="0.45"/>
    <n v="0.53"/>
    <n v="1702.69"/>
    <n v="0"/>
    <n v="8737.7358490566039"/>
    <n v="11077.333333333334"/>
    <n v="4984.8"/>
    <n v="58"/>
    <n v="-2928.31"/>
  </r>
  <r>
    <x v="996"/>
    <d v="2021-02-11T00:00:00"/>
    <s v="B0997"/>
    <x v="6"/>
    <n v="7172"/>
    <n v="16.2"/>
    <x v="0"/>
    <x v="0"/>
    <x v="4"/>
    <x v="1"/>
    <n v="89993"/>
    <x v="2"/>
    <n v="0.48"/>
    <n v="0.78"/>
    <n v="8333.86"/>
    <n v="0"/>
    <n v="9194.8717948717949"/>
    <n v="7499.416666666667"/>
    <n v="3599.72"/>
    <n v="61"/>
    <n v="1161.8600000000006"/>
  </r>
  <r>
    <x v="997"/>
    <d v="2021-02-10T00:00:00"/>
    <s v="B0998"/>
    <x v="1"/>
    <n v="24561"/>
    <n v="22.3"/>
    <x v="1"/>
    <x v="3"/>
    <x v="4"/>
    <x v="0"/>
    <n v="38848"/>
    <x v="2"/>
    <n v="0.4"/>
    <n v="0.94"/>
    <n v="6392.17"/>
    <n v="9431.07"/>
    <n v="26128.723404255321"/>
    <n v="3237.3333333333335"/>
    <n v="1294.9333333333334"/>
    <n v="61"/>
    <n v="-8737.76"/>
  </r>
  <r>
    <x v="998"/>
    <d v="2023-07-23T00:00:00"/>
    <s v="B0999"/>
    <x v="7"/>
    <n v="25817"/>
    <n v="14.6"/>
    <x v="1"/>
    <x v="1"/>
    <x v="5"/>
    <x v="2"/>
    <n v="144853"/>
    <x v="1"/>
    <n v="0.28000000000000003"/>
    <n v="0.66"/>
    <n v="9178.11"/>
    <n v="0"/>
    <n v="39116.666666666664"/>
    <n v="12071.083333333334"/>
    <n v="3379.9033333333336"/>
    <n v="31"/>
    <n v="-16638.89"/>
  </r>
  <r>
    <x v="999"/>
    <d v="2021-02-03T00:00:00"/>
    <s v="B1000"/>
    <x v="1"/>
    <n v="21281"/>
    <n v="23"/>
    <x v="0"/>
    <x v="0"/>
    <x v="2"/>
    <x v="4"/>
    <n v="108672"/>
    <x v="1"/>
    <n v="0.34"/>
    <n v="0.84"/>
    <n v="26175.63"/>
    <n v="0"/>
    <n v="25334.523809523809"/>
    <n v="9056"/>
    <n v="3079.0400000000004"/>
    <n v="61"/>
    <n v="4894.63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E5B74F-8C1A-4018-B44C-4931601E20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Loan grade">
  <location ref="F3:G11" firstHeaderRow="1" firstDataRow="1" firstDataCol="1"/>
  <pivotFields count="2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showAll="0"/>
    <pivotField showAll="0"/>
    <pivotField showAll="0"/>
    <pivotField showAll="0"/>
    <pivotField axis="axisRow"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Average of Loan Amount" fld="4" subtotal="average" baseField="8" baseItem="0" numFmtId="2"/>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2"/>
          </reference>
        </references>
      </pivotArea>
    </chartFormat>
    <chartFormat chart="7" format="4">
      <pivotArea type="data" outline="0" fieldPosition="0">
        <references count="2">
          <reference field="4294967294" count="1" selected="0">
            <x v="0"/>
          </reference>
          <reference field="8" count="1" selected="0">
            <x v="3"/>
          </reference>
        </references>
      </pivotArea>
    </chartFormat>
    <chartFormat chart="7" format="5">
      <pivotArea type="data" outline="0" fieldPosition="0">
        <references count="2">
          <reference field="4294967294" count="1" selected="0">
            <x v="0"/>
          </reference>
          <reference field="8" count="1" selected="0">
            <x v="4"/>
          </reference>
        </references>
      </pivotArea>
    </chartFormat>
    <chartFormat chart="7" format="6">
      <pivotArea type="data" outline="0" fieldPosition="0">
        <references count="2">
          <reference field="4294967294" count="1" selected="0">
            <x v="0"/>
          </reference>
          <reference field="8" count="1" selected="0">
            <x v="5"/>
          </reference>
        </references>
      </pivotArea>
    </chartFormat>
    <chartFormat chart="7" format="7">
      <pivotArea type="data" outline="0" fieldPosition="0">
        <references count="2">
          <reference field="4294967294" count="1" selected="0">
            <x v="0"/>
          </reference>
          <reference field="8" count="1" selected="0">
            <x v="6"/>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8" count="1" selected="0">
            <x v="0"/>
          </reference>
        </references>
      </pivotArea>
    </chartFormat>
    <chartFormat chart="12" format="18">
      <pivotArea type="data" outline="0" fieldPosition="0">
        <references count="2">
          <reference field="4294967294" count="1" selected="0">
            <x v="0"/>
          </reference>
          <reference field="8" count="1" selected="0">
            <x v="1"/>
          </reference>
        </references>
      </pivotArea>
    </chartFormat>
    <chartFormat chart="12" format="19">
      <pivotArea type="data" outline="0" fieldPosition="0">
        <references count="2">
          <reference field="4294967294" count="1" selected="0">
            <x v="0"/>
          </reference>
          <reference field="8" count="1" selected="0">
            <x v="2"/>
          </reference>
        </references>
      </pivotArea>
    </chartFormat>
    <chartFormat chart="12" format="20">
      <pivotArea type="data" outline="0" fieldPosition="0">
        <references count="2">
          <reference field="4294967294" count="1" selected="0">
            <x v="0"/>
          </reference>
          <reference field="8" count="1" selected="0">
            <x v="3"/>
          </reference>
        </references>
      </pivotArea>
    </chartFormat>
    <chartFormat chart="12" format="21">
      <pivotArea type="data" outline="0" fieldPosition="0">
        <references count="2">
          <reference field="4294967294" count="1" selected="0">
            <x v="0"/>
          </reference>
          <reference field="8" count="1" selected="0">
            <x v="4"/>
          </reference>
        </references>
      </pivotArea>
    </chartFormat>
    <chartFormat chart="12" format="22">
      <pivotArea type="data" outline="0" fieldPosition="0">
        <references count="2">
          <reference field="4294967294" count="1" selected="0">
            <x v="0"/>
          </reference>
          <reference field="8" count="1" selected="0">
            <x v="5"/>
          </reference>
        </references>
      </pivotArea>
    </chartFormat>
    <chartFormat chart="12"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67ADB-A129-4DFA-950A-C6A8A2523D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Loan stutus">
  <location ref="A3:C9" firstHeaderRow="0" firstDataRow="1" firstDataCol="1"/>
  <pivotFields count="2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showAll="0"/>
    <pivotField showAll="0"/>
    <pivotField showAll="0"/>
    <pivotField axis="axisRow" showAll="0">
      <items count="6">
        <item x="3"/>
        <item x="1"/>
        <item x="0"/>
        <item x="4"/>
        <item x="2"/>
        <item t="default"/>
      </items>
    </pivotField>
    <pivotField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Fields count="1">
    <field x="-2"/>
  </colFields>
  <colItems count="2">
    <i>
      <x/>
    </i>
    <i i="1">
      <x v="1"/>
    </i>
  </colItems>
  <dataFields count="2">
    <dataField name="Sum of Loan Amount" fld="4" baseField="7" baseItem="2" numFmtId="2"/>
    <dataField name="Count of Loan ID" fld="0" subtotal="count" baseField="7" baseItem="2"/>
  </dataFields>
  <chartFormats count="6">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0838C2-1D95-4492-AAAE-0ED284B775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Loan intent">
  <location ref="M4:N10" firstHeaderRow="1" firstDataRow="1" firstDataCol="1"/>
  <pivotFields count="2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showAll="0"/>
    <pivotField showAll="0"/>
    <pivotField showAll="0"/>
    <pivotField showAll="0"/>
    <pivotField showAll="0">
      <items count="8">
        <item x="0"/>
        <item x="4"/>
        <item x="5"/>
        <item x="1"/>
        <item x="6"/>
        <item x="2"/>
        <item x="3"/>
        <item t="default"/>
      </items>
    </pivotField>
    <pivotField axis="axisRow" showAll="0">
      <items count="6">
        <item x="1"/>
        <item x="4"/>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Average of Loan Amount" fld="4" subtotal="average" baseField="9" baseItem="0" numFmtId="2"/>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EA1F4-A0FB-4C0D-BEDA-0D826AAB6F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3:O15" firstHeaderRow="1" firstDataRow="2" firstDataCol="1"/>
  <pivotFields count="2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axis="axisCol" showAll="0">
      <items count="6">
        <item x="3"/>
        <item x="1"/>
        <item x="0"/>
        <item x="4"/>
        <item x="2"/>
        <item t="default"/>
      </items>
    </pivotField>
    <pivotField showAll="0">
      <items count="8">
        <item x="0"/>
        <item x="4"/>
        <item x="5"/>
        <item x="1"/>
        <item x="6"/>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Items count="1">
    <i/>
  </rowItems>
  <colFields count="1">
    <field x="7"/>
  </colFields>
  <colItems count="6">
    <i>
      <x/>
    </i>
    <i>
      <x v="1"/>
    </i>
    <i>
      <x v="2"/>
    </i>
    <i>
      <x v="3"/>
    </i>
    <i>
      <x v="4"/>
    </i>
    <i t="grand">
      <x/>
    </i>
  </colItems>
  <dataFields count="1">
    <dataField name="Count of Loan ID" fld="0" subtotal="count" baseField="0" baseItem="0"/>
  </dataFields>
  <chartFormats count="10">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series="1">
      <pivotArea type="data" outline="0" fieldPosition="0">
        <references count="2">
          <reference field="4294967294" count="1" selected="0">
            <x v="0"/>
          </reference>
          <reference field="7" count="1" selected="0">
            <x v="2"/>
          </reference>
        </references>
      </pivotArea>
    </chartFormat>
    <chartFormat chart="5" format="3" series="1">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2">
          <reference field="4294967294" count="1" selected="0">
            <x v="0"/>
          </reference>
          <reference field="7" count="1" selected="0">
            <x v="4"/>
          </reference>
        </references>
      </pivotArea>
    </chartFormat>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7" format="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B25677-C98C-4688-83C1-9E2F643450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8:B19" firstHeaderRow="1" firstDataRow="1" firstDataCol="1"/>
  <pivotFields count="2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11">
        <item x="7"/>
        <item x="8"/>
        <item x="5"/>
        <item x="6"/>
        <item x="3"/>
        <item x="4"/>
        <item x="2"/>
        <item x="0"/>
        <item x="1"/>
        <item x="9"/>
        <item t="default"/>
      </items>
    </pivotField>
    <pivotField dataField="1" showAll="0"/>
    <pivotField showAll="0"/>
    <pivotField showAll="0"/>
    <pivotField showAll="0"/>
    <pivotField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Loan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AD5D6-96E3-471A-BBD1-2EB4C74DCE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Loan grade">
  <location ref="D3:E11" firstHeaderRow="1" firstDataRow="1" firstDataCol="1"/>
  <pivotFields count="2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axis="axisRow"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ount of Loan ID"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4"/>
          </reference>
        </references>
      </pivotArea>
    </chartFormat>
    <chartFormat chart="1" format="6">
      <pivotArea type="data" outline="0" fieldPosition="0">
        <references count="2">
          <reference field="4294967294" count="1" selected="0">
            <x v="0"/>
          </reference>
          <reference field="8" count="1" selected="0">
            <x v="5"/>
          </reference>
        </references>
      </pivotArea>
    </chartFormat>
    <chartFormat chart="1" format="7">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0435BB-A1C8-4811-B0D0-BF3636EF82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dataField="1"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Average of Interest Rate" fld="5" subtotal="average" baseField="0" baseItem="1" numFmtId="2"/>
    <dataField name="Sum of Profit/ loss loan" fld="20"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1A9E71-1CB8-4A30-95D2-DC0A355EA25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Q24" firstHeaderRow="1" firstDataRow="2" firstDataCol="1"/>
  <pivotFields count="21">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dataField="1" showAll="0"/>
    <pivotField axis="axisRow" showAll="0">
      <items count="3">
        <item x="1"/>
        <item x="0"/>
        <item t="default"/>
      </items>
    </pivotField>
    <pivotField showAll="0"/>
    <pivotField axis="axisCol" showAll="0">
      <items count="8">
        <item x="0"/>
        <item x="4"/>
        <item x="5"/>
        <item x="1"/>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8"/>
  </colFields>
  <colItems count="8">
    <i>
      <x/>
    </i>
    <i>
      <x v="1"/>
    </i>
    <i>
      <x v="2"/>
    </i>
    <i>
      <x v="3"/>
    </i>
    <i>
      <x v="4"/>
    </i>
    <i>
      <x v="5"/>
    </i>
    <i>
      <x v="6"/>
    </i>
    <i t="grand">
      <x/>
    </i>
  </colItems>
  <dataFields count="1">
    <dataField name="Average of Interest Rate" fld="5"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ID" xr10:uid="{F9D4695F-F4C3-4387-87EF-AB08AEB50BEF}" sourceName="Loan ID">
  <pivotTables>
    <pivotTable tabId="2" name="PivotTable1"/>
    <pivotTable tabId="2" name="PivotTable2"/>
    <pivotTable tabId="2" name="PivotTable3"/>
    <pivotTable tabId="3" name="PivotTable5"/>
    <pivotTable tabId="3" name="PivotTable6"/>
    <pivotTable tabId="3" name="PivotTable7"/>
    <pivotTable tabId="3" name="PivotTable8"/>
    <pivotTable tabId="3" name="PivotTable9"/>
  </pivotTables>
  <data>
    <tabular pivotCacheId="2047655282">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Grade" xr10:uid="{EDF39220-6359-4103-91D1-5925915C596A}" sourceName="Loan Grade">
  <pivotTables>
    <pivotTable tabId="2" name="PivotTable1"/>
    <pivotTable tabId="2" name="PivotTable2"/>
    <pivotTable tabId="2" name="PivotTable3"/>
    <pivotTable tabId="3" name="PivotTable5"/>
    <pivotTable tabId="3" name="PivotTable6"/>
    <pivotTable tabId="3" name="PivotTable7"/>
    <pivotTable tabId="3" name="PivotTable8"/>
    <pivotTable tabId="3" name="PivotTable9"/>
  </pivotTables>
  <data>
    <tabular pivotCacheId="2047655282">
      <items count="7">
        <i x="0" s="1"/>
        <i x="4" s="1"/>
        <i x="5" s="1"/>
        <i x="1"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ID" xr10:uid="{14A5B532-A61F-4876-9982-E3EA8291CE6D}" cache="Slicer_Loan_ID" caption="Loan ID" rowHeight="247650"/>
  <slicer name="Loan Grade" xr10:uid="{F012C786-B5EB-410A-99C9-3AC8AD3836CE}" cache="Slicer_Loan_Grade" caption="Loan Grade" startItem="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ID 1" xr10:uid="{B57F9EFA-90BD-4B11-A169-3D0A1BF0EEA0}" cache="Slicer_Loan_ID" caption="Loan ID" rowHeight="247650"/>
  <slicer name="Loan Grade 1" xr10:uid="{61DA8E98-D600-433C-8DA0-D5C97D10210C}" cache="Slicer_Loan_Grade" caption="Loan Grad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E1D8-5B40-4FBC-958B-EDD33553FCA8}">
  <dimension ref="A3:N11"/>
  <sheetViews>
    <sheetView topLeftCell="A4" workbookViewId="0">
      <selection activeCell="I19" sqref="I19"/>
    </sheetView>
  </sheetViews>
  <sheetFormatPr defaultColWidth="8.77734375" defaultRowHeight="14.4" x14ac:dyDescent="0.3"/>
  <cols>
    <col min="1" max="1" width="15.6640625" bestFit="1" customWidth="1"/>
    <col min="2" max="2" width="17.88671875" bestFit="1" customWidth="1"/>
    <col min="3" max="3" width="14.21875" bestFit="1" customWidth="1"/>
    <col min="6" max="6" width="12.109375" bestFit="1" customWidth="1"/>
    <col min="7" max="7" width="20.6640625" bestFit="1" customWidth="1"/>
    <col min="13" max="13" width="16.5546875" bestFit="1" customWidth="1"/>
    <col min="14" max="14" width="20.6640625" bestFit="1" customWidth="1"/>
  </cols>
  <sheetData>
    <row r="3" spans="1:14" x14ac:dyDescent="0.3">
      <c r="A3" s="1" t="s">
        <v>2096</v>
      </c>
      <c r="B3" t="s">
        <v>2053</v>
      </c>
      <c r="C3" t="s">
        <v>2054</v>
      </c>
      <c r="F3" s="1" t="s">
        <v>2097</v>
      </c>
      <c r="G3" t="s">
        <v>2055</v>
      </c>
    </row>
    <row r="4" spans="1:14" x14ac:dyDescent="0.3">
      <c r="A4" s="2" t="s">
        <v>81</v>
      </c>
      <c r="B4" s="3">
        <v>2112176</v>
      </c>
      <c r="C4" s="39">
        <v>105</v>
      </c>
      <c r="F4" s="2" t="s">
        <v>20</v>
      </c>
      <c r="G4" s="3">
        <v>21354.472000000002</v>
      </c>
      <c r="M4" s="1" t="s">
        <v>2098</v>
      </c>
      <c r="N4" t="s">
        <v>2055</v>
      </c>
    </row>
    <row r="5" spans="1:14" x14ac:dyDescent="0.3">
      <c r="A5" s="2" t="s">
        <v>26</v>
      </c>
      <c r="B5" s="3">
        <v>6467779</v>
      </c>
      <c r="C5" s="39">
        <v>310</v>
      </c>
      <c r="F5" s="2" t="s">
        <v>57</v>
      </c>
      <c r="G5" s="3">
        <v>21761.388349514564</v>
      </c>
      <c r="M5" s="2" t="s">
        <v>28</v>
      </c>
      <c r="N5" s="3">
        <v>22056.37172774869</v>
      </c>
    </row>
    <row r="6" spans="1:14" x14ac:dyDescent="0.3">
      <c r="A6" s="2" t="s">
        <v>19</v>
      </c>
      <c r="B6" s="3">
        <v>11729795</v>
      </c>
      <c r="C6" s="39">
        <v>541</v>
      </c>
      <c r="F6" s="2" t="s">
        <v>73</v>
      </c>
      <c r="G6" s="3">
        <v>21012.66883116883</v>
      </c>
      <c r="M6" s="2" t="s">
        <v>47</v>
      </c>
      <c r="N6" s="3">
        <v>20258.839572192512</v>
      </c>
    </row>
    <row r="7" spans="1:14" x14ac:dyDescent="0.3">
      <c r="A7" s="2" t="s">
        <v>315</v>
      </c>
      <c r="B7" s="3">
        <v>248118</v>
      </c>
      <c r="C7" s="39">
        <v>11</v>
      </c>
      <c r="F7" s="2" t="s">
        <v>27</v>
      </c>
      <c r="G7" s="3">
        <v>20533.32075471698</v>
      </c>
      <c r="M7" s="2" t="s">
        <v>32</v>
      </c>
      <c r="N7" s="3">
        <v>22189.147208121827</v>
      </c>
    </row>
    <row r="8" spans="1:14" x14ac:dyDescent="0.3">
      <c r="A8" s="2" t="s">
        <v>60</v>
      </c>
      <c r="B8" s="3">
        <v>697676</v>
      </c>
      <c r="C8" s="39">
        <v>33</v>
      </c>
      <c r="F8" s="2" t="s">
        <v>84</v>
      </c>
      <c r="G8" s="3">
        <v>21893.103773584906</v>
      </c>
      <c r="M8" s="2" t="s">
        <v>37</v>
      </c>
      <c r="N8" s="3">
        <v>21005.521327014219</v>
      </c>
    </row>
    <row r="9" spans="1:14" x14ac:dyDescent="0.3">
      <c r="A9" s="2" t="s">
        <v>2052</v>
      </c>
      <c r="B9" s="3">
        <v>21255544</v>
      </c>
      <c r="C9" s="39">
        <v>1000</v>
      </c>
      <c r="F9" s="2" t="s">
        <v>36</v>
      </c>
      <c r="G9" s="3">
        <v>19825.283950617282</v>
      </c>
      <c r="M9" s="2" t="s">
        <v>21</v>
      </c>
      <c r="N9" s="3">
        <v>20798.817757009347</v>
      </c>
    </row>
    <row r="10" spans="1:14" x14ac:dyDescent="0.3">
      <c r="F10" s="2" t="s">
        <v>41</v>
      </c>
      <c r="G10" s="3">
        <v>22882.136363636364</v>
      </c>
      <c r="M10" s="2" t="s">
        <v>2052</v>
      </c>
      <c r="N10" s="3">
        <v>21255.544000000002</v>
      </c>
    </row>
    <row r="11" spans="1:14" x14ac:dyDescent="0.3">
      <c r="F11" s="2" t="s">
        <v>2052</v>
      </c>
      <c r="G11" s="3">
        <v>21255.544000000002</v>
      </c>
    </row>
  </sheetData>
  <pageMargins left="0.7" right="0.7" top="0.75" bottom="0.75" header="0.3" footer="0.3"/>
  <headerFooter>
    <oddFooter>&amp;C_x000D_&amp;1#&amp;"Aptos"&amp;7&amp;K000000 Juniper Business Use Only</oddFooter>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9DEB-0BD3-4357-A5D9-5C3B071CE1E5}">
  <dimension ref="A3:Q24"/>
  <sheetViews>
    <sheetView workbookViewId="0">
      <selection activeCell="D3" sqref="D3:E11"/>
    </sheetView>
  </sheetViews>
  <sheetFormatPr defaultColWidth="8.77734375" defaultRowHeight="14.4" x14ac:dyDescent="0.3"/>
  <cols>
    <col min="1" max="1" width="10.5546875" bestFit="1" customWidth="1"/>
    <col min="2" max="2" width="17.88671875" bestFit="1" customWidth="1"/>
    <col min="4" max="4" width="12.109375" bestFit="1" customWidth="1"/>
    <col min="5" max="5" width="14.21875" bestFit="1" customWidth="1"/>
    <col min="9" max="9" width="20.5546875" bestFit="1" customWidth="1"/>
    <col min="10" max="10" width="15.5546875" bestFit="1" customWidth="1"/>
    <col min="11" max="16" width="5.5546875" bestFit="1" customWidth="1"/>
    <col min="17" max="17" width="10.5546875" bestFit="1" customWidth="1"/>
  </cols>
  <sheetData>
    <row r="3" spans="1:15" x14ac:dyDescent="0.3">
      <c r="A3" t="s">
        <v>2057</v>
      </c>
      <c r="B3" t="s">
        <v>2056</v>
      </c>
      <c r="D3" s="1" t="s">
        <v>2097</v>
      </c>
      <c r="E3" t="s">
        <v>2054</v>
      </c>
    </row>
    <row r="4" spans="1:15" x14ac:dyDescent="0.3">
      <c r="A4" s="3">
        <v>15.081399999999986</v>
      </c>
      <c r="B4" s="3">
        <v>-4902908.2899999982</v>
      </c>
      <c r="D4" s="2" t="s">
        <v>20</v>
      </c>
      <c r="E4" s="39">
        <v>250</v>
      </c>
    </row>
    <row r="5" spans="1:15" x14ac:dyDescent="0.3">
      <c r="D5" s="2" t="s">
        <v>57</v>
      </c>
      <c r="E5" s="39">
        <v>206</v>
      </c>
    </row>
    <row r="6" spans="1:15" x14ac:dyDescent="0.3">
      <c r="D6" s="2" t="s">
        <v>73</v>
      </c>
      <c r="E6" s="39">
        <v>154</v>
      </c>
    </row>
    <row r="7" spans="1:15" x14ac:dyDescent="0.3">
      <c r="D7" s="2" t="s">
        <v>27</v>
      </c>
      <c r="E7" s="39">
        <v>159</v>
      </c>
    </row>
    <row r="8" spans="1:15" x14ac:dyDescent="0.3">
      <c r="A8" s="1" t="s">
        <v>3</v>
      </c>
      <c r="B8" t="s">
        <v>2053</v>
      </c>
      <c r="D8" s="2" t="s">
        <v>84</v>
      </c>
      <c r="E8" s="39">
        <v>106</v>
      </c>
    </row>
    <row r="9" spans="1:15" x14ac:dyDescent="0.3">
      <c r="A9" s="2" t="s">
        <v>65</v>
      </c>
      <c r="B9" s="39">
        <v>2261248</v>
      </c>
      <c r="D9" s="2" t="s">
        <v>36</v>
      </c>
      <c r="E9" s="39">
        <v>81</v>
      </c>
    </row>
    <row r="10" spans="1:15" x14ac:dyDescent="0.3">
      <c r="A10" s="2" t="s">
        <v>72</v>
      </c>
      <c r="B10" s="39">
        <v>1746490</v>
      </c>
      <c r="D10" s="2" t="s">
        <v>41</v>
      </c>
      <c r="E10" s="39">
        <v>44</v>
      </c>
    </row>
    <row r="11" spans="1:15" x14ac:dyDescent="0.3">
      <c r="A11" s="2" t="s">
        <v>53</v>
      </c>
      <c r="B11" s="39">
        <v>2310129</v>
      </c>
      <c r="D11" s="2" t="s">
        <v>2052</v>
      </c>
      <c r="E11" s="39">
        <v>1000</v>
      </c>
    </row>
    <row r="12" spans="1:15" x14ac:dyDescent="0.3">
      <c r="A12" s="2" t="s">
        <v>56</v>
      </c>
      <c r="B12" s="39">
        <v>2005298</v>
      </c>
    </row>
    <row r="13" spans="1:15" x14ac:dyDescent="0.3">
      <c r="A13" s="2" t="s">
        <v>46</v>
      </c>
      <c r="B13" s="39">
        <v>2108219</v>
      </c>
      <c r="J13" s="1" t="s">
        <v>2058</v>
      </c>
    </row>
    <row r="14" spans="1:15" x14ac:dyDescent="0.3">
      <c r="A14" s="2" t="s">
        <v>50</v>
      </c>
      <c r="B14" s="39">
        <v>2199731</v>
      </c>
      <c r="J14" t="s">
        <v>81</v>
      </c>
      <c r="K14" t="s">
        <v>26</v>
      </c>
      <c r="L14" t="s">
        <v>19</v>
      </c>
      <c r="M14" t="s">
        <v>315</v>
      </c>
      <c r="N14" t="s">
        <v>60</v>
      </c>
      <c r="O14" t="s">
        <v>2052</v>
      </c>
    </row>
    <row r="15" spans="1:15" x14ac:dyDescent="0.3">
      <c r="A15" s="2" t="s">
        <v>40</v>
      </c>
      <c r="B15" s="39">
        <v>1981495</v>
      </c>
      <c r="I15" t="s">
        <v>2054</v>
      </c>
      <c r="J15" s="39">
        <v>105</v>
      </c>
      <c r="K15" s="39">
        <v>310</v>
      </c>
      <c r="L15" s="39">
        <v>541</v>
      </c>
      <c r="M15" s="39">
        <v>11</v>
      </c>
      <c r="N15" s="39">
        <v>33</v>
      </c>
      <c r="O15" s="39">
        <v>1000</v>
      </c>
    </row>
    <row r="16" spans="1:15" x14ac:dyDescent="0.3">
      <c r="A16" s="2" t="s">
        <v>18</v>
      </c>
      <c r="B16" s="39">
        <v>2551617</v>
      </c>
    </row>
    <row r="17" spans="1:17" x14ac:dyDescent="0.3">
      <c r="A17" s="2" t="s">
        <v>25</v>
      </c>
      <c r="B17" s="39">
        <v>2056686</v>
      </c>
    </row>
    <row r="18" spans="1:17" x14ac:dyDescent="0.3">
      <c r="A18" s="2" t="s">
        <v>76</v>
      </c>
      <c r="B18" s="39">
        <v>2034631</v>
      </c>
    </row>
    <row r="19" spans="1:17" x14ac:dyDescent="0.3">
      <c r="A19" s="2" t="s">
        <v>2052</v>
      </c>
      <c r="B19" s="39">
        <v>21255544</v>
      </c>
    </row>
    <row r="20" spans="1:17" x14ac:dyDescent="0.3">
      <c r="I20" s="1" t="s">
        <v>2057</v>
      </c>
      <c r="J20" s="1" t="s">
        <v>2058</v>
      </c>
    </row>
    <row r="21" spans="1:17" x14ac:dyDescent="0.3">
      <c r="I21" s="1" t="s">
        <v>2051</v>
      </c>
      <c r="J21" t="s">
        <v>20</v>
      </c>
      <c r="K21" t="s">
        <v>57</v>
      </c>
      <c r="L21" t="s">
        <v>73</v>
      </c>
      <c r="M21" t="s">
        <v>27</v>
      </c>
      <c r="N21" t="s">
        <v>84</v>
      </c>
      <c r="O21" t="s">
        <v>36</v>
      </c>
      <c r="P21" t="s">
        <v>41</v>
      </c>
      <c r="Q21" t="s">
        <v>2052</v>
      </c>
    </row>
    <row r="22" spans="1:17" x14ac:dyDescent="0.3">
      <c r="I22" s="2">
        <v>36</v>
      </c>
      <c r="J22" s="3">
        <v>15.739999999999998</v>
      </c>
      <c r="K22" s="3">
        <v>15.191743119266052</v>
      </c>
      <c r="L22" s="3">
        <v>13.613580246913578</v>
      </c>
      <c r="M22" s="3">
        <v>14.397619047619038</v>
      </c>
      <c r="N22" s="3">
        <v>14.918518518518514</v>
      </c>
      <c r="O22" s="3">
        <v>16.811999999999998</v>
      </c>
      <c r="P22" s="3">
        <v>14.490909090909092</v>
      </c>
      <c r="Q22" s="3">
        <v>15.055094339622631</v>
      </c>
    </row>
    <row r="23" spans="1:17" x14ac:dyDescent="0.3">
      <c r="I23" s="2">
        <v>60</v>
      </c>
      <c r="J23" s="3">
        <v>14.992499999999998</v>
      </c>
      <c r="K23" s="3">
        <v>15.251546391752573</v>
      </c>
      <c r="L23" s="3">
        <v>15.167123287671233</v>
      </c>
      <c r="M23" s="3">
        <v>15.201333333333329</v>
      </c>
      <c r="N23" s="3">
        <v>15.011538461538462</v>
      </c>
      <c r="O23" s="3">
        <v>14.158064516129032</v>
      </c>
      <c r="P23" s="3">
        <v>16.222727272727276</v>
      </c>
      <c r="Q23" s="3">
        <v>15.111063829787243</v>
      </c>
    </row>
    <row r="24" spans="1:17" x14ac:dyDescent="0.3">
      <c r="I24" s="2" t="s">
        <v>2052</v>
      </c>
      <c r="J24" s="3">
        <v>15.381199999999994</v>
      </c>
      <c r="K24" s="3">
        <v>15.219902912621363</v>
      </c>
      <c r="L24" s="3">
        <v>14.349999999999998</v>
      </c>
      <c r="M24" s="3">
        <v>14.776729559748421</v>
      </c>
      <c r="N24" s="3">
        <v>14.964150943396223</v>
      </c>
      <c r="O24" s="3">
        <v>15.796296296296299</v>
      </c>
      <c r="P24" s="3">
        <v>15.356818181818181</v>
      </c>
      <c r="Q24" s="3">
        <v>15.081399999999999</v>
      </c>
    </row>
  </sheetData>
  <pageMargins left="0.7" right="0.7" top="0.75" bottom="0.75" header="0.3" footer="0.3"/>
  <headerFooter>
    <oddFooter>&amp;C_x000D_&amp;1#&amp;"Aptos"&amp;7&amp;K000000 Juniper Business Use Only</oddFooter>
  </headerFooter>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0A44-02F4-4AC1-A69A-836216E93C6C}">
  <dimension ref="A1:Y1001"/>
  <sheetViews>
    <sheetView zoomScale="125" zoomScaleNormal="125" workbookViewId="0">
      <selection activeCell="R5" sqref="R5"/>
    </sheetView>
  </sheetViews>
  <sheetFormatPr defaultColWidth="8.77734375" defaultRowHeight="14.4" x14ac:dyDescent="0.3"/>
  <cols>
    <col min="2" max="2" width="12.6640625" customWidth="1"/>
    <col min="3" max="3" width="10.77734375" customWidth="1"/>
    <col min="5" max="5" width="14.6640625" bestFit="1" customWidth="1"/>
    <col min="6" max="6" width="11" customWidth="1"/>
    <col min="7" max="7" width="18.44140625" customWidth="1"/>
    <col min="8" max="8" width="17.109375" customWidth="1"/>
    <col min="9" max="9" width="13" bestFit="1" customWidth="1"/>
    <col min="10" max="10" width="17.33203125" bestFit="1" customWidth="1"/>
    <col min="11" max="11" width="16" bestFit="1" customWidth="1"/>
    <col min="12" max="12" width="18.109375" bestFit="1" customWidth="1"/>
    <col min="15" max="15" width="24.109375" bestFit="1" customWidth="1"/>
    <col min="16" max="16" width="18.109375" bestFit="1" customWidth="1"/>
    <col min="17" max="18" width="13.109375" customWidth="1"/>
    <col min="19" max="19" width="13.109375" bestFit="1" customWidth="1"/>
    <col min="20" max="20" width="14.6640625" customWidth="1"/>
    <col min="21" max="21" width="13.109375" bestFit="1" customWidth="1"/>
    <col min="22" max="22" width="17.77734375" customWidth="1"/>
    <col min="23" max="24" width="13.77734375" customWidth="1"/>
    <col min="25" max="25" width="16.109375" bestFit="1" customWidth="1"/>
  </cols>
  <sheetData>
    <row r="1" spans="1:25" x14ac:dyDescent="0.3">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10" t="s">
        <v>2060</v>
      </c>
      <c r="R1" s="10" t="s">
        <v>2061</v>
      </c>
      <c r="S1" s="10" t="s">
        <v>2046</v>
      </c>
      <c r="T1" s="10" t="s">
        <v>2047</v>
      </c>
      <c r="U1" s="10" t="s">
        <v>2048</v>
      </c>
      <c r="V1" s="10" t="s">
        <v>2049</v>
      </c>
      <c r="W1" s="19" t="s">
        <v>2065</v>
      </c>
      <c r="X1" s="10" t="s">
        <v>2050</v>
      </c>
      <c r="Y1" s="11" t="s">
        <v>2059</v>
      </c>
    </row>
    <row r="2" spans="1:25" x14ac:dyDescent="0.3">
      <c r="A2" s="12" t="s">
        <v>16</v>
      </c>
      <c r="B2" s="5">
        <v>45057</v>
      </c>
      <c r="C2" s="4" t="s">
        <v>17</v>
      </c>
      <c r="D2" s="4" t="s">
        <v>18</v>
      </c>
      <c r="E2" s="4">
        <v>23180</v>
      </c>
      <c r="F2" s="4">
        <v>10.1</v>
      </c>
      <c r="G2" s="4">
        <v>60</v>
      </c>
      <c r="H2" s="4" t="s">
        <v>19</v>
      </c>
      <c r="I2" s="4" t="s">
        <v>20</v>
      </c>
      <c r="J2" s="4" t="s">
        <v>21</v>
      </c>
      <c r="K2" s="4">
        <v>41676</v>
      </c>
      <c r="L2" s="4" t="s">
        <v>22</v>
      </c>
      <c r="M2" s="4">
        <v>0.24</v>
      </c>
      <c r="N2" s="4">
        <v>0.82</v>
      </c>
      <c r="O2" s="4">
        <v>25521.18</v>
      </c>
      <c r="P2" s="4">
        <v>0</v>
      </c>
      <c r="Q2" s="6">
        <f>PMT(F2/100/12, G2, -E2)</f>
        <v>493.64782205368624</v>
      </c>
      <c r="R2" s="6">
        <f t="shared" ref="R2:R65" si="0">(Q2*G2)-E2</f>
        <v>6438.8693232211735</v>
      </c>
      <c r="S2" s="4">
        <f t="shared" ref="S2:S65" si="1">E2 / N2</f>
        <v>28268.292682926833</v>
      </c>
      <c r="T2" s="4">
        <f t="shared" ref="T2:T65" si="2">K2/12</f>
        <v>3473</v>
      </c>
      <c r="U2" s="4">
        <f t="shared" ref="U2:U65" si="3">M2*T2</f>
        <v>833.52</v>
      </c>
      <c r="V2" s="4">
        <f t="shared" ref="V2:V65" ca="1" si="4">DATEDIF(B2, TODAY(), "m")</f>
        <v>34</v>
      </c>
      <c r="W2" s="20">
        <f t="shared" ref="W2:W19" ca="1" si="5">V2*Q2</f>
        <v>16784.025949825333</v>
      </c>
      <c r="X2" s="4">
        <f t="shared" ref="X2:X65" si="6">(O2 + P2) - E2</f>
        <v>2341.1800000000003</v>
      </c>
      <c r="Y2" s="13">
        <f t="shared" ref="Y2:Y65" si="7">(X2/E2)</f>
        <v>0.10100000000000001</v>
      </c>
    </row>
    <row r="3" spans="1:25" x14ac:dyDescent="0.3">
      <c r="A3" s="12" t="s">
        <v>23</v>
      </c>
      <c r="B3" s="7">
        <v>45241</v>
      </c>
      <c r="C3" s="4" t="s">
        <v>24</v>
      </c>
      <c r="D3" s="4" t="s">
        <v>25</v>
      </c>
      <c r="E3" s="4">
        <v>32896</v>
      </c>
      <c r="F3" s="4">
        <v>20.6</v>
      </c>
      <c r="G3" s="4">
        <v>36</v>
      </c>
      <c r="H3" s="4" t="s">
        <v>26</v>
      </c>
      <c r="I3" s="4" t="s">
        <v>27</v>
      </c>
      <c r="J3" s="4" t="s">
        <v>28</v>
      </c>
      <c r="K3" s="4">
        <v>34434</v>
      </c>
      <c r="L3" s="4" t="s">
        <v>29</v>
      </c>
      <c r="M3" s="4">
        <v>0.47</v>
      </c>
      <c r="N3" s="4">
        <v>0.59</v>
      </c>
      <c r="O3" s="4">
        <v>9222.59</v>
      </c>
      <c r="P3" s="4">
        <v>0</v>
      </c>
      <c r="Q3" s="6">
        <f t="shared" ref="Q3:Q66" si="8">PMT(F3/100/12, G3, -E3)</f>
        <v>1232.6132666441697</v>
      </c>
      <c r="R3" s="6">
        <f t="shared" si="0"/>
        <v>11478.07759919011</v>
      </c>
      <c r="S3" s="4">
        <f t="shared" si="1"/>
        <v>55755.932203389835</v>
      </c>
      <c r="T3" s="4">
        <f t="shared" si="2"/>
        <v>2869.5</v>
      </c>
      <c r="U3" s="4">
        <f t="shared" si="3"/>
        <v>1348.665</v>
      </c>
      <c r="V3" s="4">
        <f t="shared" ca="1" si="4"/>
        <v>28</v>
      </c>
      <c r="W3" s="20">
        <f t="shared" ca="1" si="5"/>
        <v>34513.171466036751</v>
      </c>
      <c r="X3" s="4">
        <f t="shared" si="6"/>
        <v>-23673.41</v>
      </c>
      <c r="Y3" s="13">
        <f t="shared" si="7"/>
        <v>-0.71964402966926067</v>
      </c>
    </row>
    <row r="4" spans="1:25" x14ac:dyDescent="0.3">
      <c r="A4" s="12" t="s">
        <v>30</v>
      </c>
      <c r="B4" s="7">
        <v>44318</v>
      </c>
      <c r="C4" s="4" t="s">
        <v>31</v>
      </c>
      <c r="D4" s="4" t="s">
        <v>25</v>
      </c>
      <c r="E4" s="4">
        <v>13875</v>
      </c>
      <c r="F4" s="4">
        <v>21.5</v>
      </c>
      <c r="G4" s="4">
        <v>36</v>
      </c>
      <c r="H4" s="4" t="s">
        <v>26</v>
      </c>
      <c r="I4" s="4" t="s">
        <v>20</v>
      </c>
      <c r="J4" s="4" t="s">
        <v>32</v>
      </c>
      <c r="K4" s="4">
        <v>79810</v>
      </c>
      <c r="L4" s="4" t="s">
        <v>33</v>
      </c>
      <c r="M4" s="4">
        <v>0.33</v>
      </c>
      <c r="N4" s="4">
        <v>0.7</v>
      </c>
      <c r="O4" s="4">
        <v>2689.37</v>
      </c>
      <c r="P4" s="4">
        <v>0</v>
      </c>
      <c r="Q4" s="6">
        <f t="shared" si="8"/>
        <v>526.310297853924</v>
      </c>
      <c r="R4" s="6">
        <f t="shared" si="0"/>
        <v>5072.1707227412626</v>
      </c>
      <c r="S4" s="4">
        <f t="shared" si="1"/>
        <v>19821.428571428572</v>
      </c>
      <c r="T4" s="4">
        <f t="shared" si="2"/>
        <v>6650.833333333333</v>
      </c>
      <c r="U4" s="4">
        <f t="shared" si="3"/>
        <v>2194.7750000000001</v>
      </c>
      <c r="V4" s="4">
        <f t="shared" ca="1" si="4"/>
        <v>58</v>
      </c>
      <c r="W4" s="20">
        <f t="shared" ca="1" si="5"/>
        <v>30525.997275527592</v>
      </c>
      <c r="X4" s="4">
        <f t="shared" si="6"/>
        <v>-11185.630000000001</v>
      </c>
      <c r="Y4" s="13">
        <f t="shared" si="7"/>
        <v>-0.80617153153153165</v>
      </c>
    </row>
    <row r="5" spans="1:25" x14ac:dyDescent="0.3">
      <c r="A5" s="12" t="s">
        <v>34</v>
      </c>
      <c r="B5" s="7">
        <v>44663</v>
      </c>
      <c r="C5" s="4" t="s">
        <v>35</v>
      </c>
      <c r="D5" s="4" t="s">
        <v>18</v>
      </c>
      <c r="E5" s="4">
        <v>2622</v>
      </c>
      <c r="F5" s="4">
        <v>14.9</v>
      </c>
      <c r="G5" s="4">
        <v>60</v>
      </c>
      <c r="H5" s="4" t="s">
        <v>19</v>
      </c>
      <c r="I5" s="4" t="s">
        <v>36</v>
      </c>
      <c r="J5" s="4" t="s">
        <v>37</v>
      </c>
      <c r="K5" s="4">
        <v>133361</v>
      </c>
      <c r="L5" s="4" t="s">
        <v>22</v>
      </c>
      <c r="M5" s="4">
        <v>0.17</v>
      </c>
      <c r="N5" s="4">
        <v>0.87</v>
      </c>
      <c r="O5" s="4">
        <v>3012.68</v>
      </c>
      <c r="P5" s="4">
        <v>0</v>
      </c>
      <c r="Q5" s="6">
        <f t="shared" si="8"/>
        <v>62.239649241961615</v>
      </c>
      <c r="R5" s="6">
        <f t="shared" si="0"/>
        <v>1112.3789545176969</v>
      </c>
      <c r="S5" s="4">
        <f t="shared" si="1"/>
        <v>3013.7931034482758</v>
      </c>
      <c r="T5" s="4">
        <f t="shared" si="2"/>
        <v>11113.416666666666</v>
      </c>
      <c r="U5" s="4">
        <f t="shared" si="3"/>
        <v>1889.2808333333335</v>
      </c>
      <c r="V5" s="4">
        <f t="shared" ca="1" si="4"/>
        <v>47</v>
      </c>
      <c r="W5" s="20">
        <f t="shared" ca="1" si="5"/>
        <v>2925.2635143721959</v>
      </c>
      <c r="X5" s="4">
        <f t="shared" si="6"/>
        <v>390.67999999999984</v>
      </c>
      <c r="Y5" s="13">
        <f t="shared" si="7"/>
        <v>0.14900076277650642</v>
      </c>
    </row>
    <row r="6" spans="1:25" x14ac:dyDescent="0.3">
      <c r="A6" s="12" t="s">
        <v>38</v>
      </c>
      <c r="B6" s="7">
        <v>44527</v>
      </c>
      <c r="C6" s="4" t="s">
        <v>39</v>
      </c>
      <c r="D6" s="4" t="s">
        <v>40</v>
      </c>
      <c r="E6" s="4">
        <v>17725</v>
      </c>
      <c r="F6" s="4">
        <v>12.7</v>
      </c>
      <c r="G6" s="4">
        <v>36</v>
      </c>
      <c r="H6" s="4" t="s">
        <v>19</v>
      </c>
      <c r="I6" s="4" t="s">
        <v>41</v>
      </c>
      <c r="J6" s="4" t="s">
        <v>37</v>
      </c>
      <c r="K6" s="4">
        <v>148696</v>
      </c>
      <c r="L6" s="4" t="s">
        <v>22</v>
      </c>
      <c r="M6" s="4">
        <v>0.16</v>
      </c>
      <c r="N6" s="4">
        <v>0.79</v>
      </c>
      <c r="O6" s="4">
        <v>19976.080000000002</v>
      </c>
      <c r="P6" s="4">
        <v>0</v>
      </c>
      <c r="Q6" s="6">
        <f t="shared" si="8"/>
        <v>594.66727976468576</v>
      </c>
      <c r="R6" s="6">
        <f t="shared" si="0"/>
        <v>3683.0220715286887</v>
      </c>
      <c r="S6" s="4">
        <f t="shared" si="1"/>
        <v>22436.708860759492</v>
      </c>
      <c r="T6" s="4">
        <f t="shared" si="2"/>
        <v>12391.333333333334</v>
      </c>
      <c r="U6" s="4">
        <f t="shared" si="3"/>
        <v>1982.6133333333335</v>
      </c>
      <c r="V6" s="4">
        <f t="shared" ca="1" si="4"/>
        <v>51</v>
      </c>
      <c r="W6" s="20">
        <f t="shared" ca="1" si="5"/>
        <v>30328.031267998973</v>
      </c>
      <c r="X6" s="4">
        <f t="shared" si="6"/>
        <v>2251.0800000000017</v>
      </c>
      <c r="Y6" s="13">
        <f t="shared" si="7"/>
        <v>0.12700028208744721</v>
      </c>
    </row>
    <row r="7" spans="1:25" x14ac:dyDescent="0.3">
      <c r="A7" s="12" t="s">
        <v>42</v>
      </c>
      <c r="B7" s="7">
        <v>44284</v>
      </c>
      <c r="C7" s="4" t="s">
        <v>43</v>
      </c>
      <c r="D7" s="4" t="s">
        <v>40</v>
      </c>
      <c r="E7" s="4">
        <v>16646</v>
      </c>
      <c r="F7" s="4">
        <v>14</v>
      </c>
      <c r="G7" s="4">
        <v>36</v>
      </c>
      <c r="H7" s="4" t="s">
        <v>19</v>
      </c>
      <c r="I7" s="4" t="s">
        <v>20</v>
      </c>
      <c r="J7" s="4" t="s">
        <v>37</v>
      </c>
      <c r="K7" s="4">
        <v>124636</v>
      </c>
      <c r="L7" s="4" t="s">
        <v>33</v>
      </c>
      <c r="M7" s="4">
        <v>0.33</v>
      </c>
      <c r="N7" s="4">
        <v>0.69</v>
      </c>
      <c r="O7" s="4">
        <v>18976.439999999999</v>
      </c>
      <c r="P7" s="4">
        <v>0</v>
      </c>
      <c r="Q7" s="6">
        <f t="shared" si="8"/>
        <v>568.92082495209445</v>
      </c>
      <c r="R7" s="6">
        <f t="shared" si="0"/>
        <v>3835.1496982753997</v>
      </c>
      <c r="S7" s="4">
        <f t="shared" si="1"/>
        <v>24124.637681159424</v>
      </c>
      <c r="T7" s="4">
        <f t="shared" si="2"/>
        <v>10386.333333333334</v>
      </c>
      <c r="U7" s="4">
        <f t="shared" si="3"/>
        <v>3427.4900000000002</v>
      </c>
      <c r="V7" s="4">
        <f t="shared" ca="1" si="4"/>
        <v>59</v>
      </c>
      <c r="W7" s="20">
        <f t="shared" ca="1" si="5"/>
        <v>33566.328672173571</v>
      </c>
      <c r="X7" s="4">
        <f t="shared" si="6"/>
        <v>2330.4399999999987</v>
      </c>
      <c r="Y7" s="13">
        <f t="shared" si="7"/>
        <v>0.13999999999999993</v>
      </c>
    </row>
    <row r="8" spans="1:25" x14ac:dyDescent="0.3">
      <c r="A8" s="12" t="s">
        <v>44</v>
      </c>
      <c r="B8" s="7">
        <v>45068</v>
      </c>
      <c r="C8" s="4" t="s">
        <v>45</v>
      </c>
      <c r="D8" s="4" t="s">
        <v>46</v>
      </c>
      <c r="E8" s="4">
        <v>18029</v>
      </c>
      <c r="F8" s="4">
        <v>9.5</v>
      </c>
      <c r="G8" s="4">
        <v>60</v>
      </c>
      <c r="H8" s="4" t="s">
        <v>19</v>
      </c>
      <c r="I8" s="4" t="s">
        <v>27</v>
      </c>
      <c r="J8" s="4" t="s">
        <v>47</v>
      </c>
      <c r="K8" s="4">
        <v>34994</v>
      </c>
      <c r="L8" s="4" t="s">
        <v>22</v>
      </c>
      <c r="M8" s="4">
        <v>0.4</v>
      </c>
      <c r="N8" s="4">
        <v>0.8</v>
      </c>
      <c r="O8" s="4">
        <v>19741.759999999998</v>
      </c>
      <c r="P8" s="4">
        <v>0</v>
      </c>
      <c r="Q8" s="6">
        <f t="shared" si="8"/>
        <v>378.64255755286086</v>
      </c>
      <c r="R8" s="6">
        <f t="shared" si="0"/>
        <v>4689.5534531716512</v>
      </c>
      <c r="S8" s="4">
        <f t="shared" si="1"/>
        <v>22536.25</v>
      </c>
      <c r="T8" s="4">
        <f t="shared" si="2"/>
        <v>2916.1666666666665</v>
      </c>
      <c r="U8" s="4">
        <f t="shared" si="3"/>
        <v>1166.4666666666667</v>
      </c>
      <c r="V8" s="4">
        <f t="shared" ca="1" si="4"/>
        <v>33</v>
      </c>
      <c r="W8" s="20">
        <f t="shared" ca="1" si="5"/>
        <v>12495.204399244409</v>
      </c>
      <c r="X8" s="4">
        <f t="shared" si="6"/>
        <v>1712.7599999999984</v>
      </c>
      <c r="Y8" s="13">
        <f t="shared" si="7"/>
        <v>9.5000277330966693E-2</v>
      </c>
    </row>
    <row r="9" spans="1:25" x14ac:dyDescent="0.3">
      <c r="A9" s="12" t="s">
        <v>48</v>
      </c>
      <c r="B9" s="7">
        <v>44327</v>
      </c>
      <c r="C9" s="4" t="s">
        <v>49</v>
      </c>
      <c r="D9" s="4" t="s">
        <v>50</v>
      </c>
      <c r="E9" s="4">
        <v>30402</v>
      </c>
      <c r="F9" s="4">
        <v>22.8</v>
      </c>
      <c r="G9" s="4">
        <v>36</v>
      </c>
      <c r="H9" s="4" t="s">
        <v>26</v>
      </c>
      <c r="I9" s="4" t="s">
        <v>20</v>
      </c>
      <c r="J9" s="4" t="s">
        <v>21</v>
      </c>
      <c r="K9" s="4">
        <v>34234</v>
      </c>
      <c r="L9" s="4" t="s">
        <v>33</v>
      </c>
      <c r="M9" s="4">
        <v>0.41</v>
      </c>
      <c r="N9" s="4">
        <v>0.55000000000000004</v>
      </c>
      <c r="O9" s="4">
        <v>3813.31</v>
      </c>
      <c r="P9" s="4">
        <v>0</v>
      </c>
      <c r="Q9" s="6">
        <f t="shared" si="8"/>
        <v>1173.6861811164752</v>
      </c>
      <c r="R9" s="6">
        <f t="shared" si="0"/>
        <v>11850.702520193103</v>
      </c>
      <c r="S9" s="4">
        <f t="shared" si="1"/>
        <v>55276.363636363632</v>
      </c>
      <c r="T9" s="4">
        <f t="shared" si="2"/>
        <v>2852.8333333333335</v>
      </c>
      <c r="U9" s="4">
        <f t="shared" si="3"/>
        <v>1169.6616666666666</v>
      </c>
      <c r="V9" s="4">
        <f t="shared" ca="1" si="4"/>
        <v>58</v>
      </c>
      <c r="W9" s="20">
        <f t="shared" ca="1" si="5"/>
        <v>68073.798504755556</v>
      </c>
      <c r="X9" s="4">
        <f t="shared" si="6"/>
        <v>-26588.69</v>
      </c>
      <c r="Y9" s="13">
        <f t="shared" si="7"/>
        <v>-0.87457042299848686</v>
      </c>
    </row>
    <row r="10" spans="1:25" x14ac:dyDescent="0.3">
      <c r="A10" s="12" t="s">
        <v>51</v>
      </c>
      <c r="B10" s="7">
        <v>44966</v>
      </c>
      <c r="C10" s="4" t="s">
        <v>52</v>
      </c>
      <c r="D10" s="4" t="s">
        <v>53</v>
      </c>
      <c r="E10" s="4">
        <v>5263</v>
      </c>
      <c r="F10" s="4">
        <v>14</v>
      </c>
      <c r="G10" s="4">
        <v>36</v>
      </c>
      <c r="H10" s="4" t="s">
        <v>26</v>
      </c>
      <c r="I10" s="4" t="s">
        <v>27</v>
      </c>
      <c r="J10" s="4" t="s">
        <v>32</v>
      </c>
      <c r="K10" s="4">
        <v>99300</v>
      </c>
      <c r="L10" s="4" t="s">
        <v>33</v>
      </c>
      <c r="M10" s="4">
        <v>0.21</v>
      </c>
      <c r="N10" s="4">
        <v>0.68</v>
      </c>
      <c r="O10" s="4">
        <v>885.74</v>
      </c>
      <c r="P10" s="4">
        <v>0</v>
      </c>
      <c r="Q10" s="6">
        <f t="shared" si="8"/>
        <v>179.87686541648884</v>
      </c>
      <c r="R10" s="6">
        <f t="shared" si="0"/>
        <v>1212.5671549935978</v>
      </c>
      <c r="S10" s="4">
        <f t="shared" si="1"/>
        <v>7739.7058823529405</v>
      </c>
      <c r="T10" s="4">
        <f t="shared" si="2"/>
        <v>8275</v>
      </c>
      <c r="U10" s="4">
        <f t="shared" si="3"/>
        <v>1737.75</v>
      </c>
      <c r="V10" s="4">
        <f t="shared" ca="1" si="4"/>
        <v>37</v>
      </c>
      <c r="W10" s="20">
        <f t="shared" ca="1" si="5"/>
        <v>6655.4440204100874</v>
      </c>
      <c r="X10" s="4">
        <f t="shared" si="6"/>
        <v>-4377.26</v>
      </c>
      <c r="Y10" s="13">
        <f t="shared" si="7"/>
        <v>-0.83170435113053398</v>
      </c>
    </row>
    <row r="11" spans="1:25" x14ac:dyDescent="0.3">
      <c r="A11" s="12" t="s">
        <v>54</v>
      </c>
      <c r="B11" s="7">
        <v>44540</v>
      </c>
      <c r="C11" s="4" t="s">
        <v>55</v>
      </c>
      <c r="D11" s="4" t="s">
        <v>56</v>
      </c>
      <c r="E11" s="4">
        <v>31987</v>
      </c>
      <c r="F11" s="4">
        <v>22.6</v>
      </c>
      <c r="G11" s="4">
        <v>60</v>
      </c>
      <c r="H11" s="4" t="s">
        <v>26</v>
      </c>
      <c r="I11" s="4" t="s">
        <v>57</v>
      </c>
      <c r="J11" s="4" t="s">
        <v>21</v>
      </c>
      <c r="K11" s="4">
        <v>73949</v>
      </c>
      <c r="L11" s="4" t="s">
        <v>33</v>
      </c>
      <c r="M11" s="4">
        <v>0.18</v>
      </c>
      <c r="N11" s="4">
        <v>0.86</v>
      </c>
      <c r="O11" s="4">
        <v>2113.92</v>
      </c>
      <c r="P11" s="4">
        <v>0</v>
      </c>
      <c r="Q11" s="6">
        <f t="shared" si="8"/>
        <v>894.39270249597689</v>
      </c>
      <c r="R11" s="6">
        <f t="shared" si="0"/>
        <v>21676.562149758611</v>
      </c>
      <c r="S11" s="4">
        <f t="shared" si="1"/>
        <v>37194.186046511626</v>
      </c>
      <c r="T11" s="4">
        <f t="shared" si="2"/>
        <v>6162.416666666667</v>
      </c>
      <c r="U11" s="4">
        <f t="shared" si="3"/>
        <v>1109.2349999999999</v>
      </c>
      <c r="V11" s="4">
        <f t="shared" ca="1" si="4"/>
        <v>51</v>
      </c>
      <c r="W11" s="20">
        <f t="shared" ca="1" si="5"/>
        <v>45614.02782729482</v>
      </c>
      <c r="X11" s="4">
        <f t="shared" si="6"/>
        <v>-29873.08</v>
      </c>
      <c r="Y11" s="13">
        <f t="shared" si="7"/>
        <v>-0.93391315221808868</v>
      </c>
    </row>
    <row r="12" spans="1:25" x14ac:dyDescent="0.3">
      <c r="A12" s="12" t="s">
        <v>58</v>
      </c>
      <c r="B12" s="7">
        <v>45002</v>
      </c>
      <c r="C12" s="4" t="s">
        <v>59</v>
      </c>
      <c r="D12" s="4" t="s">
        <v>25</v>
      </c>
      <c r="E12" s="4">
        <v>9646</v>
      </c>
      <c r="F12" s="4">
        <v>7.1</v>
      </c>
      <c r="G12" s="4">
        <v>60</v>
      </c>
      <c r="H12" s="4" t="s">
        <v>60</v>
      </c>
      <c r="I12" s="4" t="s">
        <v>27</v>
      </c>
      <c r="J12" s="4" t="s">
        <v>47</v>
      </c>
      <c r="K12" s="4">
        <v>67405</v>
      </c>
      <c r="L12" s="4" t="s">
        <v>33</v>
      </c>
      <c r="M12" s="4">
        <v>0.11</v>
      </c>
      <c r="N12" s="4">
        <v>0.6</v>
      </c>
      <c r="O12" s="4">
        <v>0</v>
      </c>
      <c r="P12" s="4">
        <v>0</v>
      </c>
      <c r="Q12" s="6">
        <f t="shared" si="8"/>
        <v>191.45778891343136</v>
      </c>
      <c r="R12" s="6">
        <f t="shared" si="0"/>
        <v>1841.4673348058823</v>
      </c>
      <c r="S12" s="4">
        <f t="shared" si="1"/>
        <v>16076.666666666668</v>
      </c>
      <c r="T12" s="4">
        <f t="shared" si="2"/>
        <v>5617.083333333333</v>
      </c>
      <c r="U12" s="4">
        <f t="shared" si="3"/>
        <v>617.87916666666661</v>
      </c>
      <c r="V12" s="4">
        <f t="shared" ca="1" si="4"/>
        <v>36</v>
      </c>
      <c r="W12" s="20">
        <f t="shared" ca="1" si="5"/>
        <v>6892.480400883529</v>
      </c>
      <c r="X12" s="4">
        <f t="shared" si="6"/>
        <v>-9646</v>
      </c>
      <c r="Y12" s="13">
        <f t="shared" si="7"/>
        <v>-1</v>
      </c>
    </row>
    <row r="13" spans="1:25" x14ac:dyDescent="0.3">
      <c r="A13" s="12" t="s">
        <v>61</v>
      </c>
      <c r="B13" s="7">
        <v>44582</v>
      </c>
      <c r="C13" s="4" t="s">
        <v>62</v>
      </c>
      <c r="D13" s="4" t="s">
        <v>46</v>
      </c>
      <c r="E13" s="4">
        <v>28529</v>
      </c>
      <c r="F13" s="4">
        <v>24.8</v>
      </c>
      <c r="G13" s="4">
        <v>60</v>
      </c>
      <c r="H13" s="4" t="s">
        <v>19</v>
      </c>
      <c r="I13" s="4" t="s">
        <v>57</v>
      </c>
      <c r="J13" s="4" t="s">
        <v>32</v>
      </c>
      <c r="K13" s="4">
        <v>64872</v>
      </c>
      <c r="L13" s="4" t="s">
        <v>33</v>
      </c>
      <c r="M13" s="4">
        <v>0.37</v>
      </c>
      <c r="N13" s="4">
        <v>0.57999999999999996</v>
      </c>
      <c r="O13" s="4">
        <v>35604.19</v>
      </c>
      <c r="P13" s="4">
        <v>0</v>
      </c>
      <c r="Q13" s="6">
        <f t="shared" si="8"/>
        <v>834.02210363249776</v>
      </c>
      <c r="R13" s="6">
        <f t="shared" si="0"/>
        <v>21512.326217949863</v>
      </c>
      <c r="S13" s="4">
        <f t="shared" si="1"/>
        <v>49187.931034482761</v>
      </c>
      <c r="T13" s="4">
        <f t="shared" si="2"/>
        <v>5406</v>
      </c>
      <c r="U13" s="4">
        <f t="shared" si="3"/>
        <v>2000.22</v>
      </c>
      <c r="V13" s="4">
        <f t="shared" ca="1" si="4"/>
        <v>49</v>
      </c>
      <c r="W13" s="20">
        <f t="shared" ca="1" si="5"/>
        <v>40867.083077992393</v>
      </c>
      <c r="X13" s="4">
        <f t="shared" si="6"/>
        <v>7075.1900000000023</v>
      </c>
      <c r="Y13" s="13">
        <f t="shared" si="7"/>
        <v>0.24799992989589548</v>
      </c>
    </row>
    <row r="14" spans="1:25" x14ac:dyDescent="0.3">
      <c r="A14" s="12" t="s">
        <v>63</v>
      </c>
      <c r="B14" s="7">
        <v>45152</v>
      </c>
      <c r="C14" s="4" t="s">
        <v>64</v>
      </c>
      <c r="D14" s="4" t="s">
        <v>65</v>
      </c>
      <c r="E14" s="4">
        <v>12664</v>
      </c>
      <c r="F14" s="4">
        <v>13.9</v>
      </c>
      <c r="G14" s="4">
        <v>36</v>
      </c>
      <c r="H14" s="4" t="s">
        <v>19</v>
      </c>
      <c r="I14" s="4" t="s">
        <v>20</v>
      </c>
      <c r="J14" s="4" t="s">
        <v>32</v>
      </c>
      <c r="K14" s="4">
        <v>72215</v>
      </c>
      <c r="L14" s="4" t="s">
        <v>29</v>
      </c>
      <c r="M14" s="4">
        <v>0.13</v>
      </c>
      <c r="N14" s="4">
        <v>0.93</v>
      </c>
      <c r="O14" s="4">
        <v>14424.3</v>
      </c>
      <c r="P14" s="4">
        <v>0</v>
      </c>
      <c r="Q14" s="6">
        <f t="shared" si="8"/>
        <v>432.21067915614725</v>
      </c>
      <c r="R14" s="6">
        <f t="shared" si="0"/>
        <v>2895.5844496213012</v>
      </c>
      <c r="S14" s="4">
        <f t="shared" si="1"/>
        <v>13617.204301075268</v>
      </c>
      <c r="T14" s="4">
        <f t="shared" si="2"/>
        <v>6017.916666666667</v>
      </c>
      <c r="U14" s="4">
        <f t="shared" si="3"/>
        <v>782.32916666666677</v>
      </c>
      <c r="V14" s="4">
        <f t="shared" ca="1" si="4"/>
        <v>31</v>
      </c>
      <c r="W14" s="20">
        <f t="shared" ca="1" si="5"/>
        <v>13398.531053840565</v>
      </c>
      <c r="X14" s="4">
        <f t="shared" si="6"/>
        <v>1760.2999999999993</v>
      </c>
      <c r="Y14" s="13">
        <f t="shared" si="7"/>
        <v>0.13900031585596961</v>
      </c>
    </row>
    <row r="15" spans="1:25" x14ac:dyDescent="0.3">
      <c r="A15" s="12" t="s">
        <v>66</v>
      </c>
      <c r="B15" s="7">
        <v>44473</v>
      </c>
      <c r="C15" s="4" t="s">
        <v>67</v>
      </c>
      <c r="D15" s="4" t="s">
        <v>46</v>
      </c>
      <c r="E15" s="4">
        <v>36737</v>
      </c>
      <c r="F15" s="4">
        <v>6</v>
      </c>
      <c r="G15" s="4">
        <v>60</v>
      </c>
      <c r="H15" s="4" t="s">
        <v>19</v>
      </c>
      <c r="I15" s="4" t="s">
        <v>57</v>
      </c>
      <c r="J15" s="4" t="s">
        <v>28</v>
      </c>
      <c r="K15" s="4">
        <v>53185</v>
      </c>
      <c r="L15" s="4" t="s">
        <v>33</v>
      </c>
      <c r="M15" s="4">
        <v>0.27</v>
      </c>
      <c r="N15" s="4">
        <v>0.59</v>
      </c>
      <c r="O15" s="4">
        <v>38941.22</v>
      </c>
      <c r="P15" s="4">
        <v>0</v>
      </c>
      <c r="Q15" s="6">
        <f t="shared" si="8"/>
        <v>710.22912978659326</v>
      </c>
      <c r="R15" s="6">
        <f t="shared" si="0"/>
        <v>5876.7477871955925</v>
      </c>
      <c r="S15" s="4">
        <f t="shared" si="1"/>
        <v>62266.101694915254</v>
      </c>
      <c r="T15" s="4">
        <f t="shared" si="2"/>
        <v>4432.083333333333</v>
      </c>
      <c r="U15" s="4">
        <f t="shared" si="3"/>
        <v>1196.6624999999999</v>
      </c>
      <c r="V15" s="4">
        <f t="shared" ca="1" si="4"/>
        <v>53</v>
      </c>
      <c r="W15" s="20">
        <f t="shared" ca="1" si="5"/>
        <v>37642.143878689443</v>
      </c>
      <c r="X15" s="4">
        <f t="shared" si="6"/>
        <v>2204.2200000000012</v>
      </c>
      <c r="Y15" s="13">
        <f t="shared" si="7"/>
        <v>6.0000000000000032E-2</v>
      </c>
    </row>
    <row r="16" spans="1:25" x14ac:dyDescent="0.3">
      <c r="A16" s="12" t="s">
        <v>68</v>
      </c>
      <c r="B16" s="7">
        <v>44656</v>
      </c>
      <c r="C16" s="4" t="s">
        <v>69</v>
      </c>
      <c r="D16" s="4" t="s">
        <v>65</v>
      </c>
      <c r="E16" s="4">
        <v>36796</v>
      </c>
      <c r="F16" s="4">
        <v>5.8</v>
      </c>
      <c r="G16" s="4">
        <v>60</v>
      </c>
      <c r="H16" s="4" t="s">
        <v>26</v>
      </c>
      <c r="I16" s="4" t="s">
        <v>20</v>
      </c>
      <c r="J16" s="4" t="s">
        <v>21</v>
      </c>
      <c r="K16" s="4">
        <v>73442</v>
      </c>
      <c r="L16" s="4" t="s">
        <v>29</v>
      </c>
      <c r="M16" s="4">
        <v>0.34</v>
      </c>
      <c r="N16" s="4">
        <v>0.62</v>
      </c>
      <c r="O16" s="4">
        <v>13503.79</v>
      </c>
      <c r="P16" s="4">
        <v>0</v>
      </c>
      <c r="Q16" s="6">
        <f t="shared" si="8"/>
        <v>707.95285822338928</v>
      </c>
      <c r="R16" s="6">
        <f t="shared" si="0"/>
        <v>5681.1714934033589</v>
      </c>
      <c r="S16" s="4">
        <f t="shared" si="1"/>
        <v>59348.387096774197</v>
      </c>
      <c r="T16" s="4">
        <f t="shared" si="2"/>
        <v>6120.166666666667</v>
      </c>
      <c r="U16" s="4">
        <f t="shared" si="3"/>
        <v>2080.856666666667</v>
      </c>
      <c r="V16" s="4">
        <f t="shared" ca="1" si="4"/>
        <v>47</v>
      </c>
      <c r="W16" s="20">
        <f t="shared" ca="1" si="5"/>
        <v>33273.784336499295</v>
      </c>
      <c r="X16" s="4">
        <f t="shared" si="6"/>
        <v>-23292.21</v>
      </c>
      <c r="Y16" s="13">
        <f t="shared" si="7"/>
        <v>-0.63300929448853138</v>
      </c>
    </row>
    <row r="17" spans="1:25" x14ac:dyDescent="0.3">
      <c r="A17" s="12" t="s">
        <v>70</v>
      </c>
      <c r="B17" s="7">
        <v>44218</v>
      </c>
      <c r="C17" s="4" t="s">
        <v>71</v>
      </c>
      <c r="D17" s="4" t="s">
        <v>72</v>
      </c>
      <c r="E17" s="4">
        <v>25027</v>
      </c>
      <c r="F17" s="4">
        <v>19.899999999999999</v>
      </c>
      <c r="G17" s="4">
        <v>36</v>
      </c>
      <c r="H17" s="4" t="s">
        <v>19</v>
      </c>
      <c r="I17" s="4" t="s">
        <v>73</v>
      </c>
      <c r="J17" s="4" t="s">
        <v>21</v>
      </c>
      <c r="K17" s="4">
        <v>81759</v>
      </c>
      <c r="L17" s="4" t="s">
        <v>33</v>
      </c>
      <c r="M17" s="4">
        <v>0.47</v>
      </c>
      <c r="N17" s="4">
        <v>0.94</v>
      </c>
      <c r="O17" s="4">
        <v>30007.37</v>
      </c>
      <c r="P17" s="4">
        <v>0</v>
      </c>
      <c r="Q17" s="6">
        <f t="shared" si="8"/>
        <v>928.81829886778678</v>
      </c>
      <c r="R17" s="6">
        <f t="shared" si="0"/>
        <v>8410.4587592403259</v>
      </c>
      <c r="S17" s="4">
        <f t="shared" si="1"/>
        <v>26624.468085106386</v>
      </c>
      <c r="T17" s="4">
        <f t="shared" si="2"/>
        <v>6813.25</v>
      </c>
      <c r="U17" s="4">
        <f t="shared" si="3"/>
        <v>3202.2275</v>
      </c>
      <c r="V17" s="4">
        <f t="shared" ca="1" si="4"/>
        <v>61</v>
      </c>
      <c r="W17" s="20">
        <f t="shared" ca="1" si="5"/>
        <v>56657.916230934992</v>
      </c>
      <c r="X17" s="4">
        <f t="shared" si="6"/>
        <v>4980.369999999999</v>
      </c>
      <c r="Y17" s="13">
        <f t="shared" si="7"/>
        <v>0.19899988012946015</v>
      </c>
    </row>
    <row r="18" spans="1:25" x14ac:dyDescent="0.3">
      <c r="A18" s="12" t="s">
        <v>74</v>
      </c>
      <c r="B18" s="7">
        <v>44449</v>
      </c>
      <c r="C18" s="4" t="s">
        <v>75</v>
      </c>
      <c r="D18" s="4" t="s">
        <v>76</v>
      </c>
      <c r="E18" s="4">
        <v>30373</v>
      </c>
      <c r="F18" s="4">
        <v>18.2</v>
      </c>
      <c r="G18" s="4">
        <v>60</v>
      </c>
      <c r="H18" s="4" t="s">
        <v>26</v>
      </c>
      <c r="I18" s="4" t="s">
        <v>20</v>
      </c>
      <c r="J18" s="4" t="s">
        <v>28</v>
      </c>
      <c r="K18" s="4">
        <v>71153</v>
      </c>
      <c r="L18" s="4" t="s">
        <v>22</v>
      </c>
      <c r="M18" s="4">
        <v>0.22</v>
      </c>
      <c r="N18" s="4">
        <v>0.83</v>
      </c>
      <c r="O18" s="4">
        <v>8244.83</v>
      </c>
      <c r="P18" s="4">
        <v>0</v>
      </c>
      <c r="Q18" s="6">
        <f t="shared" si="8"/>
        <v>774.58294933493835</v>
      </c>
      <c r="R18" s="6">
        <f t="shared" si="0"/>
        <v>16101.976960096305</v>
      </c>
      <c r="S18" s="4">
        <f t="shared" si="1"/>
        <v>36593.975903614461</v>
      </c>
      <c r="T18" s="4">
        <f t="shared" si="2"/>
        <v>5929.416666666667</v>
      </c>
      <c r="U18" s="4">
        <f t="shared" si="3"/>
        <v>1304.4716666666668</v>
      </c>
      <c r="V18" s="4">
        <f t="shared" ca="1" si="4"/>
        <v>54</v>
      </c>
      <c r="W18" s="20">
        <f t="shared" ca="1" si="5"/>
        <v>41827.479264086673</v>
      </c>
      <c r="X18" s="4">
        <f t="shared" si="6"/>
        <v>-22128.17</v>
      </c>
      <c r="Y18" s="13">
        <f t="shared" si="7"/>
        <v>-0.72854739406709901</v>
      </c>
    </row>
    <row r="19" spans="1:25" x14ac:dyDescent="0.3">
      <c r="A19" s="12" t="s">
        <v>77</v>
      </c>
      <c r="B19" s="7">
        <v>44944</v>
      </c>
      <c r="C19" s="4" t="s">
        <v>78</v>
      </c>
      <c r="D19" s="4" t="s">
        <v>18</v>
      </c>
      <c r="E19" s="4">
        <v>37397</v>
      </c>
      <c r="F19" s="4">
        <v>21</v>
      </c>
      <c r="G19" s="4">
        <v>60</v>
      </c>
      <c r="H19" s="4" t="s">
        <v>19</v>
      </c>
      <c r="I19" s="4" t="s">
        <v>73</v>
      </c>
      <c r="J19" s="4" t="s">
        <v>37</v>
      </c>
      <c r="K19" s="4">
        <v>107535</v>
      </c>
      <c r="L19" s="4" t="s">
        <v>29</v>
      </c>
      <c r="M19" s="4">
        <v>0.2</v>
      </c>
      <c r="N19" s="4">
        <v>0.81</v>
      </c>
      <c r="O19" s="4">
        <v>45250.37</v>
      </c>
      <c r="P19" s="4">
        <v>0</v>
      </c>
      <c r="Q19" s="6">
        <f t="shared" si="8"/>
        <v>1011.7144966542766</v>
      </c>
      <c r="R19" s="6">
        <f t="shared" si="0"/>
        <v>23305.869799256594</v>
      </c>
      <c r="S19" s="4">
        <f t="shared" si="1"/>
        <v>46169.135802469136</v>
      </c>
      <c r="T19" s="4">
        <f t="shared" si="2"/>
        <v>8961.25</v>
      </c>
      <c r="U19" s="4">
        <f t="shared" si="3"/>
        <v>1792.25</v>
      </c>
      <c r="V19" s="4">
        <f t="shared" ca="1" si="4"/>
        <v>38</v>
      </c>
      <c r="W19" s="20">
        <f t="shared" ca="1" si="5"/>
        <v>38445.150872862512</v>
      </c>
      <c r="X19" s="4">
        <f t="shared" si="6"/>
        <v>7853.3700000000026</v>
      </c>
      <c r="Y19" s="13">
        <f t="shared" si="7"/>
        <v>0.21000000000000008</v>
      </c>
    </row>
    <row r="20" spans="1:25" x14ac:dyDescent="0.3">
      <c r="A20" s="12" t="s">
        <v>79</v>
      </c>
      <c r="B20" s="7">
        <v>45053</v>
      </c>
      <c r="C20" s="4" t="s">
        <v>80</v>
      </c>
      <c r="D20" s="4" t="s">
        <v>76</v>
      </c>
      <c r="E20" s="4">
        <v>21609</v>
      </c>
      <c r="F20" s="4">
        <v>7.1</v>
      </c>
      <c r="G20" s="4">
        <v>60</v>
      </c>
      <c r="H20" s="4" t="s">
        <v>81</v>
      </c>
      <c r="I20" s="4" t="s">
        <v>36</v>
      </c>
      <c r="J20" s="4" t="s">
        <v>47</v>
      </c>
      <c r="K20" s="4">
        <v>132023</v>
      </c>
      <c r="L20" s="4" t="s">
        <v>22</v>
      </c>
      <c r="M20" s="4">
        <v>0.36</v>
      </c>
      <c r="N20" s="4">
        <v>0.88</v>
      </c>
      <c r="O20" s="4">
        <v>2771.85</v>
      </c>
      <c r="P20" s="4">
        <v>10111.4</v>
      </c>
      <c r="Q20" s="6">
        <f t="shared" si="8"/>
        <v>428.90435005498006</v>
      </c>
      <c r="R20" s="6">
        <f t="shared" si="0"/>
        <v>4125.261003298805</v>
      </c>
      <c r="S20" s="4">
        <f t="shared" si="1"/>
        <v>24555.68181818182</v>
      </c>
      <c r="T20" s="4">
        <f t="shared" si="2"/>
        <v>11001.916666666666</v>
      </c>
      <c r="U20" s="4">
        <f t="shared" si="3"/>
        <v>3960.6899999999996</v>
      </c>
      <c r="V20" s="4">
        <f t="shared" ca="1" si="4"/>
        <v>34</v>
      </c>
      <c r="W20" s="20">
        <v>0</v>
      </c>
      <c r="X20" s="4">
        <f t="shared" si="6"/>
        <v>-8725.75</v>
      </c>
      <c r="Y20" s="13">
        <f t="shared" si="7"/>
        <v>-0.4038016567171086</v>
      </c>
    </row>
    <row r="21" spans="1:25" x14ac:dyDescent="0.3">
      <c r="A21" s="12" t="s">
        <v>82</v>
      </c>
      <c r="B21" s="7">
        <v>44671</v>
      </c>
      <c r="C21" s="4" t="s">
        <v>83</v>
      </c>
      <c r="D21" s="4" t="s">
        <v>46</v>
      </c>
      <c r="E21" s="4">
        <v>36835</v>
      </c>
      <c r="F21" s="4">
        <v>5.7</v>
      </c>
      <c r="G21" s="4">
        <v>60</v>
      </c>
      <c r="H21" s="4" t="s">
        <v>81</v>
      </c>
      <c r="I21" s="4" t="s">
        <v>84</v>
      </c>
      <c r="J21" s="4" t="s">
        <v>21</v>
      </c>
      <c r="K21" s="4">
        <v>32581</v>
      </c>
      <c r="L21" s="4" t="s">
        <v>33</v>
      </c>
      <c r="M21" s="4">
        <v>0.35</v>
      </c>
      <c r="N21" s="4">
        <v>0.55000000000000004</v>
      </c>
      <c r="O21" s="4">
        <v>5580.8</v>
      </c>
      <c r="P21" s="4">
        <v>9880.57</v>
      </c>
      <c r="Q21" s="6">
        <f t="shared" si="8"/>
        <v>706.99672773224177</v>
      </c>
      <c r="R21" s="6">
        <f t="shared" si="0"/>
        <v>5584.8036639345082</v>
      </c>
      <c r="S21" s="4">
        <f t="shared" si="1"/>
        <v>66972.727272727265</v>
      </c>
      <c r="T21" s="4">
        <f t="shared" si="2"/>
        <v>2715.0833333333335</v>
      </c>
      <c r="U21" s="4">
        <f t="shared" si="3"/>
        <v>950.2791666666667</v>
      </c>
      <c r="V21" s="4">
        <f t="shared" ca="1" si="4"/>
        <v>46</v>
      </c>
      <c r="W21" s="20">
        <v>0</v>
      </c>
      <c r="X21" s="4">
        <f t="shared" si="6"/>
        <v>-21373.63</v>
      </c>
      <c r="Y21" s="13">
        <f t="shared" si="7"/>
        <v>-0.58025329170625761</v>
      </c>
    </row>
    <row r="22" spans="1:25" x14ac:dyDescent="0.3">
      <c r="A22" s="12" t="s">
        <v>85</v>
      </c>
      <c r="B22" s="7">
        <v>45279</v>
      </c>
      <c r="C22" s="4" t="s">
        <v>86</v>
      </c>
      <c r="D22" s="4" t="s">
        <v>76</v>
      </c>
      <c r="E22" s="4">
        <v>39709</v>
      </c>
      <c r="F22" s="4">
        <v>15.2</v>
      </c>
      <c r="G22" s="4">
        <v>36</v>
      </c>
      <c r="H22" s="4" t="s">
        <v>19</v>
      </c>
      <c r="I22" s="4" t="s">
        <v>36</v>
      </c>
      <c r="J22" s="4" t="s">
        <v>28</v>
      </c>
      <c r="K22" s="4">
        <v>81717</v>
      </c>
      <c r="L22" s="4" t="s">
        <v>33</v>
      </c>
      <c r="M22" s="4">
        <v>0.23</v>
      </c>
      <c r="N22" s="4">
        <v>0.82</v>
      </c>
      <c r="O22" s="4">
        <v>45744.77</v>
      </c>
      <c r="P22" s="4">
        <v>0</v>
      </c>
      <c r="Q22" s="6">
        <f t="shared" si="8"/>
        <v>1380.4178431249807</v>
      </c>
      <c r="R22" s="6">
        <f t="shared" si="0"/>
        <v>9986.0423524993021</v>
      </c>
      <c r="S22" s="4">
        <f t="shared" si="1"/>
        <v>48425.609756097561</v>
      </c>
      <c r="T22" s="4">
        <f t="shared" si="2"/>
        <v>6809.75</v>
      </c>
      <c r="U22" s="4">
        <f t="shared" si="3"/>
        <v>1566.2425000000001</v>
      </c>
      <c r="V22" s="4">
        <f t="shared" ca="1" si="4"/>
        <v>27</v>
      </c>
      <c r="W22" s="20">
        <f t="shared" ref="W22:W35" ca="1" si="9">V22*Q22</f>
        <v>37271.281764374478</v>
      </c>
      <c r="X22" s="4">
        <f t="shared" si="6"/>
        <v>6035.7699999999968</v>
      </c>
      <c r="Y22" s="13">
        <f t="shared" si="7"/>
        <v>0.15200005036641559</v>
      </c>
    </row>
    <row r="23" spans="1:25" x14ac:dyDescent="0.3">
      <c r="A23" s="12" t="s">
        <v>87</v>
      </c>
      <c r="B23" s="7">
        <v>44707</v>
      </c>
      <c r="C23" s="4" t="s">
        <v>88</v>
      </c>
      <c r="D23" s="4" t="s">
        <v>56</v>
      </c>
      <c r="E23" s="4">
        <v>20250</v>
      </c>
      <c r="F23" s="4">
        <v>12.8</v>
      </c>
      <c r="G23" s="4">
        <v>60</v>
      </c>
      <c r="H23" s="4" t="s">
        <v>19</v>
      </c>
      <c r="I23" s="4" t="s">
        <v>36</v>
      </c>
      <c r="J23" s="4" t="s">
        <v>32</v>
      </c>
      <c r="K23" s="4">
        <v>32763</v>
      </c>
      <c r="L23" s="4" t="s">
        <v>22</v>
      </c>
      <c r="M23" s="4">
        <v>0.47</v>
      </c>
      <c r="N23" s="4">
        <v>0.73</v>
      </c>
      <c r="O23" s="4">
        <v>22842</v>
      </c>
      <c r="P23" s="4">
        <v>0</v>
      </c>
      <c r="Q23" s="6">
        <f t="shared" si="8"/>
        <v>458.6791493767011</v>
      </c>
      <c r="R23" s="6">
        <f t="shared" si="0"/>
        <v>7270.7489626020651</v>
      </c>
      <c r="S23" s="4">
        <f t="shared" si="1"/>
        <v>27739.726027397261</v>
      </c>
      <c r="T23" s="4">
        <f t="shared" si="2"/>
        <v>2730.25</v>
      </c>
      <c r="U23" s="4">
        <f t="shared" si="3"/>
        <v>1283.2175</v>
      </c>
      <c r="V23" s="4">
        <f t="shared" ca="1" si="4"/>
        <v>45</v>
      </c>
      <c r="W23" s="20">
        <f t="shared" ca="1" si="9"/>
        <v>20640.561721951548</v>
      </c>
      <c r="X23" s="4">
        <f t="shared" si="6"/>
        <v>2592</v>
      </c>
      <c r="Y23" s="13">
        <f t="shared" si="7"/>
        <v>0.128</v>
      </c>
    </row>
    <row r="24" spans="1:25" x14ac:dyDescent="0.3">
      <c r="A24" s="12" t="s">
        <v>89</v>
      </c>
      <c r="B24" s="7">
        <v>44896</v>
      </c>
      <c r="C24" s="4" t="s">
        <v>90</v>
      </c>
      <c r="D24" s="4" t="s">
        <v>72</v>
      </c>
      <c r="E24" s="4">
        <v>22172</v>
      </c>
      <c r="F24" s="4">
        <v>14.2</v>
      </c>
      <c r="G24" s="4">
        <v>60</v>
      </c>
      <c r="H24" s="4" t="s">
        <v>26</v>
      </c>
      <c r="I24" s="4" t="s">
        <v>20</v>
      </c>
      <c r="J24" s="4" t="s">
        <v>28</v>
      </c>
      <c r="K24" s="4">
        <v>122910</v>
      </c>
      <c r="L24" s="4" t="s">
        <v>33</v>
      </c>
      <c r="M24" s="4">
        <v>0.44</v>
      </c>
      <c r="N24" s="4">
        <v>0.87</v>
      </c>
      <c r="O24" s="4">
        <v>2131.63</v>
      </c>
      <c r="P24" s="4">
        <v>0</v>
      </c>
      <c r="Q24" s="6">
        <f t="shared" si="8"/>
        <v>518.2054974928933</v>
      </c>
      <c r="R24" s="6">
        <f t="shared" si="0"/>
        <v>8920.329849573598</v>
      </c>
      <c r="S24" s="4">
        <f t="shared" si="1"/>
        <v>25485.057471264368</v>
      </c>
      <c r="T24" s="4">
        <f t="shared" si="2"/>
        <v>10242.5</v>
      </c>
      <c r="U24" s="4">
        <f t="shared" si="3"/>
        <v>4506.7</v>
      </c>
      <c r="V24" s="4">
        <f t="shared" ca="1" si="4"/>
        <v>39</v>
      </c>
      <c r="W24" s="20">
        <f t="shared" ca="1" si="9"/>
        <v>20210.014402222838</v>
      </c>
      <c r="X24" s="4">
        <f t="shared" si="6"/>
        <v>-20040.37</v>
      </c>
      <c r="Y24" s="13">
        <f t="shared" si="7"/>
        <v>-0.90385937218112933</v>
      </c>
    </row>
    <row r="25" spans="1:25" x14ac:dyDescent="0.3">
      <c r="A25" s="12" t="s">
        <v>91</v>
      </c>
      <c r="B25" s="7">
        <v>45172</v>
      </c>
      <c r="C25" s="4" t="s">
        <v>92</v>
      </c>
      <c r="D25" s="4" t="s">
        <v>53</v>
      </c>
      <c r="E25" s="4">
        <v>12555</v>
      </c>
      <c r="F25" s="4">
        <v>24.8</v>
      </c>
      <c r="G25" s="4">
        <v>36</v>
      </c>
      <c r="H25" s="4" t="s">
        <v>19</v>
      </c>
      <c r="I25" s="4" t="s">
        <v>20</v>
      </c>
      <c r="J25" s="4" t="s">
        <v>37</v>
      </c>
      <c r="K25" s="4">
        <v>85480</v>
      </c>
      <c r="L25" s="4" t="s">
        <v>22</v>
      </c>
      <c r="M25" s="4">
        <v>0.19</v>
      </c>
      <c r="N25" s="4">
        <v>0.73</v>
      </c>
      <c r="O25" s="4">
        <v>15668.64</v>
      </c>
      <c r="P25" s="4">
        <v>0</v>
      </c>
      <c r="Q25" s="6">
        <f t="shared" si="8"/>
        <v>497.85753757255827</v>
      </c>
      <c r="R25" s="6">
        <f t="shared" si="0"/>
        <v>5367.8713526120991</v>
      </c>
      <c r="S25" s="4">
        <f t="shared" si="1"/>
        <v>17198.630136986303</v>
      </c>
      <c r="T25" s="4">
        <f t="shared" si="2"/>
        <v>7123.333333333333</v>
      </c>
      <c r="U25" s="4">
        <f t="shared" si="3"/>
        <v>1353.4333333333334</v>
      </c>
      <c r="V25" s="4">
        <f t="shared" ca="1" si="4"/>
        <v>30</v>
      </c>
      <c r="W25" s="20">
        <f t="shared" ca="1" si="9"/>
        <v>14935.726127176747</v>
      </c>
      <c r="X25" s="4">
        <f t="shared" si="6"/>
        <v>3113.6399999999994</v>
      </c>
      <c r="Y25" s="13">
        <f t="shared" si="7"/>
        <v>0.24799999999999994</v>
      </c>
    </row>
    <row r="26" spans="1:25" x14ac:dyDescent="0.3">
      <c r="A26" s="12" t="s">
        <v>93</v>
      </c>
      <c r="B26" s="7">
        <v>44386</v>
      </c>
      <c r="C26" s="4" t="s">
        <v>94</v>
      </c>
      <c r="D26" s="4" t="s">
        <v>72</v>
      </c>
      <c r="E26" s="4">
        <v>22874</v>
      </c>
      <c r="F26" s="4">
        <v>24.4</v>
      </c>
      <c r="G26" s="4">
        <v>60</v>
      </c>
      <c r="H26" s="4" t="s">
        <v>19</v>
      </c>
      <c r="I26" s="4" t="s">
        <v>73</v>
      </c>
      <c r="J26" s="4" t="s">
        <v>47</v>
      </c>
      <c r="K26" s="4">
        <v>68759</v>
      </c>
      <c r="L26" s="4" t="s">
        <v>33</v>
      </c>
      <c r="M26" s="4">
        <v>0.2</v>
      </c>
      <c r="N26" s="4">
        <v>0.78</v>
      </c>
      <c r="O26" s="4">
        <v>28455.26</v>
      </c>
      <c r="P26" s="4">
        <v>0</v>
      </c>
      <c r="Q26" s="6">
        <f t="shared" si="8"/>
        <v>663.35994042870425</v>
      </c>
      <c r="R26" s="6">
        <f t="shared" si="0"/>
        <v>16927.596425722251</v>
      </c>
      <c r="S26" s="4">
        <f t="shared" si="1"/>
        <v>29325.641025641024</v>
      </c>
      <c r="T26" s="4">
        <f t="shared" si="2"/>
        <v>5729.916666666667</v>
      </c>
      <c r="U26" s="4">
        <f t="shared" si="3"/>
        <v>1145.9833333333333</v>
      </c>
      <c r="V26" s="4">
        <f t="shared" ca="1" si="4"/>
        <v>56</v>
      </c>
      <c r="W26" s="20">
        <f t="shared" ca="1" si="9"/>
        <v>37148.156664007438</v>
      </c>
      <c r="X26" s="4">
        <f t="shared" si="6"/>
        <v>5581.2599999999984</v>
      </c>
      <c r="Y26" s="13">
        <f t="shared" si="7"/>
        <v>0.24400017487103254</v>
      </c>
    </row>
    <row r="27" spans="1:25" x14ac:dyDescent="0.3">
      <c r="A27" s="12" t="s">
        <v>95</v>
      </c>
      <c r="B27" s="7">
        <v>45154</v>
      </c>
      <c r="C27" s="4" t="s">
        <v>96</v>
      </c>
      <c r="D27" s="4" t="s">
        <v>25</v>
      </c>
      <c r="E27" s="4">
        <v>14081</v>
      </c>
      <c r="F27" s="4">
        <v>23.8</v>
      </c>
      <c r="G27" s="4">
        <v>36</v>
      </c>
      <c r="H27" s="4" t="s">
        <v>26</v>
      </c>
      <c r="I27" s="4" t="s">
        <v>36</v>
      </c>
      <c r="J27" s="4" t="s">
        <v>37</v>
      </c>
      <c r="K27" s="4">
        <v>106067</v>
      </c>
      <c r="L27" s="4" t="s">
        <v>33</v>
      </c>
      <c r="M27" s="4">
        <v>0.3</v>
      </c>
      <c r="N27" s="4">
        <v>0.71</v>
      </c>
      <c r="O27" s="4">
        <v>4585.71</v>
      </c>
      <c r="P27" s="4">
        <v>0</v>
      </c>
      <c r="Q27" s="6">
        <f t="shared" si="8"/>
        <v>550.96021825957132</v>
      </c>
      <c r="R27" s="6">
        <f t="shared" si="0"/>
        <v>5753.5678573445693</v>
      </c>
      <c r="S27" s="4">
        <f t="shared" si="1"/>
        <v>19832.394366197183</v>
      </c>
      <c r="T27" s="4">
        <f t="shared" si="2"/>
        <v>8838.9166666666661</v>
      </c>
      <c r="U27" s="4">
        <f t="shared" si="3"/>
        <v>2651.6749999999997</v>
      </c>
      <c r="V27" s="4">
        <f t="shared" ca="1" si="4"/>
        <v>31</v>
      </c>
      <c r="W27" s="20">
        <f t="shared" ca="1" si="9"/>
        <v>17079.766766046712</v>
      </c>
      <c r="X27" s="4">
        <f t="shared" si="6"/>
        <v>-9495.2900000000009</v>
      </c>
      <c r="Y27" s="13">
        <f t="shared" si="7"/>
        <v>-0.67433349904126139</v>
      </c>
    </row>
    <row r="28" spans="1:25" x14ac:dyDescent="0.3">
      <c r="A28" s="12" t="s">
        <v>97</v>
      </c>
      <c r="B28" s="7">
        <v>44883</v>
      </c>
      <c r="C28" s="4" t="s">
        <v>98</v>
      </c>
      <c r="D28" s="4" t="s">
        <v>56</v>
      </c>
      <c r="E28" s="4">
        <v>25063</v>
      </c>
      <c r="F28" s="4">
        <v>20.7</v>
      </c>
      <c r="G28" s="4">
        <v>36</v>
      </c>
      <c r="H28" s="4" t="s">
        <v>19</v>
      </c>
      <c r="I28" s="4" t="s">
        <v>41</v>
      </c>
      <c r="J28" s="4" t="s">
        <v>32</v>
      </c>
      <c r="K28" s="4">
        <v>148094</v>
      </c>
      <c r="L28" s="4" t="s">
        <v>29</v>
      </c>
      <c r="M28" s="4">
        <v>0.41</v>
      </c>
      <c r="N28" s="4">
        <v>0.72</v>
      </c>
      <c r="O28" s="4">
        <v>30251.040000000001</v>
      </c>
      <c r="P28" s="4">
        <v>0</v>
      </c>
      <c r="Q28" s="6">
        <f t="shared" si="8"/>
        <v>940.39412588706568</v>
      </c>
      <c r="R28" s="6">
        <f t="shared" si="0"/>
        <v>8791.1885319343637</v>
      </c>
      <c r="S28" s="4">
        <f t="shared" si="1"/>
        <v>34809.722222222226</v>
      </c>
      <c r="T28" s="4">
        <f t="shared" si="2"/>
        <v>12341.166666666666</v>
      </c>
      <c r="U28" s="4">
        <f t="shared" si="3"/>
        <v>5059.8783333333331</v>
      </c>
      <c r="V28" s="4">
        <f t="shared" ca="1" si="4"/>
        <v>40</v>
      </c>
      <c r="W28" s="20">
        <f t="shared" ca="1" si="9"/>
        <v>37615.765035482626</v>
      </c>
      <c r="X28" s="4">
        <f t="shared" si="6"/>
        <v>5188.0400000000009</v>
      </c>
      <c r="Y28" s="13">
        <f t="shared" si="7"/>
        <v>0.20699996010054666</v>
      </c>
    </row>
    <row r="29" spans="1:25" x14ac:dyDescent="0.3">
      <c r="A29" s="12" t="s">
        <v>99</v>
      </c>
      <c r="B29" s="7">
        <v>45154</v>
      </c>
      <c r="C29" s="4" t="s">
        <v>100</v>
      </c>
      <c r="D29" s="4" t="s">
        <v>76</v>
      </c>
      <c r="E29" s="4">
        <v>7819</v>
      </c>
      <c r="F29" s="4">
        <v>12.1</v>
      </c>
      <c r="G29" s="4">
        <v>36</v>
      </c>
      <c r="H29" s="4" t="s">
        <v>26</v>
      </c>
      <c r="I29" s="4" t="s">
        <v>20</v>
      </c>
      <c r="J29" s="4" t="s">
        <v>32</v>
      </c>
      <c r="K29" s="4">
        <v>55307</v>
      </c>
      <c r="L29" s="4" t="s">
        <v>22</v>
      </c>
      <c r="M29" s="4">
        <v>0.12</v>
      </c>
      <c r="N29" s="4">
        <v>0.85</v>
      </c>
      <c r="O29" s="4">
        <v>722.43</v>
      </c>
      <c r="P29" s="4">
        <v>0</v>
      </c>
      <c r="Q29" s="6">
        <f t="shared" si="8"/>
        <v>260.07629757794206</v>
      </c>
      <c r="R29" s="6">
        <f t="shared" si="0"/>
        <v>1543.7467128059143</v>
      </c>
      <c r="S29" s="4">
        <f t="shared" si="1"/>
        <v>9198.8235294117658</v>
      </c>
      <c r="T29" s="4">
        <f t="shared" si="2"/>
        <v>4608.916666666667</v>
      </c>
      <c r="U29" s="4">
        <f t="shared" si="3"/>
        <v>553.07000000000005</v>
      </c>
      <c r="V29" s="4">
        <f t="shared" ca="1" si="4"/>
        <v>31</v>
      </c>
      <c r="W29" s="20">
        <f t="shared" ca="1" si="9"/>
        <v>8062.3652249162042</v>
      </c>
      <c r="X29" s="4">
        <f t="shared" si="6"/>
        <v>-7096.57</v>
      </c>
      <c r="Y29" s="13">
        <f t="shared" si="7"/>
        <v>-0.90760583194781941</v>
      </c>
    </row>
    <row r="30" spans="1:25" x14ac:dyDescent="0.3">
      <c r="A30" s="12" t="s">
        <v>101</v>
      </c>
      <c r="B30" s="7">
        <v>44759</v>
      </c>
      <c r="C30" s="4" t="s">
        <v>102</v>
      </c>
      <c r="D30" s="4" t="s">
        <v>53</v>
      </c>
      <c r="E30" s="4">
        <v>26712</v>
      </c>
      <c r="F30" s="4">
        <v>13.2</v>
      </c>
      <c r="G30" s="4">
        <v>60</v>
      </c>
      <c r="H30" s="4" t="s">
        <v>26</v>
      </c>
      <c r="I30" s="4" t="s">
        <v>57</v>
      </c>
      <c r="J30" s="4" t="s">
        <v>32</v>
      </c>
      <c r="K30" s="4">
        <v>126371</v>
      </c>
      <c r="L30" s="4" t="s">
        <v>33</v>
      </c>
      <c r="M30" s="4">
        <v>0.38</v>
      </c>
      <c r="N30" s="4">
        <v>0.78</v>
      </c>
      <c r="O30" s="4">
        <v>10402.379999999999</v>
      </c>
      <c r="P30" s="4">
        <v>0</v>
      </c>
      <c r="Q30" s="6">
        <f t="shared" si="8"/>
        <v>610.51841332608331</v>
      </c>
      <c r="R30" s="6">
        <f t="shared" si="0"/>
        <v>9919.1047995650006</v>
      </c>
      <c r="S30" s="4">
        <f t="shared" si="1"/>
        <v>34246.153846153844</v>
      </c>
      <c r="T30" s="4">
        <f t="shared" si="2"/>
        <v>10530.916666666666</v>
      </c>
      <c r="U30" s="4">
        <f t="shared" si="3"/>
        <v>4001.748333333333</v>
      </c>
      <c r="V30" s="4">
        <f t="shared" ca="1" si="4"/>
        <v>44</v>
      </c>
      <c r="W30" s="20">
        <f t="shared" ca="1" si="9"/>
        <v>26862.810186347666</v>
      </c>
      <c r="X30" s="4">
        <f t="shared" si="6"/>
        <v>-16309.62</v>
      </c>
      <c r="Y30" s="13">
        <f t="shared" si="7"/>
        <v>-0.61057277628032347</v>
      </c>
    </row>
    <row r="31" spans="1:25" x14ac:dyDescent="0.3">
      <c r="A31" s="12" t="s">
        <v>103</v>
      </c>
      <c r="B31" s="7">
        <v>45028</v>
      </c>
      <c r="C31" s="4" t="s">
        <v>104</v>
      </c>
      <c r="D31" s="4" t="s">
        <v>76</v>
      </c>
      <c r="E31" s="4">
        <v>25762</v>
      </c>
      <c r="F31" s="4">
        <v>16</v>
      </c>
      <c r="G31" s="4">
        <v>36</v>
      </c>
      <c r="H31" s="4" t="s">
        <v>19</v>
      </c>
      <c r="I31" s="4" t="s">
        <v>20</v>
      </c>
      <c r="J31" s="4" t="s">
        <v>32</v>
      </c>
      <c r="K31" s="4">
        <v>41064</v>
      </c>
      <c r="L31" s="4" t="s">
        <v>22</v>
      </c>
      <c r="M31" s="4">
        <v>0.36</v>
      </c>
      <c r="N31" s="4">
        <v>0.78</v>
      </c>
      <c r="O31" s="4">
        <v>29883.919999999998</v>
      </c>
      <c r="P31" s="4">
        <v>0</v>
      </c>
      <c r="Q31" s="6">
        <f t="shared" si="8"/>
        <v>905.71548508245121</v>
      </c>
      <c r="R31" s="6">
        <f t="shared" si="0"/>
        <v>6843.7574629682422</v>
      </c>
      <c r="S31" s="4">
        <f t="shared" si="1"/>
        <v>33028.205128205125</v>
      </c>
      <c r="T31" s="4">
        <f t="shared" si="2"/>
        <v>3422</v>
      </c>
      <c r="U31" s="4">
        <f t="shared" si="3"/>
        <v>1231.9199999999998</v>
      </c>
      <c r="V31" s="4">
        <f t="shared" ca="1" si="4"/>
        <v>35</v>
      </c>
      <c r="W31" s="20">
        <f t="shared" ca="1" si="9"/>
        <v>31700.041977885794</v>
      </c>
      <c r="X31" s="4">
        <f t="shared" si="6"/>
        <v>4121.9199999999983</v>
      </c>
      <c r="Y31" s="13">
        <f t="shared" si="7"/>
        <v>0.15999999999999992</v>
      </c>
    </row>
    <row r="32" spans="1:25" x14ac:dyDescent="0.3">
      <c r="A32" s="12" t="s">
        <v>105</v>
      </c>
      <c r="B32" s="7">
        <v>44843</v>
      </c>
      <c r="C32" s="4" t="s">
        <v>106</v>
      </c>
      <c r="D32" s="4" t="s">
        <v>50</v>
      </c>
      <c r="E32" s="4">
        <v>12046</v>
      </c>
      <c r="F32" s="4">
        <v>21.6</v>
      </c>
      <c r="G32" s="4">
        <v>36</v>
      </c>
      <c r="H32" s="4" t="s">
        <v>19</v>
      </c>
      <c r="I32" s="4" t="s">
        <v>27</v>
      </c>
      <c r="J32" s="4" t="s">
        <v>28</v>
      </c>
      <c r="K32" s="4">
        <v>106848</v>
      </c>
      <c r="L32" s="4" t="s">
        <v>29</v>
      </c>
      <c r="M32" s="4">
        <v>0.19</v>
      </c>
      <c r="N32" s="4">
        <v>0.7</v>
      </c>
      <c r="O32" s="4">
        <v>14647.94</v>
      </c>
      <c r="P32" s="4">
        <v>0</v>
      </c>
      <c r="Q32" s="6">
        <f t="shared" si="8"/>
        <v>457.55323837222238</v>
      </c>
      <c r="R32" s="6">
        <f t="shared" si="0"/>
        <v>4425.9165814000044</v>
      </c>
      <c r="S32" s="4">
        <f t="shared" si="1"/>
        <v>17208.571428571431</v>
      </c>
      <c r="T32" s="4">
        <f t="shared" si="2"/>
        <v>8904</v>
      </c>
      <c r="U32" s="4">
        <f t="shared" si="3"/>
        <v>1691.76</v>
      </c>
      <c r="V32" s="4">
        <f t="shared" ca="1" si="4"/>
        <v>41</v>
      </c>
      <c r="W32" s="20">
        <f t="shared" ca="1" si="9"/>
        <v>18759.682773261116</v>
      </c>
      <c r="X32" s="4">
        <f t="shared" si="6"/>
        <v>2601.9400000000005</v>
      </c>
      <c r="Y32" s="13">
        <f t="shared" si="7"/>
        <v>0.21600033206043504</v>
      </c>
    </row>
    <row r="33" spans="1:25" x14ac:dyDescent="0.3">
      <c r="A33" s="12" t="s">
        <v>107</v>
      </c>
      <c r="B33" s="7">
        <v>44217</v>
      </c>
      <c r="C33" s="4" t="s">
        <v>108</v>
      </c>
      <c r="D33" s="4" t="s">
        <v>50</v>
      </c>
      <c r="E33" s="4">
        <v>32463</v>
      </c>
      <c r="F33" s="4">
        <v>6.4</v>
      </c>
      <c r="G33" s="4">
        <v>36</v>
      </c>
      <c r="H33" s="4" t="s">
        <v>19</v>
      </c>
      <c r="I33" s="4" t="s">
        <v>27</v>
      </c>
      <c r="J33" s="4" t="s">
        <v>32</v>
      </c>
      <c r="K33" s="4">
        <v>67548</v>
      </c>
      <c r="L33" s="4" t="s">
        <v>22</v>
      </c>
      <c r="M33" s="4">
        <v>0.37</v>
      </c>
      <c r="N33" s="4">
        <v>0.74</v>
      </c>
      <c r="O33" s="4">
        <v>34540.629999999997</v>
      </c>
      <c r="P33" s="4">
        <v>0</v>
      </c>
      <c r="Q33" s="6">
        <f t="shared" si="8"/>
        <v>993.48166289908113</v>
      </c>
      <c r="R33" s="6">
        <f t="shared" si="0"/>
        <v>3302.3398643669207</v>
      </c>
      <c r="S33" s="4">
        <f t="shared" si="1"/>
        <v>43868.91891891892</v>
      </c>
      <c r="T33" s="4">
        <f t="shared" si="2"/>
        <v>5629</v>
      </c>
      <c r="U33" s="4">
        <f t="shared" si="3"/>
        <v>2082.73</v>
      </c>
      <c r="V33" s="4">
        <f t="shared" ca="1" si="4"/>
        <v>61</v>
      </c>
      <c r="W33" s="20">
        <f t="shared" ca="1" si="9"/>
        <v>60602.381436843949</v>
      </c>
      <c r="X33" s="4">
        <f t="shared" si="6"/>
        <v>2077.6299999999974</v>
      </c>
      <c r="Y33" s="13">
        <f t="shared" si="7"/>
        <v>6.3999938391399364E-2</v>
      </c>
    </row>
    <row r="34" spans="1:25" x14ac:dyDescent="0.3">
      <c r="A34" s="12" t="s">
        <v>109</v>
      </c>
      <c r="B34" s="7">
        <v>45037</v>
      </c>
      <c r="C34" s="4" t="s">
        <v>110</v>
      </c>
      <c r="D34" s="4" t="s">
        <v>40</v>
      </c>
      <c r="E34" s="4">
        <v>29769</v>
      </c>
      <c r="F34" s="4">
        <v>13.5</v>
      </c>
      <c r="G34" s="4">
        <v>60</v>
      </c>
      <c r="H34" s="4" t="s">
        <v>26</v>
      </c>
      <c r="I34" s="4" t="s">
        <v>20</v>
      </c>
      <c r="J34" s="4" t="s">
        <v>32</v>
      </c>
      <c r="K34" s="4">
        <v>66945</v>
      </c>
      <c r="L34" s="4" t="s">
        <v>29</v>
      </c>
      <c r="M34" s="4">
        <v>0.48</v>
      </c>
      <c r="N34" s="4">
        <v>0.84</v>
      </c>
      <c r="O34" s="4">
        <v>1763.22</v>
      </c>
      <c r="P34" s="4">
        <v>0</v>
      </c>
      <c r="Q34" s="6">
        <f t="shared" si="8"/>
        <v>684.98010607671006</v>
      </c>
      <c r="R34" s="6">
        <f t="shared" si="0"/>
        <v>11329.806364602606</v>
      </c>
      <c r="S34" s="4">
        <f t="shared" si="1"/>
        <v>35439.285714285717</v>
      </c>
      <c r="T34" s="4">
        <f t="shared" si="2"/>
        <v>5578.75</v>
      </c>
      <c r="U34" s="4">
        <f t="shared" si="3"/>
        <v>2677.7999999999997</v>
      </c>
      <c r="V34" s="4">
        <f t="shared" ca="1" si="4"/>
        <v>34</v>
      </c>
      <c r="W34" s="20">
        <f t="shared" ca="1" si="9"/>
        <v>23289.323606608141</v>
      </c>
      <c r="X34" s="4">
        <f t="shared" si="6"/>
        <v>-28005.78</v>
      </c>
      <c r="Y34" s="13">
        <f t="shared" si="7"/>
        <v>-0.94076992844905771</v>
      </c>
    </row>
    <row r="35" spans="1:25" x14ac:dyDescent="0.3">
      <c r="A35" s="12" t="s">
        <v>111</v>
      </c>
      <c r="B35" s="7">
        <v>44363</v>
      </c>
      <c r="C35" s="4" t="s">
        <v>112</v>
      </c>
      <c r="D35" s="4" t="s">
        <v>72</v>
      </c>
      <c r="E35" s="4">
        <v>24150</v>
      </c>
      <c r="F35" s="4">
        <v>6.7</v>
      </c>
      <c r="G35" s="4">
        <v>60</v>
      </c>
      <c r="H35" s="4" t="s">
        <v>19</v>
      </c>
      <c r="I35" s="4" t="s">
        <v>73</v>
      </c>
      <c r="J35" s="4" t="s">
        <v>28</v>
      </c>
      <c r="K35" s="4">
        <v>77937</v>
      </c>
      <c r="L35" s="4" t="s">
        <v>22</v>
      </c>
      <c r="M35" s="4">
        <v>0.12</v>
      </c>
      <c r="N35" s="4">
        <v>0.87</v>
      </c>
      <c r="O35" s="4">
        <v>25768.05</v>
      </c>
      <c r="P35" s="4">
        <v>0</v>
      </c>
      <c r="Q35" s="6">
        <f t="shared" si="8"/>
        <v>474.78813362788992</v>
      </c>
      <c r="R35" s="6">
        <f t="shared" si="0"/>
        <v>4337.2880176733961</v>
      </c>
      <c r="S35" s="4">
        <f t="shared" si="1"/>
        <v>27758.620689655174</v>
      </c>
      <c r="T35" s="4">
        <f t="shared" si="2"/>
        <v>6494.75</v>
      </c>
      <c r="U35" s="4">
        <f t="shared" si="3"/>
        <v>779.37</v>
      </c>
      <c r="V35" s="4">
        <f t="shared" ca="1" si="4"/>
        <v>57</v>
      </c>
      <c r="W35" s="20">
        <f t="shared" ca="1" si="9"/>
        <v>27062.923616789725</v>
      </c>
      <c r="X35" s="4">
        <f t="shared" si="6"/>
        <v>1618.0499999999993</v>
      </c>
      <c r="Y35" s="13">
        <f t="shared" si="7"/>
        <v>6.6999999999999976E-2</v>
      </c>
    </row>
    <row r="36" spans="1:25" x14ac:dyDescent="0.3">
      <c r="A36" s="12" t="s">
        <v>113</v>
      </c>
      <c r="B36" s="7">
        <v>44584</v>
      </c>
      <c r="C36" s="4" t="s">
        <v>114</v>
      </c>
      <c r="D36" s="4" t="s">
        <v>53</v>
      </c>
      <c r="E36" s="4">
        <v>3711</v>
      </c>
      <c r="F36" s="4">
        <v>15.3</v>
      </c>
      <c r="G36" s="4">
        <v>60</v>
      </c>
      <c r="H36" s="4" t="s">
        <v>81</v>
      </c>
      <c r="I36" s="4" t="s">
        <v>27</v>
      </c>
      <c r="J36" s="4" t="s">
        <v>32</v>
      </c>
      <c r="K36" s="4">
        <v>36476</v>
      </c>
      <c r="L36" s="4" t="s">
        <v>22</v>
      </c>
      <c r="M36" s="4">
        <v>0.23</v>
      </c>
      <c r="N36" s="4">
        <v>0.81</v>
      </c>
      <c r="O36" s="4">
        <v>648.73</v>
      </c>
      <c r="P36" s="4">
        <v>938.22</v>
      </c>
      <c r="Q36" s="6">
        <f t="shared" si="8"/>
        <v>88.869891264158952</v>
      </c>
      <c r="R36" s="6">
        <f t="shared" si="0"/>
        <v>1621.1934758495372</v>
      </c>
      <c r="S36" s="4">
        <f t="shared" si="1"/>
        <v>4581.4814814814808</v>
      </c>
      <c r="T36" s="4">
        <f t="shared" si="2"/>
        <v>3039.6666666666665</v>
      </c>
      <c r="U36" s="4">
        <f t="shared" si="3"/>
        <v>699.12333333333333</v>
      </c>
      <c r="V36" s="4">
        <f t="shared" ca="1" si="4"/>
        <v>49</v>
      </c>
      <c r="W36" s="20">
        <v>0</v>
      </c>
      <c r="X36" s="4">
        <f t="shared" si="6"/>
        <v>-2124.0500000000002</v>
      </c>
      <c r="Y36" s="13">
        <f t="shared" si="7"/>
        <v>-0.57236593909997313</v>
      </c>
    </row>
    <row r="37" spans="1:25" x14ac:dyDescent="0.3">
      <c r="A37" s="12" t="s">
        <v>115</v>
      </c>
      <c r="B37" s="7">
        <v>44797</v>
      </c>
      <c r="C37" s="4" t="s">
        <v>116</v>
      </c>
      <c r="D37" s="4" t="s">
        <v>50</v>
      </c>
      <c r="E37" s="4">
        <v>5853</v>
      </c>
      <c r="F37" s="4">
        <v>23</v>
      </c>
      <c r="G37" s="4">
        <v>60</v>
      </c>
      <c r="H37" s="4" t="s">
        <v>19</v>
      </c>
      <c r="I37" s="4" t="s">
        <v>27</v>
      </c>
      <c r="J37" s="4" t="s">
        <v>37</v>
      </c>
      <c r="K37" s="4">
        <v>81756</v>
      </c>
      <c r="L37" s="4" t="s">
        <v>29</v>
      </c>
      <c r="M37" s="4">
        <v>0.28000000000000003</v>
      </c>
      <c r="N37" s="4">
        <v>0.92</v>
      </c>
      <c r="O37" s="4">
        <v>7199.19</v>
      </c>
      <c r="P37" s="4">
        <v>0</v>
      </c>
      <c r="Q37" s="6">
        <f t="shared" si="8"/>
        <v>164.99882728915227</v>
      </c>
      <c r="R37" s="6">
        <f t="shared" si="0"/>
        <v>4046.9296373491361</v>
      </c>
      <c r="S37" s="4">
        <f t="shared" si="1"/>
        <v>6361.95652173913</v>
      </c>
      <c r="T37" s="4">
        <f t="shared" si="2"/>
        <v>6813</v>
      </c>
      <c r="U37" s="4">
        <f t="shared" si="3"/>
        <v>1907.64</v>
      </c>
      <c r="V37" s="4">
        <f t="shared" ca="1" si="4"/>
        <v>42</v>
      </c>
      <c r="W37" s="20">
        <f t="shared" ref="W37:W53" ca="1" si="10">V37*Q37</f>
        <v>6929.9507461443955</v>
      </c>
      <c r="X37" s="4">
        <f t="shared" si="6"/>
        <v>1346.1899999999996</v>
      </c>
      <c r="Y37" s="13">
        <f t="shared" si="7"/>
        <v>0.22999999999999993</v>
      </c>
    </row>
    <row r="38" spans="1:25" x14ac:dyDescent="0.3">
      <c r="A38" s="12" t="s">
        <v>117</v>
      </c>
      <c r="B38" s="7">
        <v>44512</v>
      </c>
      <c r="C38" s="4" t="s">
        <v>118</v>
      </c>
      <c r="D38" s="4" t="s">
        <v>40</v>
      </c>
      <c r="E38" s="4">
        <v>30077</v>
      </c>
      <c r="F38" s="4">
        <v>20.6</v>
      </c>
      <c r="G38" s="4">
        <v>60</v>
      </c>
      <c r="H38" s="4" t="s">
        <v>19</v>
      </c>
      <c r="I38" s="4" t="s">
        <v>20</v>
      </c>
      <c r="J38" s="4" t="s">
        <v>37</v>
      </c>
      <c r="K38" s="4">
        <v>120101</v>
      </c>
      <c r="L38" s="4" t="s">
        <v>33</v>
      </c>
      <c r="M38" s="4">
        <v>0.46</v>
      </c>
      <c r="N38" s="4">
        <v>0.87</v>
      </c>
      <c r="O38" s="4">
        <v>36272.86</v>
      </c>
      <c r="P38" s="4">
        <v>0</v>
      </c>
      <c r="Q38" s="6">
        <f t="shared" si="8"/>
        <v>806.93091285559285</v>
      </c>
      <c r="R38" s="6">
        <f t="shared" si="0"/>
        <v>18338.854771335573</v>
      </c>
      <c r="S38" s="4">
        <f t="shared" si="1"/>
        <v>34571.264367816089</v>
      </c>
      <c r="T38" s="4">
        <f t="shared" si="2"/>
        <v>10008.416666666666</v>
      </c>
      <c r="U38" s="4">
        <f t="shared" si="3"/>
        <v>4603.8716666666669</v>
      </c>
      <c r="V38" s="4">
        <f t="shared" ca="1" si="4"/>
        <v>52</v>
      </c>
      <c r="W38" s="20">
        <f t="shared" ca="1" si="10"/>
        <v>41960.407468490826</v>
      </c>
      <c r="X38" s="4">
        <f t="shared" si="6"/>
        <v>6195.8600000000006</v>
      </c>
      <c r="Y38" s="13">
        <f t="shared" si="7"/>
        <v>0.20599993350400642</v>
      </c>
    </row>
    <row r="39" spans="1:25" x14ac:dyDescent="0.3">
      <c r="A39" s="12" t="s">
        <v>119</v>
      </c>
      <c r="B39" s="7">
        <v>44210</v>
      </c>
      <c r="C39" s="4" t="s">
        <v>120</v>
      </c>
      <c r="D39" s="4" t="s">
        <v>56</v>
      </c>
      <c r="E39" s="4">
        <v>24863</v>
      </c>
      <c r="F39" s="4">
        <v>9.6</v>
      </c>
      <c r="G39" s="4">
        <v>60</v>
      </c>
      <c r="H39" s="4" t="s">
        <v>19</v>
      </c>
      <c r="I39" s="4" t="s">
        <v>36</v>
      </c>
      <c r="J39" s="4" t="s">
        <v>21</v>
      </c>
      <c r="K39" s="4">
        <v>32382</v>
      </c>
      <c r="L39" s="4" t="s">
        <v>33</v>
      </c>
      <c r="M39" s="4">
        <v>0.48</v>
      </c>
      <c r="N39" s="4">
        <v>0.75</v>
      </c>
      <c r="O39" s="4">
        <v>27249.85</v>
      </c>
      <c r="P39" s="4">
        <v>0</v>
      </c>
      <c r="Q39" s="6">
        <f t="shared" si="8"/>
        <v>523.3851444266038</v>
      </c>
      <c r="R39" s="6">
        <f t="shared" si="0"/>
        <v>6540.1086655962281</v>
      </c>
      <c r="S39" s="4">
        <f t="shared" si="1"/>
        <v>33150.666666666664</v>
      </c>
      <c r="T39" s="4">
        <f t="shared" si="2"/>
        <v>2698.5</v>
      </c>
      <c r="U39" s="4">
        <f t="shared" si="3"/>
        <v>1295.28</v>
      </c>
      <c r="V39" s="4">
        <f t="shared" ca="1" si="4"/>
        <v>62</v>
      </c>
      <c r="W39" s="20">
        <f t="shared" ca="1" si="10"/>
        <v>32449.878954449436</v>
      </c>
      <c r="X39" s="4">
        <f t="shared" si="6"/>
        <v>2386.8499999999985</v>
      </c>
      <c r="Y39" s="13">
        <f t="shared" si="7"/>
        <v>9.6000080440815608E-2</v>
      </c>
    </row>
    <row r="40" spans="1:25" x14ac:dyDescent="0.3">
      <c r="A40" s="12" t="s">
        <v>121</v>
      </c>
      <c r="B40" s="7">
        <v>44438</v>
      </c>
      <c r="C40" s="4" t="s">
        <v>122</v>
      </c>
      <c r="D40" s="4" t="s">
        <v>53</v>
      </c>
      <c r="E40" s="4">
        <v>22792</v>
      </c>
      <c r="F40" s="4">
        <v>24.5</v>
      </c>
      <c r="G40" s="4">
        <v>60</v>
      </c>
      <c r="H40" s="4" t="s">
        <v>19</v>
      </c>
      <c r="I40" s="4" t="s">
        <v>73</v>
      </c>
      <c r="J40" s="4" t="s">
        <v>37</v>
      </c>
      <c r="K40" s="4">
        <v>79683</v>
      </c>
      <c r="L40" s="4" t="s">
        <v>33</v>
      </c>
      <c r="M40" s="4">
        <v>0.28000000000000003</v>
      </c>
      <c r="N40" s="4">
        <v>0.8</v>
      </c>
      <c r="O40" s="4">
        <v>28376.04</v>
      </c>
      <c r="P40" s="4">
        <v>0</v>
      </c>
      <c r="Q40" s="6">
        <f t="shared" si="8"/>
        <v>662.31082185602611</v>
      </c>
      <c r="R40" s="6">
        <f t="shared" si="0"/>
        <v>16946.649311361565</v>
      </c>
      <c r="S40" s="4">
        <f t="shared" si="1"/>
        <v>28490</v>
      </c>
      <c r="T40" s="4">
        <f t="shared" si="2"/>
        <v>6640.25</v>
      </c>
      <c r="U40" s="4">
        <f t="shared" si="3"/>
        <v>1859.2700000000002</v>
      </c>
      <c r="V40" s="4">
        <f t="shared" ca="1" si="4"/>
        <v>54</v>
      </c>
      <c r="W40" s="20">
        <f t="shared" ca="1" si="10"/>
        <v>35764.784380225406</v>
      </c>
      <c r="X40" s="4">
        <f t="shared" si="6"/>
        <v>5584.0400000000009</v>
      </c>
      <c r="Y40" s="13">
        <f t="shared" si="7"/>
        <v>0.24500000000000005</v>
      </c>
    </row>
    <row r="41" spans="1:25" x14ac:dyDescent="0.3">
      <c r="A41" s="12" t="s">
        <v>123</v>
      </c>
      <c r="B41" s="7">
        <v>44973</v>
      </c>
      <c r="C41" s="4" t="s">
        <v>124</v>
      </c>
      <c r="D41" s="4" t="s">
        <v>40</v>
      </c>
      <c r="E41" s="4">
        <v>9942</v>
      </c>
      <c r="F41" s="4">
        <v>18.3</v>
      </c>
      <c r="G41" s="4">
        <v>36</v>
      </c>
      <c r="H41" s="4" t="s">
        <v>19</v>
      </c>
      <c r="I41" s="4" t="s">
        <v>84</v>
      </c>
      <c r="J41" s="4" t="s">
        <v>47</v>
      </c>
      <c r="K41" s="4">
        <v>117999</v>
      </c>
      <c r="L41" s="4" t="s">
        <v>22</v>
      </c>
      <c r="M41" s="4">
        <v>0.4</v>
      </c>
      <c r="N41" s="4">
        <v>0.92</v>
      </c>
      <c r="O41" s="4">
        <v>11761.39</v>
      </c>
      <c r="P41" s="4">
        <v>0</v>
      </c>
      <c r="Q41" s="6">
        <f t="shared" si="8"/>
        <v>360.92510447025683</v>
      </c>
      <c r="R41" s="6">
        <f t="shared" si="0"/>
        <v>3051.303760929246</v>
      </c>
      <c r="S41" s="4">
        <f t="shared" si="1"/>
        <v>10806.521739130434</v>
      </c>
      <c r="T41" s="4">
        <f t="shared" si="2"/>
        <v>9833.25</v>
      </c>
      <c r="U41" s="4">
        <f t="shared" si="3"/>
        <v>3933.3</v>
      </c>
      <c r="V41" s="4">
        <f t="shared" ca="1" si="4"/>
        <v>37</v>
      </c>
      <c r="W41" s="20">
        <f t="shared" ca="1" si="10"/>
        <v>13354.228865399502</v>
      </c>
      <c r="X41" s="4">
        <f t="shared" si="6"/>
        <v>1819.3899999999994</v>
      </c>
      <c r="Y41" s="13">
        <f t="shared" si="7"/>
        <v>0.18300040233353443</v>
      </c>
    </row>
    <row r="42" spans="1:25" x14ac:dyDescent="0.3">
      <c r="A42" s="12" t="s">
        <v>125</v>
      </c>
      <c r="B42" s="7">
        <v>44761</v>
      </c>
      <c r="C42" s="4" t="s">
        <v>126</v>
      </c>
      <c r="D42" s="4" t="s">
        <v>18</v>
      </c>
      <c r="E42" s="4">
        <v>2762</v>
      </c>
      <c r="F42" s="4">
        <v>5.2</v>
      </c>
      <c r="G42" s="4">
        <v>36</v>
      </c>
      <c r="H42" s="4" t="s">
        <v>26</v>
      </c>
      <c r="I42" s="4" t="s">
        <v>84</v>
      </c>
      <c r="J42" s="4" t="s">
        <v>47</v>
      </c>
      <c r="K42" s="4">
        <v>75276</v>
      </c>
      <c r="L42" s="4" t="s">
        <v>22</v>
      </c>
      <c r="M42" s="4">
        <v>0.31</v>
      </c>
      <c r="N42" s="4">
        <v>0.78</v>
      </c>
      <c r="O42" s="4">
        <v>1245.1099999999999</v>
      </c>
      <c r="P42" s="4">
        <v>0</v>
      </c>
      <c r="Q42" s="6">
        <f t="shared" si="8"/>
        <v>83.027861096245999</v>
      </c>
      <c r="R42" s="6">
        <f t="shared" si="0"/>
        <v>227.00299946485575</v>
      </c>
      <c r="S42" s="4">
        <f t="shared" si="1"/>
        <v>3541.0256410256411</v>
      </c>
      <c r="T42" s="4">
        <f t="shared" si="2"/>
        <v>6273</v>
      </c>
      <c r="U42" s="4">
        <f t="shared" si="3"/>
        <v>1944.6299999999999</v>
      </c>
      <c r="V42" s="4">
        <f t="shared" ca="1" si="4"/>
        <v>44</v>
      </c>
      <c r="W42" s="20">
        <f t="shared" ca="1" si="10"/>
        <v>3653.2258882348242</v>
      </c>
      <c r="X42" s="4">
        <f t="shared" si="6"/>
        <v>-1516.89</v>
      </c>
      <c r="Y42" s="13">
        <f t="shared" si="7"/>
        <v>-0.54919985517740766</v>
      </c>
    </row>
    <row r="43" spans="1:25" x14ac:dyDescent="0.3">
      <c r="A43" s="12" t="s">
        <v>127</v>
      </c>
      <c r="B43" s="7">
        <v>45094</v>
      </c>
      <c r="C43" s="4" t="s">
        <v>128</v>
      </c>
      <c r="D43" s="4" t="s">
        <v>53</v>
      </c>
      <c r="E43" s="4">
        <v>32987</v>
      </c>
      <c r="F43" s="4">
        <v>10.1</v>
      </c>
      <c r="G43" s="4">
        <v>36</v>
      </c>
      <c r="H43" s="4" t="s">
        <v>19</v>
      </c>
      <c r="I43" s="4" t="s">
        <v>20</v>
      </c>
      <c r="J43" s="4" t="s">
        <v>47</v>
      </c>
      <c r="K43" s="4">
        <v>63402</v>
      </c>
      <c r="L43" s="4" t="s">
        <v>33</v>
      </c>
      <c r="M43" s="4">
        <v>0.32</v>
      </c>
      <c r="N43" s="4">
        <v>0.87</v>
      </c>
      <c r="O43" s="4">
        <v>36318.69</v>
      </c>
      <c r="P43" s="4">
        <v>0</v>
      </c>
      <c r="Q43" s="6">
        <f t="shared" si="8"/>
        <v>1065.9470968463381</v>
      </c>
      <c r="R43" s="6">
        <f t="shared" si="0"/>
        <v>5387.0954864681698</v>
      </c>
      <c r="S43" s="4">
        <f t="shared" si="1"/>
        <v>37916.091954022988</v>
      </c>
      <c r="T43" s="4">
        <f t="shared" si="2"/>
        <v>5283.5</v>
      </c>
      <c r="U43" s="4">
        <f t="shared" si="3"/>
        <v>1690.72</v>
      </c>
      <c r="V43" s="4">
        <f t="shared" ca="1" si="4"/>
        <v>33</v>
      </c>
      <c r="W43" s="20">
        <f t="shared" ca="1" si="10"/>
        <v>35176.254195929156</v>
      </c>
      <c r="X43" s="4">
        <f t="shared" si="6"/>
        <v>3331.6900000000023</v>
      </c>
      <c r="Y43" s="13">
        <f t="shared" si="7"/>
        <v>0.10100009094491777</v>
      </c>
    </row>
    <row r="44" spans="1:25" x14ac:dyDescent="0.3">
      <c r="A44" s="12" t="s">
        <v>129</v>
      </c>
      <c r="B44" s="7">
        <v>44288</v>
      </c>
      <c r="C44" s="4" t="s">
        <v>130</v>
      </c>
      <c r="D44" s="4" t="s">
        <v>46</v>
      </c>
      <c r="E44" s="4">
        <v>16850</v>
      </c>
      <c r="F44" s="4">
        <v>10.199999999999999</v>
      </c>
      <c r="G44" s="4">
        <v>36</v>
      </c>
      <c r="H44" s="4" t="s">
        <v>19</v>
      </c>
      <c r="I44" s="4" t="s">
        <v>20</v>
      </c>
      <c r="J44" s="4" t="s">
        <v>28</v>
      </c>
      <c r="K44" s="4">
        <v>121881</v>
      </c>
      <c r="L44" s="4" t="s">
        <v>22</v>
      </c>
      <c r="M44" s="4">
        <v>0.21</v>
      </c>
      <c r="N44" s="4">
        <v>0.81</v>
      </c>
      <c r="O44" s="4">
        <v>18568.7</v>
      </c>
      <c r="P44" s="4">
        <v>0</v>
      </c>
      <c r="Q44" s="6">
        <f t="shared" si="8"/>
        <v>545.28567307361163</v>
      </c>
      <c r="R44" s="6">
        <f t="shared" si="0"/>
        <v>2780.284230650017</v>
      </c>
      <c r="S44" s="4">
        <f t="shared" si="1"/>
        <v>20802.469135802468</v>
      </c>
      <c r="T44" s="4">
        <f t="shared" si="2"/>
        <v>10156.75</v>
      </c>
      <c r="U44" s="4">
        <f t="shared" si="3"/>
        <v>2132.9175</v>
      </c>
      <c r="V44" s="4">
        <f t="shared" ca="1" si="4"/>
        <v>59</v>
      </c>
      <c r="W44" s="20">
        <f t="shared" ca="1" si="10"/>
        <v>32171.854711343087</v>
      </c>
      <c r="X44" s="4">
        <f t="shared" si="6"/>
        <v>1718.7000000000007</v>
      </c>
      <c r="Y44" s="13">
        <f t="shared" si="7"/>
        <v>0.10200000000000005</v>
      </c>
    </row>
    <row r="45" spans="1:25" x14ac:dyDescent="0.3">
      <c r="A45" s="12" t="s">
        <v>131</v>
      </c>
      <c r="B45" s="7">
        <v>45152</v>
      </c>
      <c r="C45" s="4" t="s">
        <v>132</v>
      </c>
      <c r="D45" s="4" t="s">
        <v>40</v>
      </c>
      <c r="E45" s="4">
        <v>13112</v>
      </c>
      <c r="F45" s="4">
        <v>6.4</v>
      </c>
      <c r="G45" s="4">
        <v>60</v>
      </c>
      <c r="H45" s="4" t="s">
        <v>19</v>
      </c>
      <c r="I45" s="4" t="s">
        <v>27</v>
      </c>
      <c r="J45" s="4" t="s">
        <v>37</v>
      </c>
      <c r="K45" s="4">
        <v>140300</v>
      </c>
      <c r="L45" s="4" t="s">
        <v>22</v>
      </c>
      <c r="M45" s="4">
        <v>0.19</v>
      </c>
      <c r="N45" s="4">
        <v>0.75</v>
      </c>
      <c r="O45" s="4">
        <v>13951.17</v>
      </c>
      <c r="P45" s="4">
        <v>0</v>
      </c>
      <c r="Q45" s="6">
        <f t="shared" si="8"/>
        <v>255.93761845381863</v>
      </c>
      <c r="R45" s="6">
        <f t="shared" si="0"/>
        <v>2244.2571072291175</v>
      </c>
      <c r="S45" s="4">
        <f t="shared" si="1"/>
        <v>17482.666666666668</v>
      </c>
      <c r="T45" s="4">
        <f t="shared" si="2"/>
        <v>11691.666666666666</v>
      </c>
      <c r="U45" s="4">
        <f t="shared" si="3"/>
        <v>2221.4166666666665</v>
      </c>
      <c r="V45" s="4">
        <f t="shared" ca="1" si="4"/>
        <v>31</v>
      </c>
      <c r="W45" s="20">
        <f t="shared" ca="1" si="10"/>
        <v>7934.0661720683775</v>
      </c>
      <c r="X45" s="4">
        <f t="shared" si="6"/>
        <v>839.17000000000007</v>
      </c>
      <c r="Y45" s="13">
        <f t="shared" si="7"/>
        <v>6.4000152532031729E-2</v>
      </c>
    </row>
    <row r="46" spans="1:25" x14ac:dyDescent="0.3">
      <c r="A46" s="12" t="s">
        <v>133</v>
      </c>
      <c r="B46" s="7">
        <v>44705</v>
      </c>
      <c r="C46" s="4" t="s">
        <v>134</v>
      </c>
      <c r="D46" s="4" t="s">
        <v>76</v>
      </c>
      <c r="E46" s="4">
        <v>25058</v>
      </c>
      <c r="F46" s="4">
        <v>24.2</v>
      </c>
      <c r="G46" s="4">
        <v>36</v>
      </c>
      <c r="H46" s="4" t="s">
        <v>26</v>
      </c>
      <c r="I46" s="4" t="s">
        <v>20</v>
      </c>
      <c r="J46" s="4" t="s">
        <v>47</v>
      </c>
      <c r="K46" s="4">
        <v>56946</v>
      </c>
      <c r="L46" s="4" t="s">
        <v>33</v>
      </c>
      <c r="M46" s="4">
        <v>0.22</v>
      </c>
      <c r="N46" s="4">
        <v>0.61</v>
      </c>
      <c r="O46" s="4">
        <v>9355.1299999999992</v>
      </c>
      <c r="P46" s="4">
        <v>0</v>
      </c>
      <c r="Q46" s="6">
        <f t="shared" si="8"/>
        <v>985.73011404181977</v>
      </c>
      <c r="R46" s="6">
        <f t="shared" si="0"/>
        <v>10428.284105505511</v>
      </c>
      <c r="S46" s="4">
        <f t="shared" si="1"/>
        <v>41078.688524590165</v>
      </c>
      <c r="T46" s="4">
        <f t="shared" si="2"/>
        <v>4745.5</v>
      </c>
      <c r="U46" s="4">
        <f t="shared" si="3"/>
        <v>1044.01</v>
      </c>
      <c r="V46" s="4">
        <f t="shared" ca="1" si="4"/>
        <v>45</v>
      </c>
      <c r="W46" s="20">
        <f t="shared" ca="1" si="10"/>
        <v>44357.855131881886</v>
      </c>
      <c r="X46" s="4">
        <f t="shared" si="6"/>
        <v>-15702.87</v>
      </c>
      <c r="Y46" s="13">
        <f t="shared" si="7"/>
        <v>-0.62666094660387905</v>
      </c>
    </row>
    <row r="47" spans="1:25" x14ac:dyDescent="0.3">
      <c r="A47" s="12" t="s">
        <v>135</v>
      </c>
      <c r="B47" s="7">
        <v>44972</v>
      </c>
      <c r="C47" s="4" t="s">
        <v>136</v>
      </c>
      <c r="D47" s="4" t="s">
        <v>46</v>
      </c>
      <c r="E47" s="4">
        <v>39890</v>
      </c>
      <c r="F47" s="4">
        <v>14.6</v>
      </c>
      <c r="G47" s="4">
        <v>36</v>
      </c>
      <c r="H47" s="4" t="s">
        <v>26</v>
      </c>
      <c r="I47" s="4" t="s">
        <v>84</v>
      </c>
      <c r="J47" s="4" t="s">
        <v>21</v>
      </c>
      <c r="K47" s="4">
        <v>109698</v>
      </c>
      <c r="L47" s="4" t="s">
        <v>29</v>
      </c>
      <c r="M47" s="4">
        <v>0.32</v>
      </c>
      <c r="N47" s="4">
        <v>0.69</v>
      </c>
      <c r="O47" s="4">
        <v>3304.32</v>
      </c>
      <c r="P47" s="4">
        <v>0</v>
      </c>
      <c r="Q47" s="6">
        <f t="shared" si="8"/>
        <v>1374.9990234150198</v>
      </c>
      <c r="R47" s="6">
        <f t="shared" si="0"/>
        <v>9609.9648429407098</v>
      </c>
      <c r="S47" s="4">
        <f t="shared" si="1"/>
        <v>57811.594202898552</v>
      </c>
      <c r="T47" s="4">
        <f t="shared" si="2"/>
        <v>9141.5</v>
      </c>
      <c r="U47" s="4">
        <f t="shared" si="3"/>
        <v>2925.28</v>
      </c>
      <c r="V47" s="4">
        <f t="shared" ca="1" si="4"/>
        <v>37</v>
      </c>
      <c r="W47" s="20">
        <f t="shared" ca="1" si="10"/>
        <v>50874.963866355734</v>
      </c>
      <c r="X47" s="4">
        <f t="shared" si="6"/>
        <v>-36585.68</v>
      </c>
      <c r="Y47" s="13">
        <f t="shared" si="7"/>
        <v>-0.91716420155427425</v>
      </c>
    </row>
    <row r="48" spans="1:25" x14ac:dyDescent="0.3">
      <c r="A48" s="12" t="s">
        <v>137</v>
      </c>
      <c r="B48" s="7">
        <v>44231</v>
      </c>
      <c r="C48" s="4" t="s">
        <v>138</v>
      </c>
      <c r="D48" s="4" t="s">
        <v>18</v>
      </c>
      <c r="E48" s="4">
        <v>1481</v>
      </c>
      <c r="F48" s="4">
        <v>22.9</v>
      </c>
      <c r="G48" s="4">
        <v>36</v>
      </c>
      <c r="H48" s="4" t="s">
        <v>19</v>
      </c>
      <c r="I48" s="4" t="s">
        <v>27</v>
      </c>
      <c r="J48" s="4" t="s">
        <v>28</v>
      </c>
      <c r="K48" s="4">
        <v>144690</v>
      </c>
      <c r="L48" s="4" t="s">
        <v>22</v>
      </c>
      <c r="M48" s="4">
        <v>0.11</v>
      </c>
      <c r="N48" s="4">
        <v>0.94</v>
      </c>
      <c r="O48" s="4">
        <v>1820.15</v>
      </c>
      <c r="P48" s="4">
        <v>0</v>
      </c>
      <c r="Q48" s="6">
        <f t="shared" si="8"/>
        <v>57.251936058608749</v>
      </c>
      <c r="R48" s="6">
        <f t="shared" si="0"/>
        <v>580.06969810991495</v>
      </c>
      <c r="S48" s="4">
        <f t="shared" si="1"/>
        <v>1575.5319148936171</v>
      </c>
      <c r="T48" s="4">
        <f t="shared" si="2"/>
        <v>12057.5</v>
      </c>
      <c r="U48" s="4">
        <f t="shared" si="3"/>
        <v>1326.325</v>
      </c>
      <c r="V48" s="4">
        <f t="shared" ca="1" si="4"/>
        <v>61</v>
      </c>
      <c r="W48" s="20">
        <f t="shared" ca="1" si="10"/>
        <v>3492.3680995751338</v>
      </c>
      <c r="X48" s="4">
        <f t="shared" si="6"/>
        <v>339.15000000000009</v>
      </c>
      <c r="Y48" s="13">
        <f t="shared" si="7"/>
        <v>0.22900067521944639</v>
      </c>
    </row>
    <row r="49" spans="1:25" x14ac:dyDescent="0.3">
      <c r="A49" s="12" t="s">
        <v>139</v>
      </c>
      <c r="B49" s="7">
        <v>44402</v>
      </c>
      <c r="C49" s="4" t="s">
        <v>140</v>
      </c>
      <c r="D49" s="4" t="s">
        <v>50</v>
      </c>
      <c r="E49" s="4">
        <v>33921</v>
      </c>
      <c r="F49" s="4">
        <v>11.4</v>
      </c>
      <c r="G49" s="4">
        <v>36</v>
      </c>
      <c r="H49" s="4" t="s">
        <v>26</v>
      </c>
      <c r="I49" s="4" t="s">
        <v>84</v>
      </c>
      <c r="J49" s="4" t="s">
        <v>21</v>
      </c>
      <c r="K49" s="4">
        <v>142309</v>
      </c>
      <c r="L49" s="4" t="s">
        <v>22</v>
      </c>
      <c r="M49" s="4">
        <v>0.46</v>
      </c>
      <c r="N49" s="4">
        <v>0.8</v>
      </c>
      <c r="O49" s="4">
        <v>14230.09</v>
      </c>
      <c r="P49" s="4">
        <v>0</v>
      </c>
      <c r="Q49" s="6">
        <f t="shared" si="8"/>
        <v>1116.9665423861688</v>
      </c>
      <c r="R49" s="6">
        <f t="shared" si="0"/>
        <v>6289.7955259020819</v>
      </c>
      <c r="S49" s="4">
        <f t="shared" si="1"/>
        <v>42401.25</v>
      </c>
      <c r="T49" s="4">
        <f t="shared" si="2"/>
        <v>11859.083333333334</v>
      </c>
      <c r="U49" s="4">
        <f t="shared" si="3"/>
        <v>5455.1783333333342</v>
      </c>
      <c r="V49" s="4">
        <f t="shared" ca="1" si="4"/>
        <v>55</v>
      </c>
      <c r="W49" s="20">
        <f t="shared" ca="1" si="10"/>
        <v>61433.159831239289</v>
      </c>
      <c r="X49" s="4">
        <f t="shared" si="6"/>
        <v>-19690.91</v>
      </c>
      <c r="Y49" s="13">
        <f t="shared" si="7"/>
        <v>-0.58049320479938682</v>
      </c>
    </row>
    <row r="50" spans="1:25" x14ac:dyDescent="0.3">
      <c r="A50" s="12" t="s">
        <v>141</v>
      </c>
      <c r="B50" s="7">
        <v>45222</v>
      </c>
      <c r="C50" s="4" t="s">
        <v>142</v>
      </c>
      <c r="D50" s="4" t="s">
        <v>65</v>
      </c>
      <c r="E50" s="4">
        <v>2524</v>
      </c>
      <c r="F50" s="4">
        <v>7.5</v>
      </c>
      <c r="G50" s="4">
        <v>60</v>
      </c>
      <c r="H50" s="4" t="s">
        <v>19</v>
      </c>
      <c r="I50" s="4" t="s">
        <v>57</v>
      </c>
      <c r="J50" s="4" t="s">
        <v>37</v>
      </c>
      <c r="K50" s="4">
        <v>103933</v>
      </c>
      <c r="L50" s="4" t="s">
        <v>22</v>
      </c>
      <c r="M50" s="4">
        <v>0.16</v>
      </c>
      <c r="N50" s="4">
        <v>0.75</v>
      </c>
      <c r="O50" s="4">
        <v>2713.3</v>
      </c>
      <c r="P50" s="4">
        <v>0</v>
      </c>
      <c r="Q50" s="6">
        <f t="shared" si="8"/>
        <v>50.575782255354376</v>
      </c>
      <c r="R50" s="6">
        <f t="shared" si="0"/>
        <v>510.54693532126248</v>
      </c>
      <c r="S50" s="4">
        <f t="shared" si="1"/>
        <v>3365.3333333333335</v>
      </c>
      <c r="T50" s="4">
        <f t="shared" si="2"/>
        <v>8661.0833333333339</v>
      </c>
      <c r="U50" s="4">
        <f t="shared" si="3"/>
        <v>1385.7733333333335</v>
      </c>
      <c r="V50" s="4">
        <f t="shared" ca="1" si="4"/>
        <v>28</v>
      </c>
      <c r="W50" s="20">
        <f t="shared" ca="1" si="10"/>
        <v>1416.1219031499224</v>
      </c>
      <c r="X50" s="4">
        <f t="shared" si="6"/>
        <v>189.30000000000018</v>
      </c>
      <c r="Y50" s="13">
        <f t="shared" si="7"/>
        <v>7.5000000000000067E-2</v>
      </c>
    </row>
    <row r="51" spans="1:25" x14ac:dyDescent="0.3">
      <c r="A51" s="12" t="s">
        <v>143</v>
      </c>
      <c r="B51" s="7">
        <v>45218</v>
      </c>
      <c r="C51" s="4" t="s">
        <v>144</v>
      </c>
      <c r="D51" s="4" t="s">
        <v>40</v>
      </c>
      <c r="E51" s="4">
        <v>35888</v>
      </c>
      <c r="F51" s="4">
        <v>14.5</v>
      </c>
      <c r="G51" s="4">
        <v>60</v>
      </c>
      <c r="H51" s="4" t="s">
        <v>26</v>
      </c>
      <c r="I51" s="4" t="s">
        <v>57</v>
      </c>
      <c r="J51" s="4" t="s">
        <v>32</v>
      </c>
      <c r="K51" s="4">
        <v>52335</v>
      </c>
      <c r="L51" s="4" t="s">
        <v>22</v>
      </c>
      <c r="M51" s="4">
        <v>0.19</v>
      </c>
      <c r="N51" s="4">
        <v>0.92</v>
      </c>
      <c r="O51" s="4">
        <v>9756.7199999999993</v>
      </c>
      <c r="P51" s="4">
        <v>0</v>
      </c>
      <c r="Q51" s="6">
        <f t="shared" si="8"/>
        <v>844.38295142983429</v>
      </c>
      <c r="R51" s="6">
        <f t="shared" si="0"/>
        <v>14774.977085790058</v>
      </c>
      <c r="S51" s="4">
        <f t="shared" si="1"/>
        <v>39008.695652173912</v>
      </c>
      <c r="T51" s="4">
        <f t="shared" si="2"/>
        <v>4361.25</v>
      </c>
      <c r="U51" s="4">
        <f t="shared" si="3"/>
        <v>828.63750000000005</v>
      </c>
      <c r="V51" s="4">
        <f t="shared" ca="1" si="4"/>
        <v>29</v>
      </c>
      <c r="W51" s="20">
        <f t="shared" ca="1" si="10"/>
        <v>24487.105591465195</v>
      </c>
      <c r="X51" s="4">
        <f t="shared" si="6"/>
        <v>-26131.279999999999</v>
      </c>
      <c r="Y51" s="13">
        <f t="shared" si="7"/>
        <v>-0.72813419527418632</v>
      </c>
    </row>
    <row r="52" spans="1:25" x14ac:dyDescent="0.3">
      <c r="A52" s="12" t="s">
        <v>145</v>
      </c>
      <c r="B52" s="7">
        <v>44762</v>
      </c>
      <c r="C52" s="4" t="s">
        <v>146</v>
      </c>
      <c r="D52" s="4" t="s">
        <v>56</v>
      </c>
      <c r="E52" s="4">
        <v>16048</v>
      </c>
      <c r="F52" s="4">
        <v>7.3</v>
      </c>
      <c r="G52" s="4">
        <v>60</v>
      </c>
      <c r="H52" s="4" t="s">
        <v>19</v>
      </c>
      <c r="I52" s="4" t="s">
        <v>27</v>
      </c>
      <c r="J52" s="4" t="s">
        <v>21</v>
      </c>
      <c r="K52" s="4">
        <v>75095</v>
      </c>
      <c r="L52" s="4" t="s">
        <v>29</v>
      </c>
      <c r="M52" s="4">
        <v>0.31</v>
      </c>
      <c r="N52" s="4">
        <v>0.76</v>
      </c>
      <c r="O52" s="4">
        <v>17219.5</v>
      </c>
      <c r="P52" s="4">
        <v>0</v>
      </c>
      <c r="Q52" s="6">
        <f t="shared" si="8"/>
        <v>320.04598396507316</v>
      </c>
      <c r="R52" s="6">
        <f t="shared" si="0"/>
        <v>3154.7590379043904</v>
      </c>
      <c r="S52" s="4">
        <f t="shared" si="1"/>
        <v>21115.78947368421</v>
      </c>
      <c r="T52" s="4">
        <f t="shared" si="2"/>
        <v>6257.916666666667</v>
      </c>
      <c r="U52" s="4">
        <f t="shared" si="3"/>
        <v>1939.9541666666667</v>
      </c>
      <c r="V52" s="4">
        <f t="shared" ca="1" si="4"/>
        <v>43</v>
      </c>
      <c r="W52" s="20">
        <f t="shared" ca="1" si="10"/>
        <v>13761.977310498147</v>
      </c>
      <c r="X52" s="4">
        <f t="shared" si="6"/>
        <v>1171.5</v>
      </c>
      <c r="Y52" s="13">
        <f t="shared" si="7"/>
        <v>7.2999750747756734E-2</v>
      </c>
    </row>
    <row r="53" spans="1:25" x14ac:dyDescent="0.3">
      <c r="A53" s="12" t="s">
        <v>147</v>
      </c>
      <c r="B53" s="7">
        <v>44899</v>
      </c>
      <c r="C53" s="4" t="s">
        <v>148</v>
      </c>
      <c r="D53" s="4" t="s">
        <v>40</v>
      </c>
      <c r="E53" s="4">
        <v>36111</v>
      </c>
      <c r="F53" s="4">
        <v>14.7</v>
      </c>
      <c r="G53" s="4">
        <v>36</v>
      </c>
      <c r="H53" s="4" t="s">
        <v>19</v>
      </c>
      <c r="I53" s="4" t="s">
        <v>20</v>
      </c>
      <c r="J53" s="4" t="s">
        <v>32</v>
      </c>
      <c r="K53" s="4">
        <v>109930</v>
      </c>
      <c r="L53" s="4" t="s">
        <v>33</v>
      </c>
      <c r="M53" s="4">
        <v>0.38</v>
      </c>
      <c r="N53" s="4">
        <v>0.74</v>
      </c>
      <c r="O53" s="4">
        <v>41419.32</v>
      </c>
      <c r="P53" s="4">
        <v>0</v>
      </c>
      <c r="Q53" s="6">
        <f t="shared" si="8"/>
        <v>1246.5010768084007</v>
      </c>
      <c r="R53" s="6">
        <f t="shared" si="0"/>
        <v>8763.0387651024284</v>
      </c>
      <c r="S53" s="4">
        <f t="shared" si="1"/>
        <v>48798.648648648646</v>
      </c>
      <c r="T53" s="4">
        <f t="shared" si="2"/>
        <v>9160.8333333333339</v>
      </c>
      <c r="U53" s="4">
        <f t="shared" si="3"/>
        <v>3481.1166666666668</v>
      </c>
      <c r="V53" s="4">
        <f t="shared" ca="1" si="4"/>
        <v>39</v>
      </c>
      <c r="W53" s="20">
        <f t="shared" ca="1" si="10"/>
        <v>48613.54199552763</v>
      </c>
      <c r="X53" s="4">
        <f t="shared" si="6"/>
        <v>5308.32</v>
      </c>
      <c r="Y53" s="13">
        <f t="shared" si="7"/>
        <v>0.14700008307717868</v>
      </c>
    </row>
    <row r="54" spans="1:25" x14ac:dyDescent="0.3">
      <c r="A54" s="12" t="s">
        <v>149</v>
      </c>
      <c r="B54" s="7">
        <v>44598</v>
      </c>
      <c r="C54" s="4" t="s">
        <v>150</v>
      </c>
      <c r="D54" s="4" t="s">
        <v>65</v>
      </c>
      <c r="E54" s="4">
        <v>38904</v>
      </c>
      <c r="F54" s="4">
        <v>23.4</v>
      </c>
      <c r="G54" s="4">
        <v>60</v>
      </c>
      <c r="H54" s="4" t="s">
        <v>81</v>
      </c>
      <c r="I54" s="4" t="s">
        <v>27</v>
      </c>
      <c r="J54" s="4" t="s">
        <v>28</v>
      </c>
      <c r="K54" s="4">
        <v>57197</v>
      </c>
      <c r="L54" s="4" t="s">
        <v>22</v>
      </c>
      <c r="M54" s="4">
        <v>0.14000000000000001</v>
      </c>
      <c r="N54" s="4">
        <v>0.84</v>
      </c>
      <c r="O54" s="4">
        <v>13773.37</v>
      </c>
      <c r="P54" s="4">
        <v>12116.05</v>
      </c>
      <c r="Q54" s="6">
        <f t="shared" si="8"/>
        <v>1105.6812760458401</v>
      </c>
      <c r="R54" s="6">
        <f t="shared" si="0"/>
        <v>27436.876562750404</v>
      </c>
      <c r="S54" s="4">
        <f t="shared" si="1"/>
        <v>46314.285714285717</v>
      </c>
      <c r="T54" s="4">
        <f t="shared" si="2"/>
        <v>4766.416666666667</v>
      </c>
      <c r="U54" s="4">
        <f t="shared" si="3"/>
        <v>667.2983333333334</v>
      </c>
      <c r="V54" s="4">
        <f t="shared" ca="1" si="4"/>
        <v>49</v>
      </c>
      <c r="W54" s="20">
        <v>0</v>
      </c>
      <c r="X54" s="4">
        <f t="shared" si="6"/>
        <v>-13014.580000000002</v>
      </c>
      <c r="Y54" s="13">
        <f t="shared" si="7"/>
        <v>-0.33453063952292827</v>
      </c>
    </row>
    <row r="55" spans="1:25" x14ac:dyDescent="0.3">
      <c r="A55" s="12" t="s">
        <v>151</v>
      </c>
      <c r="B55" s="7">
        <v>44926</v>
      </c>
      <c r="C55" s="4" t="s">
        <v>152</v>
      </c>
      <c r="D55" s="4" t="s">
        <v>18</v>
      </c>
      <c r="E55" s="4">
        <v>35008</v>
      </c>
      <c r="F55" s="4">
        <v>15.4</v>
      </c>
      <c r="G55" s="4">
        <v>36</v>
      </c>
      <c r="H55" s="4" t="s">
        <v>19</v>
      </c>
      <c r="I55" s="4" t="s">
        <v>84</v>
      </c>
      <c r="J55" s="4" t="s">
        <v>21</v>
      </c>
      <c r="K55" s="4">
        <v>52010</v>
      </c>
      <c r="L55" s="4" t="s">
        <v>33</v>
      </c>
      <c r="M55" s="4">
        <v>0.23</v>
      </c>
      <c r="N55" s="4">
        <v>0.82</v>
      </c>
      <c r="O55" s="4">
        <v>40399.230000000003</v>
      </c>
      <c r="P55" s="4">
        <v>0</v>
      </c>
      <c r="Q55" s="6">
        <f t="shared" si="8"/>
        <v>1220.432459578233</v>
      </c>
      <c r="R55" s="6">
        <f t="shared" si="0"/>
        <v>8927.5685448163858</v>
      </c>
      <c r="S55" s="4">
        <f t="shared" si="1"/>
        <v>42692.682926829271</v>
      </c>
      <c r="T55" s="4">
        <f t="shared" si="2"/>
        <v>4334.166666666667</v>
      </c>
      <c r="U55" s="4">
        <f t="shared" si="3"/>
        <v>996.85833333333346</v>
      </c>
      <c r="V55" s="4">
        <f t="shared" ca="1" si="4"/>
        <v>38</v>
      </c>
      <c r="W55" s="20">
        <f ca="1">V55*Q55</f>
        <v>46376.433463972855</v>
      </c>
      <c r="X55" s="4">
        <f t="shared" si="6"/>
        <v>5391.2300000000032</v>
      </c>
      <c r="Y55" s="13">
        <f t="shared" si="7"/>
        <v>0.15399994287020119</v>
      </c>
    </row>
    <row r="56" spans="1:25" x14ac:dyDescent="0.3">
      <c r="A56" s="12" t="s">
        <v>153</v>
      </c>
      <c r="B56" s="7">
        <v>44358</v>
      </c>
      <c r="C56" s="4" t="s">
        <v>154</v>
      </c>
      <c r="D56" s="4" t="s">
        <v>18</v>
      </c>
      <c r="E56" s="4">
        <v>1060</v>
      </c>
      <c r="F56" s="4">
        <v>17.3</v>
      </c>
      <c r="G56" s="4">
        <v>60</v>
      </c>
      <c r="H56" s="4" t="s">
        <v>26</v>
      </c>
      <c r="I56" s="4" t="s">
        <v>57</v>
      </c>
      <c r="J56" s="4" t="s">
        <v>21</v>
      </c>
      <c r="K56" s="4">
        <v>54123</v>
      </c>
      <c r="L56" s="4" t="s">
        <v>22</v>
      </c>
      <c r="M56" s="4">
        <v>0.49</v>
      </c>
      <c r="N56" s="4">
        <v>0.59</v>
      </c>
      <c r="O56" s="4">
        <v>339.55</v>
      </c>
      <c r="P56" s="4">
        <v>0</v>
      </c>
      <c r="Q56" s="6">
        <f t="shared" si="8"/>
        <v>26.515019169831248</v>
      </c>
      <c r="R56" s="6">
        <f t="shared" si="0"/>
        <v>530.9011501898749</v>
      </c>
      <c r="S56" s="4">
        <f t="shared" si="1"/>
        <v>1796.6101694915255</v>
      </c>
      <c r="T56" s="4">
        <f t="shared" si="2"/>
        <v>4510.25</v>
      </c>
      <c r="U56" s="4">
        <f t="shared" si="3"/>
        <v>2210.0225</v>
      </c>
      <c r="V56" s="4">
        <f t="shared" ca="1" si="4"/>
        <v>57</v>
      </c>
      <c r="W56" s="20">
        <f ca="1">V56*Q56</f>
        <v>1511.3560926803812</v>
      </c>
      <c r="X56" s="4">
        <f t="shared" si="6"/>
        <v>-720.45</v>
      </c>
      <c r="Y56" s="13">
        <f t="shared" si="7"/>
        <v>-0.67966981132075477</v>
      </c>
    </row>
    <row r="57" spans="1:25" x14ac:dyDescent="0.3">
      <c r="A57" s="12" t="s">
        <v>155</v>
      </c>
      <c r="B57" s="7">
        <v>44398</v>
      </c>
      <c r="C57" s="4" t="s">
        <v>156</v>
      </c>
      <c r="D57" s="4" t="s">
        <v>46</v>
      </c>
      <c r="E57" s="4">
        <v>10130</v>
      </c>
      <c r="F57" s="4">
        <v>8.1</v>
      </c>
      <c r="G57" s="4">
        <v>60</v>
      </c>
      <c r="H57" s="4" t="s">
        <v>19</v>
      </c>
      <c r="I57" s="4" t="s">
        <v>27</v>
      </c>
      <c r="J57" s="4" t="s">
        <v>28</v>
      </c>
      <c r="K57" s="4">
        <v>117923</v>
      </c>
      <c r="L57" s="4" t="s">
        <v>29</v>
      </c>
      <c r="M57" s="4">
        <v>0.2</v>
      </c>
      <c r="N57" s="4">
        <v>0.71</v>
      </c>
      <c r="O57" s="4">
        <v>10950.53</v>
      </c>
      <c r="P57" s="4">
        <v>0</v>
      </c>
      <c r="Q57" s="6">
        <f t="shared" si="8"/>
        <v>205.88502254105572</v>
      </c>
      <c r="R57" s="6">
        <f t="shared" si="0"/>
        <v>2223.1013524633436</v>
      </c>
      <c r="S57" s="4">
        <f t="shared" si="1"/>
        <v>14267.605633802817</v>
      </c>
      <c r="T57" s="4">
        <f t="shared" si="2"/>
        <v>9826.9166666666661</v>
      </c>
      <c r="U57" s="4">
        <f t="shared" si="3"/>
        <v>1965.3833333333332</v>
      </c>
      <c r="V57" s="4">
        <f t="shared" ca="1" si="4"/>
        <v>55</v>
      </c>
      <c r="W57" s="20">
        <f ca="1">V57*Q57</f>
        <v>11323.676239758064</v>
      </c>
      <c r="X57" s="4">
        <f t="shared" si="6"/>
        <v>820.53000000000065</v>
      </c>
      <c r="Y57" s="13">
        <f t="shared" si="7"/>
        <v>8.1000000000000058E-2</v>
      </c>
    </row>
    <row r="58" spans="1:25" x14ac:dyDescent="0.3">
      <c r="A58" s="12" t="s">
        <v>157</v>
      </c>
      <c r="B58" s="7">
        <v>45192</v>
      </c>
      <c r="C58" s="4" t="s">
        <v>158</v>
      </c>
      <c r="D58" s="4" t="s">
        <v>53</v>
      </c>
      <c r="E58" s="4">
        <v>19023</v>
      </c>
      <c r="F58" s="4">
        <v>5.9</v>
      </c>
      <c r="G58" s="4">
        <v>60</v>
      </c>
      <c r="H58" s="4" t="s">
        <v>26</v>
      </c>
      <c r="I58" s="4" t="s">
        <v>20</v>
      </c>
      <c r="J58" s="4" t="s">
        <v>28</v>
      </c>
      <c r="K58" s="4">
        <v>32890</v>
      </c>
      <c r="L58" s="4" t="s">
        <v>33</v>
      </c>
      <c r="M58" s="4">
        <v>0.23</v>
      </c>
      <c r="N58" s="4">
        <v>0.71</v>
      </c>
      <c r="O58" s="4">
        <v>6787.88</v>
      </c>
      <c r="P58" s="4">
        <v>0</v>
      </c>
      <c r="Q58" s="6">
        <f t="shared" si="8"/>
        <v>366.88398792380934</v>
      </c>
      <c r="R58" s="6">
        <f t="shared" si="0"/>
        <v>2990.0392754285604</v>
      </c>
      <c r="S58" s="4">
        <f t="shared" si="1"/>
        <v>26792.957746478874</v>
      </c>
      <c r="T58" s="4">
        <f t="shared" si="2"/>
        <v>2740.8333333333335</v>
      </c>
      <c r="U58" s="4">
        <f t="shared" si="3"/>
        <v>630.39166666666677</v>
      </c>
      <c r="V58" s="4">
        <f t="shared" ca="1" si="4"/>
        <v>29</v>
      </c>
      <c r="W58" s="20">
        <f ca="1">V58*Q58</f>
        <v>10639.635649790471</v>
      </c>
      <c r="X58" s="4">
        <f t="shared" si="6"/>
        <v>-12235.119999999999</v>
      </c>
      <c r="Y58" s="13">
        <f t="shared" si="7"/>
        <v>-0.64317510382168952</v>
      </c>
    </row>
    <row r="59" spans="1:25" x14ac:dyDescent="0.3">
      <c r="A59" s="12" t="s">
        <v>159</v>
      </c>
      <c r="B59" s="7">
        <v>44466</v>
      </c>
      <c r="C59" s="4" t="s">
        <v>160</v>
      </c>
      <c r="D59" s="4" t="s">
        <v>56</v>
      </c>
      <c r="E59" s="4">
        <v>14350</v>
      </c>
      <c r="F59" s="4">
        <v>7.2</v>
      </c>
      <c r="G59" s="4">
        <v>60</v>
      </c>
      <c r="H59" s="4" t="s">
        <v>81</v>
      </c>
      <c r="I59" s="4" t="s">
        <v>57</v>
      </c>
      <c r="J59" s="4" t="s">
        <v>47</v>
      </c>
      <c r="K59" s="4">
        <v>123305</v>
      </c>
      <c r="L59" s="4" t="s">
        <v>29</v>
      </c>
      <c r="M59" s="4">
        <v>0.43</v>
      </c>
      <c r="N59" s="4">
        <v>0.67</v>
      </c>
      <c r="O59" s="4">
        <v>5712.02</v>
      </c>
      <c r="P59" s="4">
        <v>3379.84</v>
      </c>
      <c r="Q59" s="6">
        <f t="shared" si="8"/>
        <v>285.50322065841442</v>
      </c>
      <c r="R59" s="6">
        <f t="shared" si="0"/>
        <v>2780.1932395048643</v>
      </c>
      <c r="S59" s="4">
        <f t="shared" si="1"/>
        <v>21417.910447761195</v>
      </c>
      <c r="T59" s="4">
        <f t="shared" si="2"/>
        <v>10275.416666666666</v>
      </c>
      <c r="U59" s="4">
        <f t="shared" si="3"/>
        <v>4418.4291666666668</v>
      </c>
      <c r="V59" s="4">
        <f t="shared" ca="1" si="4"/>
        <v>53</v>
      </c>
      <c r="W59" s="20">
        <v>0</v>
      </c>
      <c r="X59" s="4">
        <f t="shared" si="6"/>
        <v>-5258.1399999999994</v>
      </c>
      <c r="Y59" s="13">
        <f t="shared" si="7"/>
        <v>-0.36642090592334492</v>
      </c>
    </row>
    <row r="60" spans="1:25" x14ac:dyDescent="0.3">
      <c r="A60" s="12" t="s">
        <v>161</v>
      </c>
      <c r="B60" s="7">
        <v>45012</v>
      </c>
      <c r="C60" s="4" t="s">
        <v>162</v>
      </c>
      <c r="D60" s="4" t="s">
        <v>46</v>
      </c>
      <c r="E60" s="4">
        <v>25354</v>
      </c>
      <c r="F60" s="4">
        <v>17</v>
      </c>
      <c r="G60" s="4">
        <v>60</v>
      </c>
      <c r="H60" s="4" t="s">
        <v>19</v>
      </c>
      <c r="I60" s="4" t="s">
        <v>41</v>
      </c>
      <c r="J60" s="4" t="s">
        <v>37</v>
      </c>
      <c r="K60" s="4">
        <v>139162</v>
      </c>
      <c r="L60" s="4" t="s">
        <v>22</v>
      </c>
      <c r="M60" s="4">
        <v>0.12</v>
      </c>
      <c r="N60" s="4">
        <v>0.73</v>
      </c>
      <c r="O60" s="4">
        <v>29664.18</v>
      </c>
      <c r="P60" s="4">
        <v>0</v>
      </c>
      <c r="Q60" s="6">
        <f t="shared" si="8"/>
        <v>630.11220599983346</v>
      </c>
      <c r="R60" s="6">
        <f t="shared" si="0"/>
        <v>12452.732359990005</v>
      </c>
      <c r="S60" s="4">
        <f t="shared" si="1"/>
        <v>34731.506849315068</v>
      </c>
      <c r="T60" s="4">
        <f t="shared" si="2"/>
        <v>11596.833333333334</v>
      </c>
      <c r="U60" s="4">
        <f t="shared" si="3"/>
        <v>1391.6200000000001</v>
      </c>
      <c r="V60" s="4">
        <f t="shared" ca="1" si="4"/>
        <v>35</v>
      </c>
      <c r="W60" s="20">
        <f ca="1">V60*Q60</f>
        <v>22053.92720999417</v>
      </c>
      <c r="X60" s="4">
        <f t="shared" si="6"/>
        <v>4310.18</v>
      </c>
      <c r="Y60" s="13">
        <f t="shared" si="7"/>
        <v>0.17</v>
      </c>
    </row>
    <row r="61" spans="1:25" x14ac:dyDescent="0.3">
      <c r="A61" s="12" t="s">
        <v>163</v>
      </c>
      <c r="B61" s="7">
        <v>44652</v>
      </c>
      <c r="C61" s="4" t="s">
        <v>164</v>
      </c>
      <c r="D61" s="4" t="s">
        <v>56</v>
      </c>
      <c r="E61" s="4">
        <v>29145</v>
      </c>
      <c r="F61" s="4">
        <v>6.9</v>
      </c>
      <c r="G61" s="4">
        <v>36</v>
      </c>
      <c r="H61" s="4" t="s">
        <v>26</v>
      </c>
      <c r="I61" s="4" t="s">
        <v>41</v>
      </c>
      <c r="J61" s="4" t="s">
        <v>21</v>
      </c>
      <c r="K61" s="4">
        <v>38026</v>
      </c>
      <c r="L61" s="4" t="s">
        <v>29</v>
      </c>
      <c r="M61" s="4">
        <v>0.28999999999999998</v>
      </c>
      <c r="N61" s="4">
        <v>0.69</v>
      </c>
      <c r="O61" s="4">
        <v>4504.3900000000003</v>
      </c>
      <c r="P61" s="4">
        <v>0</v>
      </c>
      <c r="Q61" s="6">
        <f t="shared" si="8"/>
        <v>898.5810318214742</v>
      </c>
      <c r="R61" s="6">
        <f t="shared" si="0"/>
        <v>3203.917145573072</v>
      </c>
      <c r="S61" s="4">
        <f t="shared" si="1"/>
        <v>42239.130434782615</v>
      </c>
      <c r="T61" s="4">
        <f t="shared" si="2"/>
        <v>3168.8333333333335</v>
      </c>
      <c r="U61" s="4">
        <f t="shared" si="3"/>
        <v>918.9616666666667</v>
      </c>
      <c r="V61" s="4">
        <f t="shared" ca="1" si="4"/>
        <v>47</v>
      </c>
      <c r="W61" s="20">
        <f ca="1">V61*Q61</f>
        <v>42233.308495609286</v>
      </c>
      <c r="X61" s="4">
        <f t="shared" si="6"/>
        <v>-24640.61</v>
      </c>
      <c r="Y61" s="13">
        <f t="shared" si="7"/>
        <v>-0.84544896208612119</v>
      </c>
    </row>
    <row r="62" spans="1:25" x14ac:dyDescent="0.3">
      <c r="A62" s="12" t="s">
        <v>165</v>
      </c>
      <c r="B62" s="7">
        <v>45213</v>
      </c>
      <c r="C62" s="4" t="s">
        <v>166</v>
      </c>
      <c r="D62" s="4" t="s">
        <v>56</v>
      </c>
      <c r="E62" s="4">
        <v>35020</v>
      </c>
      <c r="F62" s="4">
        <v>12.5</v>
      </c>
      <c r="G62" s="4">
        <v>60</v>
      </c>
      <c r="H62" s="4" t="s">
        <v>26</v>
      </c>
      <c r="I62" s="4" t="s">
        <v>73</v>
      </c>
      <c r="J62" s="4" t="s">
        <v>21</v>
      </c>
      <c r="K62" s="4">
        <v>94925</v>
      </c>
      <c r="L62" s="4" t="s">
        <v>29</v>
      </c>
      <c r="M62" s="4">
        <v>0.25</v>
      </c>
      <c r="N62" s="4">
        <v>0.59</v>
      </c>
      <c r="O62" s="4">
        <v>11583.76</v>
      </c>
      <c r="P62" s="4">
        <v>0</v>
      </c>
      <c r="Q62" s="6">
        <f t="shared" si="8"/>
        <v>787.87779665406265</v>
      </c>
      <c r="R62" s="6">
        <f t="shared" si="0"/>
        <v>12252.667799243762</v>
      </c>
      <c r="S62" s="4">
        <f t="shared" si="1"/>
        <v>59355.932203389835</v>
      </c>
      <c r="T62" s="4">
        <f t="shared" si="2"/>
        <v>7910.416666666667</v>
      </c>
      <c r="U62" s="4">
        <f t="shared" si="3"/>
        <v>1977.6041666666667</v>
      </c>
      <c r="V62" s="4">
        <f t="shared" ca="1" si="4"/>
        <v>29</v>
      </c>
      <c r="W62" s="20">
        <f ca="1">V62*Q62</f>
        <v>22848.456102967815</v>
      </c>
      <c r="X62" s="4">
        <f t="shared" si="6"/>
        <v>-23436.239999999998</v>
      </c>
      <c r="Y62" s="13">
        <f t="shared" si="7"/>
        <v>-0.66922444317532837</v>
      </c>
    </row>
    <row r="63" spans="1:25" x14ac:dyDescent="0.3">
      <c r="A63" s="12" t="s">
        <v>167</v>
      </c>
      <c r="B63" s="7">
        <v>44492</v>
      </c>
      <c r="C63" s="4" t="s">
        <v>168</v>
      </c>
      <c r="D63" s="4" t="s">
        <v>65</v>
      </c>
      <c r="E63" s="4">
        <v>21587</v>
      </c>
      <c r="F63" s="4">
        <v>16</v>
      </c>
      <c r="G63" s="4">
        <v>36</v>
      </c>
      <c r="H63" s="4" t="s">
        <v>26</v>
      </c>
      <c r="I63" s="4" t="s">
        <v>36</v>
      </c>
      <c r="J63" s="4" t="s">
        <v>28</v>
      </c>
      <c r="K63" s="4">
        <v>98842</v>
      </c>
      <c r="L63" s="4" t="s">
        <v>22</v>
      </c>
      <c r="M63" s="4">
        <v>0.23</v>
      </c>
      <c r="N63" s="4">
        <v>0.69</v>
      </c>
      <c r="O63" s="4">
        <v>5550.98</v>
      </c>
      <c r="P63" s="4">
        <v>0</v>
      </c>
      <c r="Q63" s="6">
        <f t="shared" si="8"/>
        <v>758.9348721556895</v>
      </c>
      <c r="R63" s="6">
        <f t="shared" si="0"/>
        <v>5734.6553976048235</v>
      </c>
      <c r="S63" s="4">
        <f t="shared" si="1"/>
        <v>31285.507246376816</v>
      </c>
      <c r="T63" s="4">
        <f t="shared" si="2"/>
        <v>8236.8333333333339</v>
      </c>
      <c r="U63" s="4">
        <f t="shared" si="3"/>
        <v>1894.4716666666668</v>
      </c>
      <c r="V63" s="4">
        <f t="shared" ca="1" si="4"/>
        <v>52</v>
      </c>
      <c r="W63" s="20">
        <f ca="1">V63*Q63</f>
        <v>39464.613352095854</v>
      </c>
      <c r="X63" s="4">
        <f t="shared" si="6"/>
        <v>-16036.02</v>
      </c>
      <c r="Y63" s="13">
        <f t="shared" si="7"/>
        <v>-0.74285542224486967</v>
      </c>
    </row>
    <row r="64" spans="1:25" x14ac:dyDescent="0.3">
      <c r="A64" s="12" t="s">
        <v>169</v>
      </c>
      <c r="B64" s="7">
        <v>44916</v>
      </c>
      <c r="C64" s="4" t="s">
        <v>170</v>
      </c>
      <c r="D64" s="4" t="s">
        <v>46</v>
      </c>
      <c r="E64" s="4">
        <v>10650</v>
      </c>
      <c r="F64" s="4">
        <v>12.8</v>
      </c>
      <c r="G64" s="4">
        <v>36</v>
      </c>
      <c r="H64" s="4" t="s">
        <v>19</v>
      </c>
      <c r="I64" s="4" t="s">
        <v>73</v>
      </c>
      <c r="J64" s="4" t="s">
        <v>28</v>
      </c>
      <c r="K64" s="4">
        <v>63665</v>
      </c>
      <c r="L64" s="4" t="s">
        <v>22</v>
      </c>
      <c r="M64" s="4">
        <v>0.21</v>
      </c>
      <c r="N64" s="4">
        <v>0.53</v>
      </c>
      <c r="O64" s="4">
        <v>12013.2</v>
      </c>
      <c r="P64" s="4">
        <v>0</v>
      </c>
      <c r="Q64" s="6">
        <f t="shared" si="8"/>
        <v>357.81550782199116</v>
      </c>
      <c r="R64" s="6">
        <f t="shared" si="0"/>
        <v>2231.3582815916816</v>
      </c>
      <c r="S64" s="4">
        <f t="shared" si="1"/>
        <v>20094.33962264151</v>
      </c>
      <c r="T64" s="4">
        <f t="shared" si="2"/>
        <v>5305.416666666667</v>
      </c>
      <c r="U64" s="4">
        <f t="shared" si="3"/>
        <v>1114.1375</v>
      </c>
      <c r="V64" s="4">
        <f t="shared" ca="1" si="4"/>
        <v>38</v>
      </c>
      <c r="W64" s="20">
        <f ca="1">V64*Q64</f>
        <v>13596.989297235665</v>
      </c>
      <c r="X64" s="4">
        <f t="shared" si="6"/>
        <v>1363.2000000000007</v>
      </c>
      <c r="Y64" s="13">
        <f t="shared" si="7"/>
        <v>0.12800000000000006</v>
      </c>
    </row>
    <row r="65" spans="1:25" x14ac:dyDescent="0.3">
      <c r="A65" s="12" t="s">
        <v>171</v>
      </c>
      <c r="B65" s="7">
        <v>44534</v>
      </c>
      <c r="C65" s="4" t="s">
        <v>172</v>
      </c>
      <c r="D65" s="4" t="s">
        <v>56</v>
      </c>
      <c r="E65" s="4">
        <v>20933</v>
      </c>
      <c r="F65" s="4">
        <v>8.3000000000000007</v>
      </c>
      <c r="G65" s="4">
        <v>36</v>
      </c>
      <c r="H65" s="4" t="s">
        <v>81</v>
      </c>
      <c r="I65" s="4" t="s">
        <v>57</v>
      </c>
      <c r="J65" s="4" t="s">
        <v>37</v>
      </c>
      <c r="K65" s="4">
        <v>39277</v>
      </c>
      <c r="L65" s="4" t="s">
        <v>33</v>
      </c>
      <c r="M65" s="4">
        <v>0.14000000000000001</v>
      </c>
      <c r="N65" s="4">
        <v>0.76</v>
      </c>
      <c r="O65" s="4">
        <v>2341.0500000000002</v>
      </c>
      <c r="P65" s="4">
        <v>2519.27</v>
      </c>
      <c r="Q65" s="6">
        <f t="shared" si="8"/>
        <v>658.86503974394566</v>
      </c>
      <c r="R65" s="6">
        <f t="shared" si="0"/>
        <v>2786.1414307820451</v>
      </c>
      <c r="S65" s="4">
        <f t="shared" si="1"/>
        <v>27543.42105263158</v>
      </c>
      <c r="T65" s="4">
        <f t="shared" si="2"/>
        <v>3273.0833333333335</v>
      </c>
      <c r="U65" s="4">
        <f t="shared" si="3"/>
        <v>458.23166666666674</v>
      </c>
      <c r="V65" s="4">
        <f t="shared" ca="1" si="4"/>
        <v>51</v>
      </c>
      <c r="W65" s="20">
        <v>0</v>
      </c>
      <c r="X65" s="4">
        <f t="shared" si="6"/>
        <v>-16072.68</v>
      </c>
      <c r="Y65" s="13">
        <f t="shared" si="7"/>
        <v>-0.76781541107342477</v>
      </c>
    </row>
    <row r="66" spans="1:25" x14ac:dyDescent="0.3">
      <c r="A66" s="12" t="s">
        <v>173</v>
      </c>
      <c r="B66" s="7">
        <v>45075</v>
      </c>
      <c r="C66" s="4" t="s">
        <v>174</v>
      </c>
      <c r="D66" s="4" t="s">
        <v>25</v>
      </c>
      <c r="E66" s="4">
        <v>21581</v>
      </c>
      <c r="F66" s="4">
        <v>10.5</v>
      </c>
      <c r="G66" s="4">
        <v>36</v>
      </c>
      <c r="H66" s="4" t="s">
        <v>19</v>
      </c>
      <c r="I66" s="4" t="s">
        <v>57</v>
      </c>
      <c r="J66" s="4" t="s">
        <v>28</v>
      </c>
      <c r="K66" s="4">
        <v>72239</v>
      </c>
      <c r="L66" s="4" t="s">
        <v>22</v>
      </c>
      <c r="M66" s="4">
        <v>0.23</v>
      </c>
      <c r="N66" s="4">
        <v>0.88</v>
      </c>
      <c r="O66" s="4">
        <v>23847</v>
      </c>
      <c r="P66" s="4">
        <v>0</v>
      </c>
      <c r="Q66" s="6">
        <f t="shared" si="8"/>
        <v>701.43523327464868</v>
      </c>
      <c r="R66" s="6">
        <f t="shared" ref="R66:R129" si="11">(Q66*G66)-E66</f>
        <v>3670.6683978873516</v>
      </c>
      <c r="S66" s="4">
        <f t="shared" ref="S66:S129" si="12">E66 / N66</f>
        <v>24523.863636363636</v>
      </c>
      <c r="T66" s="4">
        <f t="shared" ref="T66:T129" si="13">K66/12</f>
        <v>6019.916666666667</v>
      </c>
      <c r="U66" s="4">
        <f t="shared" ref="U66:U129" si="14">M66*T66</f>
        <v>1384.5808333333334</v>
      </c>
      <c r="V66" s="4">
        <f t="shared" ref="V66:V129" ca="1" si="15">DATEDIF(B66, TODAY(), "m")</f>
        <v>33</v>
      </c>
      <c r="W66" s="20">
        <f ca="1">V66*Q66</f>
        <v>23147.362698063407</v>
      </c>
      <c r="X66" s="4">
        <f t="shared" ref="X66:X129" si="16">(O66 + P66) - E66</f>
        <v>2266</v>
      </c>
      <c r="Y66" s="13">
        <f t="shared" ref="Y66:Y129" si="17">(X66/E66)</f>
        <v>0.10499976831472128</v>
      </c>
    </row>
    <row r="67" spans="1:25" x14ac:dyDescent="0.3">
      <c r="A67" s="12" t="s">
        <v>175</v>
      </c>
      <c r="B67" s="7">
        <v>45273</v>
      </c>
      <c r="C67" s="4" t="s">
        <v>176</v>
      </c>
      <c r="D67" s="4" t="s">
        <v>65</v>
      </c>
      <c r="E67" s="4">
        <v>24393</v>
      </c>
      <c r="F67" s="4">
        <v>23.6</v>
      </c>
      <c r="G67" s="4">
        <v>36</v>
      </c>
      <c r="H67" s="4" t="s">
        <v>19</v>
      </c>
      <c r="I67" s="4" t="s">
        <v>36</v>
      </c>
      <c r="J67" s="4" t="s">
        <v>32</v>
      </c>
      <c r="K67" s="4">
        <v>77664</v>
      </c>
      <c r="L67" s="4" t="s">
        <v>33</v>
      </c>
      <c r="M67" s="4">
        <v>0.12</v>
      </c>
      <c r="N67" s="4">
        <v>0.83</v>
      </c>
      <c r="O67" s="4">
        <v>30149.75</v>
      </c>
      <c r="P67" s="4">
        <v>0</v>
      </c>
      <c r="Q67" s="6">
        <f t="shared" ref="Q67:Q130" si="18">PMT(F67/100/12, G67, -E67)</f>
        <v>951.89140414656094</v>
      </c>
      <c r="R67" s="6">
        <f t="shared" si="11"/>
        <v>9875.0905492761958</v>
      </c>
      <c r="S67" s="4">
        <f t="shared" si="12"/>
        <v>29389.156626506025</v>
      </c>
      <c r="T67" s="4">
        <f t="shared" si="13"/>
        <v>6472</v>
      </c>
      <c r="U67" s="4">
        <f t="shared" si="14"/>
        <v>776.64</v>
      </c>
      <c r="V67" s="4">
        <f t="shared" ca="1" si="15"/>
        <v>27</v>
      </c>
      <c r="W67" s="20">
        <f ca="1">V67*Q67</f>
        <v>25701.067911957147</v>
      </c>
      <c r="X67" s="4">
        <f t="shared" si="16"/>
        <v>5756.75</v>
      </c>
      <c r="Y67" s="13">
        <f t="shared" si="17"/>
        <v>0.23600008199073505</v>
      </c>
    </row>
    <row r="68" spans="1:25" x14ac:dyDescent="0.3">
      <c r="A68" s="12" t="s">
        <v>177</v>
      </c>
      <c r="B68" s="7">
        <v>44988</v>
      </c>
      <c r="C68" s="4" t="s">
        <v>178</v>
      </c>
      <c r="D68" s="4" t="s">
        <v>18</v>
      </c>
      <c r="E68" s="4">
        <v>24051</v>
      </c>
      <c r="F68" s="4">
        <v>18.5</v>
      </c>
      <c r="G68" s="4">
        <v>60</v>
      </c>
      <c r="H68" s="4" t="s">
        <v>81</v>
      </c>
      <c r="I68" s="4" t="s">
        <v>20</v>
      </c>
      <c r="J68" s="4" t="s">
        <v>32</v>
      </c>
      <c r="K68" s="4">
        <v>78008</v>
      </c>
      <c r="L68" s="4" t="s">
        <v>29</v>
      </c>
      <c r="M68" s="4">
        <v>0.41</v>
      </c>
      <c r="N68" s="4">
        <v>0.66</v>
      </c>
      <c r="O68" s="4">
        <v>2509.5100000000002</v>
      </c>
      <c r="P68" s="4">
        <v>11762.86</v>
      </c>
      <c r="Q68" s="6">
        <f t="shared" si="18"/>
        <v>617.29799689703395</v>
      </c>
      <c r="R68" s="6">
        <f t="shared" si="11"/>
        <v>12986.879813822037</v>
      </c>
      <c r="S68" s="4">
        <f t="shared" si="12"/>
        <v>36440.909090909088</v>
      </c>
      <c r="T68" s="4">
        <f t="shared" si="13"/>
        <v>6500.666666666667</v>
      </c>
      <c r="U68" s="4">
        <f t="shared" si="14"/>
        <v>2665.2733333333331</v>
      </c>
      <c r="V68" s="4">
        <f t="shared" ca="1" si="15"/>
        <v>36</v>
      </c>
      <c r="W68" s="20">
        <v>0</v>
      </c>
      <c r="X68" s="4">
        <f t="shared" si="16"/>
        <v>-9778.6299999999992</v>
      </c>
      <c r="Y68" s="13">
        <f t="shared" si="17"/>
        <v>-0.4065789364267598</v>
      </c>
    </row>
    <row r="69" spans="1:25" x14ac:dyDescent="0.3">
      <c r="A69" s="12" t="s">
        <v>179</v>
      </c>
      <c r="B69" s="7">
        <v>44413</v>
      </c>
      <c r="C69" s="4" t="s">
        <v>180</v>
      </c>
      <c r="D69" s="4" t="s">
        <v>65</v>
      </c>
      <c r="E69" s="4">
        <v>27212</v>
      </c>
      <c r="F69" s="4">
        <v>14.9</v>
      </c>
      <c r="G69" s="4">
        <v>60</v>
      </c>
      <c r="H69" s="4" t="s">
        <v>26</v>
      </c>
      <c r="I69" s="4" t="s">
        <v>73</v>
      </c>
      <c r="J69" s="4" t="s">
        <v>32</v>
      </c>
      <c r="K69" s="4">
        <v>44683</v>
      </c>
      <c r="L69" s="4" t="s">
        <v>29</v>
      </c>
      <c r="M69" s="4">
        <v>0.26</v>
      </c>
      <c r="N69" s="4">
        <v>0.54</v>
      </c>
      <c r="O69" s="4">
        <v>2820.6</v>
      </c>
      <c r="P69" s="4">
        <v>0</v>
      </c>
      <c r="Q69" s="6">
        <f t="shared" si="18"/>
        <v>645.9440637575359</v>
      </c>
      <c r="R69" s="6">
        <f t="shared" si="11"/>
        <v>11544.643825452156</v>
      </c>
      <c r="S69" s="4">
        <f t="shared" si="12"/>
        <v>50392.592592592591</v>
      </c>
      <c r="T69" s="4">
        <f t="shared" si="13"/>
        <v>3723.5833333333335</v>
      </c>
      <c r="U69" s="4">
        <f t="shared" si="14"/>
        <v>968.13166666666677</v>
      </c>
      <c r="V69" s="4">
        <f t="shared" ca="1" si="15"/>
        <v>55</v>
      </c>
      <c r="W69" s="20">
        <f t="shared" ref="W69:W91" ca="1" si="19">V69*Q69</f>
        <v>35526.923506664476</v>
      </c>
      <c r="X69" s="4">
        <f t="shared" si="16"/>
        <v>-24391.4</v>
      </c>
      <c r="Y69" s="13">
        <f t="shared" si="17"/>
        <v>-0.8963471997648097</v>
      </c>
    </row>
    <row r="70" spans="1:25" x14ac:dyDescent="0.3">
      <c r="A70" s="12" t="s">
        <v>181</v>
      </c>
      <c r="B70" s="7">
        <v>44960</v>
      </c>
      <c r="C70" s="4" t="s">
        <v>182</v>
      </c>
      <c r="D70" s="4" t="s">
        <v>76</v>
      </c>
      <c r="E70" s="4">
        <v>5090</v>
      </c>
      <c r="F70" s="4">
        <v>5.3</v>
      </c>
      <c r="G70" s="4">
        <v>60</v>
      </c>
      <c r="H70" s="4" t="s">
        <v>19</v>
      </c>
      <c r="I70" s="4" t="s">
        <v>73</v>
      </c>
      <c r="J70" s="4" t="s">
        <v>32</v>
      </c>
      <c r="K70" s="4">
        <v>30670</v>
      </c>
      <c r="L70" s="4" t="s">
        <v>33</v>
      </c>
      <c r="M70" s="4">
        <v>0.28000000000000003</v>
      </c>
      <c r="N70" s="4">
        <v>0.59</v>
      </c>
      <c r="O70" s="4">
        <v>5359.77</v>
      </c>
      <c r="P70" s="4">
        <v>0</v>
      </c>
      <c r="Q70" s="6">
        <f t="shared" si="18"/>
        <v>96.75573503440549</v>
      </c>
      <c r="R70" s="6">
        <f t="shared" si="11"/>
        <v>715.34410206432949</v>
      </c>
      <c r="S70" s="4">
        <f t="shared" si="12"/>
        <v>8627.1186440677975</v>
      </c>
      <c r="T70" s="4">
        <f t="shared" si="13"/>
        <v>2555.8333333333335</v>
      </c>
      <c r="U70" s="4">
        <f t="shared" si="14"/>
        <v>715.63333333333344</v>
      </c>
      <c r="V70" s="4">
        <f t="shared" ca="1" si="15"/>
        <v>37</v>
      </c>
      <c r="W70" s="20">
        <f t="shared" ca="1" si="19"/>
        <v>3579.962196273003</v>
      </c>
      <c r="X70" s="4">
        <f t="shared" si="16"/>
        <v>269.77000000000044</v>
      </c>
      <c r="Y70" s="13">
        <f t="shared" si="17"/>
        <v>5.3000000000000089E-2</v>
      </c>
    </row>
    <row r="71" spans="1:25" x14ac:dyDescent="0.3">
      <c r="A71" s="12" t="s">
        <v>183</v>
      </c>
      <c r="B71" s="7">
        <v>44384</v>
      </c>
      <c r="C71" s="4" t="s">
        <v>184</v>
      </c>
      <c r="D71" s="4" t="s">
        <v>76</v>
      </c>
      <c r="E71" s="4">
        <v>7960</v>
      </c>
      <c r="F71" s="4">
        <v>24.8</v>
      </c>
      <c r="G71" s="4">
        <v>60</v>
      </c>
      <c r="H71" s="4" t="s">
        <v>19</v>
      </c>
      <c r="I71" s="4" t="s">
        <v>27</v>
      </c>
      <c r="J71" s="4" t="s">
        <v>37</v>
      </c>
      <c r="K71" s="4">
        <v>119211</v>
      </c>
      <c r="L71" s="4" t="s">
        <v>22</v>
      </c>
      <c r="M71" s="4">
        <v>0.46</v>
      </c>
      <c r="N71" s="4">
        <v>0.75</v>
      </c>
      <c r="O71" s="4">
        <v>9934.08</v>
      </c>
      <c r="P71" s="4">
        <v>0</v>
      </c>
      <c r="Q71" s="6">
        <f t="shared" si="18"/>
        <v>232.70412369570198</v>
      </c>
      <c r="R71" s="6">
        <f t="shared" si="11"/>
        <v>6002.2474217421186</v>
      </c>
      <c r="S71" s="4">
        <f t="shared" si="12"/>
        <v>10613.333333333334</v>
      </c>
      <c r="T71" s="4">
        <f t="shared" si="13"/>
        <v>9934.25</v>
      </c>
      <c r="U71" s="4">
        <f t="shared" si="14"/>
        <v>4569.7550000000001</v>
      </c>
      <c r="V71" s="4">
        <f t="shared" ca="1" si="15"/>
        <v>56</v>
      </c>
      <c r="W71" s="20">
        <f t="shared" ca="1" si="19"/>
        <v>13031.43092695931</v>
      </c>
      <c r="X71" s="4">
        <f t="shared" si="16"/>
        <v>1974.08</v>
      </c>
      <c r="Y71" s="13">
        <f t="shared" si="17"/>
        <v>0.248</v>
      </c>
    </row>
    <row r="72" spans="1:25" x14ac:dyDescent="0.3">
      <c r="A72" s="12" t="s">
        <v>185</v>
      </c>
      <c r="B72" s="7">
        <v>44576</v>
      </c>
      <c r="C72" s="4" t="s">
        <v>186</v>
      </c>
      <c r="D72" s="4" t="s">
        <v>56</v>
      </c>
      <c r="E72" s="4">
        <v>36772</v>
      </c>
      <c r="F72" s="4">
        <v>18.399999999999999</v>
      </c>
      <c r="G72" s="4">
        <v>36</v>
      </c>
      <c r="H72" s="4" t="s">
        <v>19</v>
      </c>
      <c r="I72" s="4" t="s">
        <v>73</v>
      </c>
      <c r="J72" s="4" t="s">
        <v>21</v>
      </c>
      <c r="K72" s="4">
        <v>47889</v>
      </c>
      <c r="L72" s="4" t="s">
        <v>22</v>
      </c>
      <c r="M72" s="4">
        <v>0.36</v>
      </c>
      <c r="N72" s="4">
        <v>0.59</v>
      </c>
      <c r="O72" s="4">
        <v>43538.05</v>
      </c>
      <c r="P72" s="4">
        <v>0</v>
      </c>
      <c r="Q72" s="6">
        <f t="shared" si="18"/>
        <v>1336.786177818507</v>
      </c>
      <c r="R72" s="6">
        <f t="shared" si="11"/>
        <v>11352.302401466251</v>
      </c>
      <c r="S72" s="4">
        <f t="shared" si="12"/>
        <v>62325.423728813563</v>
      </c>
      <c r="T72" s="4">
        <f t="shared" si="13"/>
        <v>3990.75</v>
      </c>
      <c r="U72" s="4">
        <f t="shared" si="14"/>
        <v>1436.6699999999998</v>
      </c>
      <c r="V72" s="4">
        <f t="shared" ca="1" si="15"/>
        <v>50</v>
      </c>
      <c r="W72" s="20">
        <f t="shared" ca="1" si="19"/>
        <v>66839.308890925342</v>
      </c>
      <c r="X72" s="4">
        <f t="shared" si="16"/>
        <v>6766.0500000000029</v>
      </c>
      <c r="Y72" s="13">
        <f t="shared" si="17"/>
        <v>0.18400005438920927</v>
      </c>
    </row>
    <row r="73" spans="1:25" x14ac:dyDescent="0.3">
      <c r="A73" s="12" t="s">
        <v>187</v>
      </c>
      <c r="B73" s="7">
        <v>44689</v>
      </c>
      <c r="C73" s="4" t="s">
        <v>188</v>
      </c>
      <c r="D73" s="4" t="s">
        <v>46</v>
      </c>
      <c r="E73" s="4">
        <v>22520</v>
      </c>
      <c r="F73" s="4">
        <v>11.3</v>
      </c>
      <c r="G73" s="4">
        <v>60</v>
      </c>
      <c r="H73" s="4" t="s">
        <v>19</v>
      </c>
      <c r="I73" s="4" t="s">
        <v>57</v>
      </c>
      <c r="J73" s="4" t="s">
        <v>32</v>
      </c>
      <c r="K73" s="4">
        <v>85612</v>
      </c>
      <c r="L73" s="4" t="s">
        <v>29</v>
      </c>
      <c r="M73" s="4">
        <v>0.1</v>
      </c>
      <c r="N73" s="4">
        <v>0.74</v>
      </c>
      <c r="O73" s="4">
        <v>25064.76</v>
      </c>
      <c r="P73" s="4">
        <v>0</v>
      </c>
      <c r="Q73" s="6">
        <f t="shared" si="18"/>
        <v>493.01537553987492</v>
      </c>
      <c r="R73" s="6">
        <f t="shared" si="11"/>
        <v>7060.9225323924948</v>
      </c>
      <c r="S73" s="4">
        <f t="shared" si="12"/>
        <v>30432.432432432433</v>
      </c>
      <c r="T73" s="4">
        <f t="shared" si="13"/>
        <v>7134.333333333333</v>
      </c>
      <c r="U73" s="4">
        <f t="shared" si="14"/>
        <v>713.43333333333339</v>
      </c>
      <c r="V73" s="4">
        <f t="shared" ca="1" si="15"/>
        <v>46</v>
      </c>
      <c r="W73" s="20">
        <f t="shared" ca="1" si="19"/>
        <v>22678.707274834247</v>
      </c>
      <c r="X73" s="4">
        <f t="shared" si="16"/>
        <v>2544.7599999999984</v>
      </c>
      <c r="Y73" s="13">
        <f t="shared" si="17"/>
        <v>0.11299999999999993</v>
      </c>
    </row>
    <row r="74" spans="1:25" x14ac:dyDescent="0.3">
      <c r="A74" s="12" t="s">
        <v>189</v>
      </c>
      <c r="B74" s="7">
        <v>45261</v>
      </c>
      <c r="C74" s="4" t="s">
        <v>190</v>
      </c>
      <c r="D74" s="4" t="s">
        <v>18</v>
      </c>
      <c r="E74" s="4">
        <v>37408</v>
      </c>
      <c r="F74" s="4">
        <v>22.6</v>
      </c>
      <c r="G74" s="4">
        <v>60</v>
      </c>
      <c r="H74" s="4" t="s">
        <v>19</v>
      </c>
      <c r="I74" s="4" t="s">
        <v>20</v>
      </c>
      <c r="J74" s="4" t="s">
        <v>28</v>
      </c>
      <c r="K74" s="4">
        <v>74535</v>
      </c>
      <c r="L74" s="4" t="s">
        <v>33</v>
      </c>
      <c r="M74" s="4">
        <v>0.48</v>
      </c>
      <c r="N74" s="4">
        <v>0.6</v>
      </c>
      <c r="O74" s="4">
        <v>45862.21</v>
      </c>
      <c r="P74" s="4">
        <v>0</v>
      </c>
      <c r="Q74" s="6">
        <f t="shared" si="18"/>
        <v>1045.969994528074</v>
      </c>
      <c r="R74" s="6">
        <f t="shared" si="11"/>
        <v>25350.199671684444</v>
      </c>
      <c r="S74" s="4">
        <f t="shared" si="12"/>
        <v>62346.666666666672</v>
      </c>
      <c r="T74" s="4">
        <f t="shared" si="13"/>
        <v>6211.25</v>
      </c>
      <c r="U74" s="4">
        <f t="shared" si="14"/>
        <v>2981.4</v>
      </c>
      <c r="V74" s="4">
        <f t="shared" ca="1" si="15"/>
        <v>27</v>
      </c>
      <c r="W74" s="20">
        <f t="shared" ca="1" si="19"/>
        <v>28241.189852257998</v>
      </c>
      <c r="X74" s="4">
        <f t="shared" si="16"/>
        <v>8454.2099999999991</v>
      </c>
      <c r="Y74" s="13">
        <f t="shared" si="17"/>
        <v>0.22600005346449956</v>
      </c>
    </row>
    <row r="75" spans="1:25" x14ac:dyDescent="0.3">
      <c r="A75" s="12" t="s">
        <v>191</v>
      </c>
      <c r="B75" s="7">
        <v>44211</v>
      </c>
      <c r="C75" s="4" t="s">
        <v>192</v>
      </c>
      <c r="D75" s="4" t="s">
        <v>65</v>
      </c>
      <c r="E75" s="4">
        <v>29470</v>
      </c>
      <c r="F75" s="4">
        <v>10.199999999999999</v>
      </c>
      <c r="G75" s="4">
        <v>36</v>
      </c>
      <c r="H75" s="4" t="s">
        <v>26</v>
      </c>
      <c r="I75" s="4" t="s">
        <v>73</v>
      </c>
      <c r="J75" s="4" t="s">
        <v>32</v>
      </c>
      <c r="K75" s="4">
        <v>108542</v>
      </c>
      <c r="L75" s="4" t="s">
        <v>29</v>
      </c>
      <c r="M75" s="4">
        <v>0.19</v>
      </c>
      <c r="N75" s="4">
        <v>0.88</v>
      </c>
      <c r="O75" s="4">
        <v>10081.43</v>
      </c>
      <c r="P75" s="4">
        <v>0</v>
      </c>
      <c r="Q75" s="6">
        <f t="shared" si="18"/>
        <v>953.68360744684469</v>
      </c>
      <c r="R75" s="6">
        <f t="shared" si="11"/>
        <v>4862.6098680864088</v>
      </c>
      <c r="S75" s="4">
        <f t="shared" si="12"/>
        <v>33488.63636363636</v>
      </c>
      <c r="T75" s="4">
        <f t="shared" si="13"/>
        <v>9045.1666666666661</v>
      </c>
      <c r="U75" s="4">
        <f t="shared" si="14"/>
        <v>1718.5816666666665</v>
      </c>
      <c r="V75" s="4">
        <f t="shared" ca="1" si="15"/>
        <v>62</v>
      </c>
      <c r="W75" s="20">
        <f t="shared" ca="1" si="19"/>
        <v>59128.383661704371</v>
      </c>
      <c r="X75" s="4">
        <f t="shared" si="16"/>
        <v>-19388.57</v>
      </c>
      <c r="Y75" s="13">
        <f t="shared" si="17"/>
        <v>-0.6579087207329487</v>
      </c>
    </row>
    <row r="76" spans="1:25" x14ac:dyDescent="0.3">
      <c r="A76" s="12" t="s">
        <v>193</v>
      </c>
      <c r="B76" s="7">
        <v>44261</v>
      </c>
      <c r="C76" s="4" t="s">
        <v>194</v>
      </c>
      <c r="D76" s="4" t="s">
        <v>46</v>
      </c>
      <c r="E76" s="4">
        <v>21491</v>
      </c>
      <c r="F76" s="4">
        <v>15.9</v>
      </c>
      <c r="G76" s="4">
        <v>36</v>
      </c>
      <c r="H76" s="4" t="s">
        <v>19</v>
      </c>
      <c r="I76" s="4" t="s">
        <v>27</v>
      </c>
      <c r="J76" s="4" t="s">
        <v>37</v>
      </c>
      <c r="K76" s="4">
        <v>84319</v>
      </c>
      <c r="L76" s="4" t="s">
        <v>29</v>
      </c>
      <c r="M76" s="4">
        <v>0.14000000000000001</v>
      </c>
      <c r="N76" s="4">
        <v>0.68</v>
      </c>
      <c r="O76" s="4">
        <v>24908.07</v>
      </c>
      <c r="P76" s="4">
        <v>0</v>
      </c>
      <c r="Q76" s="6">
        <f t="shared" si="18"/>
        <v>754.49921038914374</v>
      </c>
      <c r="R76" s="6">
        <f t="shared" si="11"/>
        <v>5670.9715740091742</v>
      </c>
      <c r="S76" s="4">
        <f t="shared" si="12"/>
        <v>31604.411764705881</v>
      </c>
      <c r="T76" s="4">
        <f t="shared" si="13"/>
        <v>7026.583333333333</v>
      </c>
      <c r="U76" s="4">
        <f t="shared" si="14"/>
        <v>983.72166666666669</v>
      </c>
      <c r="V76" s="4">
        <f t="shared" ca="1" si="15"/>
        <v>60</v>
      </c>
      <c r="W76" s="20">
        <f t="shared" ca="1" si="19"/>
        <v>45269.952623348625</v>
      </c>
      <c r="X76" s="4">
        <f t="shared" si="16"/>
        <v>3417.0699999999997</v>
      </c>
      <c r="Y76" s="13">
        <f t="shared" si="17"/>
        <v>0.15900004653110603</v>
      </c>
    </row>
    <row r="77" spans="1:25" x14ac:dyDescent="0.3">
      <c r="A77" s="12" t="s">
        <v>195</v>
      </c>
      <c r="B77" s="7">
        <v>44717</v>
      </c>
      <c r="C77" s="4" t="s">
        <v>196</v>
      </c>
      <c r="D77" s="4" t="s">
        <v>65</v>
      </c>
      <c r="E77" s="4">
        <v>2341</v>
      </c>
      <c r="F77" s="4">
        <v>17.7</v>
      </c>
      <c r="G77" s="4">
        <v>60</v>
      </c>
      <c r="H77" s="4" t="s">
        <v>26</v>
      </c>
      <c r="I77" s="4" t="s">
        <v>73</v>
      </c>
      <c r="J77" s="4" t="s">
        <v>28</v>
      </c>
      <c r="K77" s="4">
        <v>144072</v>
      </c>
      <c r="L77" s="4" t="s">
        <v>22</v>
      </c>
      <c r="M77" s="4">
        <v>0.41</v>
      </c>
      <c r="N77" s="4">
        <v>0.61</v>
      </c>
      <c r="O77" s="4">
        <v>714.53</v>
      </c>
      <c r="P77" s="4">
        <v>0</v>
      </c>
      <c r="Q77" s="6">
        <f t="shared" si="18"/>
        <v>59.064625187353784</v>
      </c>
      <c r="R77" s="6">
        <f t="shared" si="11"/>
        <v>1202.8775112412268</v>
      </c>
      <c r="S77" s="4">
        <f t="shared" si="12"/>
        <v>3837.7049180327872</v>
      </c>
      <c r="T77" s="4">
        <f t="shared" si="13"/>
        <v>12006</v>
      </c>
      <c r="U77" s="4">
        <f t="shared" si="14"/>
        <v>4922.46</v>
      </c>
      <c r="V77" s="4">
        <f t="shared" ca="1" si="15"/>
        <v>45</v>
      </c>
      <c r="W77" s="20">
        <f t="shared" ca="1" si="19"/>
        <v>2657.9081334309203</v>
      </c>
      <c r="X77" s="4">
        <f t="shared" si="16"/>
        <v>-1626.47</v>
      </c>
      <c r="Y77" s="13">
        <f t="shared" si="17"/>
        <v>-0.69477573686458782</v>
      </c>
    </row>
    <row r="78" spans="1:25" x14ac:dyDescent="0.3">
      <c r="A78" s="12" t="s">
        <v>197</v>
      </c>
      <c r="B78" s="7">
        <v>44844</v>
      </c>
      <c r="C78" s="4" t="s">
        <v>198</v>
      </c>
      <c r="D78" s="4" t="s">
        <v>65</v>
      </c>
      <c r="E78" s="4">
        <v>25791</v>
      </c>
      <c r="F78" s="4">
        <v>9.4</v>
      </c>
      <c r="G78" s="4">
        <v>60</v>
      </c>
      <c r="H78" s="4" t="s">
        <v>26</v>
      </c>
      <c r="I78" s="4" t="s">
        <v>27</v>
      </c>
      <c r="J78" s="4" t="s">
        <v>32</v>
      </c>
      <c r="K78" s="4">
        <v>122067</v>
      </c>
      <c r="L78" s="4" t="s">
        <v>33</v>
      </c>
      <c r="M78" s="4">
        <v>0.3</v>
      </c>
      <c r="N78" s="4">
        <v>0.87</v>
      </c>
      <c r="O78" s="4">
        <v>7712.63</v>
      </c>
      <c r="P78" s="4">
        <v>0</v>
      </c>
      <c r="Q78" s="6">
        <f t="shared" si="18"/>
        <v>540.39948709691043</v>
      </c>
      <c r="R78" s="6">
        <f t="shared" si="11"/>
        <v>6632.9692258146242</v>
      </c>
      <c r="S78" s="4">
        <f t="shared" si="12"/>
        <v>29644.827586206895</v>
      </c>
      <c r="T78" s="4">
        <f t="shared" si="13"/>
        <v>10172.25</v>
      </c>
      <c r="U78" s="4">
        <f t="shared" si="14"/>
        <v>3051.6749999999997</v>
      </c>
      <c r="V78" s="4">
        <f t="shared" ca="1" si="15"/>
        <v>41</v>
      </c>
      <c r="W78" s="20">
        <f t="shared" ca="1" si="19"/>
        <v>22156.378970973328</v>
      </c>
      <c r="X78" s="4">
        <f t="shared" si="16"/>
        <v>-18078.37</v>
      </c>
      <c r="Y78" s="13">
        <f t="shared" si="17"/>
        <v>-0.70095653522546619</v>
      </c>
    </row>
    <row r="79" spans="1:25" x14ac:dyDescent="0.3">
      <c r="A79" s="12" t="s">
        <v>199</v>
      </c>
      <c r="B79" s="7">
        <v>45283</v>
      </c>
      <c r="C79" s="4" t="s">
        <v>200</v>
      </c>
      <c r="D79" s="4" t="s">
        <v>25</v>
      </c>
      <c r="E79" s="4">
        <v>1338</v>
      </c>
      <c r="F79" s="4">
        <v>24.6</v>
      </c>
      <c r="G79" s="4">
        <v>36</v>
      </c>
      <c r="H79" s="4" t="s">
        <v>19</v>
      </c>
      <c r="I79" s="4" t="s">
        <v>20</v>
      </c>
      <c r="J79" s="4" t="s">
        <v>21</v>
      </c>
      <c r="K79" s="4">
        <v>51639</v>
      </c>
      <c r="L79" s="4" t="s">
        <v>29</v>
      </c>
      <c r="M79" s="4">
        <v>0.27</v>
      </c>
      <c r="N79" s="4">
        <v>0.65</v>
      </c>
      <c r="O79" s="4">
        <v>1667.15</v>
      </c>
      <c r="P79" s="4">
        <v>0</v>
      </c>
      <c r="Q79" s="6">
        <f t="shared" si="18"/>
        <v>52.915995806436328</v>
      </c>
      <c r="R79" s="6">
        <f t="shared" si="11"/>
        <v>566.97584903170787</v>
      </c>
      <c r="S79" s="4">
        <f t="shared" si="12"/>
        <v>2058.4615384615386</v>
      </c>
      <c r="T79" s="4">
        <f t="shared" si="13"/>
        <v>4303.25</v>
      </c>
      <c r="U79" s="4">
        <f t="shared" si="14"/>
        <v>1161.8775000000001</v>
      </c>
      <c r="V79" s="4">
        <f t="shared" ca="1" si="15"/>
        <v>26</v>
      </c>
      <c r="W79" s="20">
        <f t="shared" ca="1" si="19"/>
        <v>1375.8158909673446</v>
      </c>
      <c r="X79" s="4">
        <f t="shared" si="16"/>
        <v>329.15000000000009</v>
      </c>
      <c r="Y79" s="13">
        <f t="shared" si="17"/>
        <v>0.24600149476831099</v>
      </c>
    </row>
    <row r="80" spans="1:25" x14ac:dyDescent="0.3">
      <c r="A80" s="12" t="s">
        <v>201</v>
      </c>
      <c r="B80" s="7">
        <v>44789</v>
      </c>
      <c r="C80" s="4" t="s">
        <v>202</v>
      </c>
      <c r="D80" s="4" t="s">
        <v>76</v>
      </c>
      <c r="E80" s="4">
        <v>6895</v>
      </c>
      <c r="F80" s="4">
        <v>20</v>
      </c>
      <c r="G80" s="4">
        <v>60</v>
      </c>
      <c r="H80" s="4" t="s">
        <v>19</v>
      </c>
      <c r="I80" s="4" t="s">
        <v>36</v>
      </c>
      <c r="J80" s="4" t="s">
        <v>28</v>
      </c>
      <c r="K80" s="4">
        <v>94712</v>
      </c>
      <c r="L80" s="4" t="s">
        <v>22</v>
      </c>
      <c r="M80" s="4">
        <v>0.2</v>
      </c>
      <c r="N80" s="4">
        <v>0.55000000000000004</v>
      </c>
      <c r="O80" s="4">
        <v>8274</v>
      </c>
      <c r="P80" s="4">
        <v>0</v>
      </c>
      <c r="Q80" s="6">
        <f t="shared" si="18"/>
        <v>182.67532821482911</v>
      </c>
      <c r="R80" s="6">
        <f t="shared" si="11"/>
        <v>4065.5196928897458</v>
      </c>
      <c r="S80" s="4">
        <f t="shared" si="12"/>
        <v>12536.363636363636</v>
      </c>
      <c r="T80" s="4">
        <f t="shared" si="13"/>
        <v>7892.666666666667</v>
      </c>
      <c r="U80" s="4">
        <f t="shared" si="14"/>
        <v>1578.5333333333335</v>
      </c>
      <c r="V80" s="4">
        <f t="shared" ca="1" si="15"/>
        <v>43</v>
      </c>
      <c r="W80" s="20">
        <f t="shared" ca="1" si="19"/>
        <v>7855.0391132376517</v>
      </c>
      <c r="X80" s="4">
        <f t="shared" si="16"/>
        <v>1379</v>
      </c>
      <c r="Y80" s="13">
        <f t="shared" si="17"/>
        <v>0.2</v>
      </c>
    </row>
    <row r="81" spans="1:25" x14ac:dyDescent="0.3">
      <c r="A81" s="12" t="s">
        <v>203</v>
      </c>
      <c r="B81" s="7">
        <v>44588</v>
      </c>
      <c r="C81" s="4" t="s">
        <v>204</v>
      </c>
      <c r="D81" s="4" t="s">
        <v>65</v>
      </c>
      <c r="E81" s="4">
        <v>13254</v>
      </c>
      <c r="F81" s="4">
        <v>16.2</v>
      </c>
      <c r="G81" s="4">
        <v>60</v>
      </c>
      <c r="H81" s="4" t="s">
        <v>19</v>
      </c>
      <c r="I81" s="4" t="s">
        <v>73</v>
      </c>
      <c r="J81" s="4" t="s">
        <v>28</v>
      </c>
      <c r="K81" s="4">
        <v>46633</v>
      </c>
      <c r="L81" s="4" t="s">
        <v>29</v>
      </c>
      <c r="M81" s="4">
        <v>0.32</v>
      </c>
      <c r="N81" s="4">
        <v>0.76</v>
      </c>
      <c r="O81" s="4">
        <v>15401.15</v>
      </c>
      <c r="P81" s="4">
        <v>0</v>
      </c>
      <c r="Q81" s="6">
        <f t="shared" si="18"/>
        <v>323.72167829762975</v>
      </c>
      <c r="R81" s="6">
        <f t="shared" si="11"/>
        <v>6169.3006978577832</v>
      </c>
      <c r="S81" s="4">
        <f t="shared" si="12"/>
        <v>17439.473684210527</v>
      </c>
      <c r="T81" s="4">
        <f t="shared" si="13"/>
        <v>3886.0833333333335</v>
      </c>
      <c r="U81" s="4">
        <f t="shared" si="14"/>
        <v>1243.5466666666669</v>
      </c>
      <c r="V81" s="4">
        <f t="shared" ca="1" si="15"/>
        <v>49</v>
      </c>
      <c r="W81" s="20">
        <f t="shared" ca="1" si="19"/>
        <v>15862.362236583858</v>
      </c>
      <c r="X81" s="4">
        <f t="shared" si="16"/>
        <v>2147.1499999999996</v>
      </c>
      <c r="Y81" s="13">
        <f t="shared" si="17"/>
        <v>0.16200015089784214</v>
      </c>
    </row>
    <row r="82" spans="1:25" x14ac:dyDescent="0.3">
      <c r="A82" s="12" t="s">
        <v>205</v>
      </c>
      <c r="B82" s="7">
        <v>44615</v>
      </c>
      <c r="C82" s="4" t="s">
        <v>206</v>
      </c>
      <c r="D82" s="4" t="s">
        <v>25</v>
      </c>
      <c r="E82" s="4">
        <v>12344</v>
      </c>
      <c r="F82" s="4">
        <v>8.6</v>
      </c>
      <c r="G82" s="4">
        <v>60</v>
      </c>
      <c r="H82" s="4" t="s">
        <v>19</v>
      </c>
      <c r="I82" s="4" t="s">
        <v>20</v>
      </c>
      <c r="J82" s="4" t="s">
        <v>21</v>
      </c>
      <c r="K82" s="4">
        <v>64660</v>
      </c>
      <c r="L82" s="4" t="s">
        <v>29</v>
      </c>
      <c r="M82" s="4">
        <v>0.21</v>
      </c>
      <c r="N82" s="4">
        <v>0.76</v>
      </c>
      <c r="O82" s="4">
        <v>13405.58</v>
      </c>
      <c r="P82" s="4">
        <v>0</v>
      </c>
      <c r="Q82" s="6">
        <f t="shared" si="18"/>
        <v>253.8514135485124</v>
      </c>
      <c r="R82" s="6">
        <f t="shared" si="11"/>
        <v>2887.0848129107435</v>
      </c>
      <c r="S82" s="4">
        <f t="shared" si="12"/>
        <v>16242.105263157895</v>
      </c>
      <c r="T82" s="4">
        <f t="shared" si="13"/>
        <v>5388.333333333333</v>
      </c>
      <c r="U82" s="4">
        <f t="shared" si="14"/>
        <v>1131.55</v>
      </c>
      <c r="V82" s="4">
        <f t="shared" ca="1" si="15"/>
        <v>48</v>
      </c>
      <c r="W82" s="20">
        <f t="shared" ca="1" si="19"/>
        <v>12184.867850328596</v>
      </c>
      <c r="X82" s="4">
        <f t="shared" si="16"/>
        <v>1061.58</v>
      </c>
      <c r="Y82" s="13">
        <f t="shared" si="17"/>
        <v>8.5999675955929999E-2</v>
      </c>
    </row>
    <row r="83" spans="1:25" x14ac:dyDescent="0.3">
      <c r="A83" s="12" t="s">
        <v>207</v>
      </c>
      <c r="B83" s="7">
        <v>44485</v>
      </c>
      <c r="C83" s="4" t="s">
        <v>208</v>
      </c>
      <c r="D83" s="4" t="s">
        <v>76</v>
      </c>
      <c r="E83" s="4">
        <v>2750</v>
      </c>
      <c r="F83" s="4">
        <v>6.1</v>
      </c>
      <c r="G83" s="4">
        <v>60</v>
      </c>
      <c r="H83" s="4" t="s">
        <v>26</v>
      </c>
      <c r="I83" s="4" t="s">
        <v>73</v>
      </c>
      <c r="J83" s="4" t="s">
        <v>28</v>
      </c>
      <c r="K83" s="4">
        <v>98975</v>
      </c>
      <c r="L83" s="4" t="s">
        <v>22</v>
      </c>
      <c r="M83" s="4">
        <v>0.46</v>
      </c>
      <c r="N83" s="4">
        <v>0.82</v>
      </c>
      <c r="O83" s="4">
        <v>176.92</v>
      </c>
      <c r="P83" s="4">
        <v>0</v>
      </c>
      <c r="Q83" s="6">
        <f t="shared" si="18"/>
        <v>53.293169589685725</v>
      </c>
      <c r="R83" s="6">
        <f t="shared" si="11"/>
        <v>447.59017538114358</v>
      </c>
      <c r="S83" s="4">
        <f t="shared" si="12"/>
        <v>3353.6585365853662</v>
      </c>
      <c r="T83" s="4">
        <f t="shared" si="13"/>
        <v>8247.9166666666661</v>
      </c>
      <c r="U83" s="4">
        <f t="shared" si="14"/>
        <v>3794.0416666666665</v>
      </c>
      <c r="V83" s="4">
        <f t="shared" ca="1" si="15"/>
        <v>53</v>
      </c>
      <c r="W83" s="20">
        <f t="shared" ca="1" si="19"/>
        <v>2824.5379882533434</v>
      </c>
      <c r="X83" s="4">
        <f t="shared" si="16"/>
        <v>-2573.08</v>
      </c>
      <c r="Y83" s="13">
        <f t="shared" si="17"/>
        <v>-0.93566545454545447</v>
      </c>
    </row>
    <row r="84" spans="1:25" x14ac:dyDescent="0.3">
      <c r="A84" s="12" t="s">
        <v>209</v>
      </c>
      <c r="B84" s="7">
        <v>44575</v>
      </c>
      <c r="C84" s="4" t="s">
        <v>210</v>
      </c>
      <c r="D84" s="4" t="s">
        <v>25</v>
      </c>
      <c r="E84" s="4">
        <v>3421</v>
      </c>
      <c r="F84" s="4">
        <v>11.4</v>
      </c>
      <c r="G84" s="4">
        <v>36</v>
      </c>
      <c r="H84" s="4" t="s">
        <v>19</v>
      </c>
      <c r="I84" s="4" t="s">
        <v>84</v>
      </c>
      <c r="J84" s="4" t="s">
        <v>32</v>
      </c>
      <c r="K84" s="4">
        <v>62172</v>
      </c>
      <c r="L84" s="4" t="s">
        <v>22</v>
      </c>
      <c r="M84" s="4">
        <v>0.19</v>
      </c>
      <c r="N84" s="4">
        <v>0.61</v>
      </c>
      <c r="O84" s="4">
        <v>3810.99</v>
      </c>
      <c r="P84" s="4">
        <v>0</v>
      </c>
      <c r="Q84" s="6">
        <f t="shared" si="18"/>
        <v>112.64828694623046</v>
      </c>
      <c r="R84" s="6">
        <f t="shared" si="11"/>
        <v>634.33833006429631</v>
      </c>
      <c r="S84" s="4">
        <f t="shared" si="12"/>
        <v>5608.1967213114758</v>
      </c>
      <c r="T84" s="4">
        <f t="shared" si="13"/>
        <v>5181</v>
      </c>
      <c r="U84" s="4">
        <f t="shared" si="14"/>
        <v>984.39</v>
      </c>
      <c r="V84" s="4">
        <f t="shared" ca="1" si="15"/>
        <v>50</v>
      </c>
      <c r="W84" s="20">
        <f t="shared" ca="1" si="19"/>
        <v>5632.4143473115228</v>
      </c>
      <c r="X84" s="4">
        <f t="shared" si="16"/>
        <v>389.98999999999978</v>
      </c>
      <c r="Y84" s="13">
        <f t="shared" si="17"/>
        <v>0.11399883075124226</v>
      </c>
    </row>
    <row r="85" spans="1:25" x14ac:dyDescent="0.3">
      <c r="A85" s="12" t="s">
        <v>211</v>
      </c>
      <c r="B85" s="7">
        <v>44427</v>
      </c>
      <c r="C85" s="4" t="s">
        <v>212</v>
      </c>
      <c r="D85" s="4" t="s">
        <v>46</v>
      </c>
      <c r="E85" s="4">
        <v>6319</v>
      </c>
      <c r="F85" s="4">
        <v>20.100000000000001</v>
      </c>
      <c r="G85" s="4">
        <v>36</v>
      </c>
      <c r="H85" s="4" t="s">
        <v>26</v>
      </c>
      <c r="I85" s="4" t="s">
        <v>36</v>
      </c>
      <c r="J85" s="4" t="s">
        <v>28</v>
      </c>
      <c r="K85" s="4">
        <v>89197</v>
      </c>
      <c r="L85" s="4" t="s">
        <v>33</v>
      </c>
      <c r="M85" s="4">
        <v>0.45</v>
      </c>
      <c r="N85" s="4">
        <v>0.7</v>
      </c>
      <c r="O85" s="4">
        <v>1650.44</v>
      </c>
      <c r="P85" s="4">
        <v>0</v>
      </c>
      <c r="Q85" s="6">
        <f t="shared" si="18"/>
        <v>235.15877705096486</v>
      </c>
      <c r="R85" s="6">
        <f t="shared" si="11"/>
        <v>2146.7159738347345</v>
      </c>
      <c r="S85" s="4">
        <f t="shared" si="12"/>
        <v>9027.1428571428569</v>
      </c>
      <c r="T85" s="4">
        <f t="shared" si="13"/>
        <v>7433.083333333333</v>
      </c>
      <c r="U85" s="4">
        <f t="shared" si="14"/>
        <v>3344.8874999999998</v>
      </c>
      <c r="V85" s="4">
        <f t="shared" ca="1" si="15"/>
        <v>55</v>
      </c>
      <c r="W85" s="20">
        <f t="shared" ca="1" si="19"/>
        <v>12933.732737803068</v>
      </c>
      <c r="X85" s="4">
        <f t="shared" si="16"/>
        <v>-4668.5599999999995</v>
      </c>
      <c r="Y85" s="13">
        <f t="shared" si="17"/>
        <v>-0.73881310333913586</v>
      </c>
    </row>
    <row r="86" spans="1:25" x14ac:dyDescent="0.3">
      <c r="A86" s="12" t="s">
        <v>213</v>
      </c>
      <c r="B86" s="7">
        <v>45214</v>
      </c>
      <c r="C86" s="4" t="s">
        <v>214</v>
      </c>
      <c r="D86" s="4" t="s">
        <v>53</v>
      </c>
      <c r="E86" s="4">
        <v>16896</v>
      </c>
      <c r="F86" s="4">
        <v>10.4</v>
      </c>
      <c r="G86" s="4">
        <v>36</v>
      </c>
      <c r="H86" s="4" t="s">
        <v>19</v>
      </c>
      <c r="I86" s="4" t="s">
        <v>57</v>
      </c>
      <c r="J86" s="4" t="s">
        <v>32</v>
      </c>
      <c r="K86" s="4">
        <v>131158</v>
      </c>
      <c r="L86" s="4" t="s">
        <v>29</v>
      </c>
      <c r="M86" s="4">
        <v>0.32</v>
      </c>
      <c r="N86" s="4">
        <v>0.63</v>
      </c>
      <c r="O86" s="4">
        <v>18653.18</v>
      </c>
      <c r="P86" s="4">
        <v>0</v>
      </c>
      <c r="Q86" s="6">
        <f t="shared" si="18"/>
        <v>548.36493141190124</v>
      </c>
      <c r="R86" s="6">
        <f t="shared" si="11"/>
        <v>2845.1375308284441</v>
      </c>
      <c r="S86" s="4">
        <f t="shared" si="12"/>
        <v>26819.047619047618</v>
      </c>
      <c r="T86" s="4">
        <f t="shared" si="13"/>
        <v>10929.833333333334</v>
      </c>
      <c r="U86" s="4">
        <f t="shared" si="14"/>
        <v>3497.5466666666671</v>
      </c>
      <c r="V86" s="4">
        <f t="shared" ca="1" si="15"/>
        <v>29</v>
      </c>
      <c r="W86" s="20">
        <f t="shared" ca="1" si="19"/>
        <v>15902.583010945136</v>
      </c>
      <c r="X86" s="4">
        <f t="shared" si="16"/>
        <v>1757.1800000000003</v>
      </c>
      <c r="Y86" s="13">
        <f t="shared" si="17"/>
        <v>0.10399976325757578</v>
      </c>
    </row>
    <row r="87" spans="1:25" x14ac:dyDescent="0.3">
      <c r="A87" s="12" t="s">
        <v>215</v>
      </c>
      <c r="B87" s="7">
        <v>44237</v>
      </c>
      <c r="C87" s="4" t="s">
        <v>216</v>
      </c>
      <c r="D87" s="4" t="s">
        <v>76</v>
      </c>
      <c r="E87" s="4">
        <v>12918</v>
      </c>
      <c r="F87" s="4">
        <v>15.8</v>
      </c>
      <c r="G87" s="4">
        <v>60</v>
      </c>
      <c r="H87" s="4" t="s">
        <v>19</v>
      </c>
      <c r="I87" s="4" t="s">
        <v>27</v>
      </c>
      <c r="J87" s="4" t="s">
        <v>21</v>
      </c>
      <c r="K87" s="4">
        <v>88847</v>
      </c>
      <c r="L87" s="4" t="s">
        <v>33</v>
      </c>
      <c r="M87" s="4">
        <v>0.43</v>
      </c>
      <c r="N87" s="4">
        <v>0.54</v>
      </c>
      <c r="O87" s="4">
        <v>14959.04</v>
      </c>
      <c r="P87" s="4">
        <v>0</v>
      </c>
      <c r="Q87" s="6">
        <f t="shared" si="18"/>
        <v>312.7695637960141</v>
      </c>
      <c r="R87" s="6">
        <f t="shared" si="11"/>
        <v>5848.1738277608456</v>
      </c>
      <c r="S87" s="4">
        <f t="shared" si="12"/>
        <v>23922.222222222219</v>
      </c>
      <c r="T87" s="4">
        <f t="shared" si="13"/>
        <v>7403.916666666667</v>
      </c>
      <c r="U87" s="4">
        <f t="shared" si="14"/>
        <v>3183.6841666666669</v>
      </c>
      <c r="V87" s="4">
        <f t="shared" ca="1" si="15"/>
        <v>61</v>
      </c>
      <c r="W87" s="20">
        <f t="shared" ca="1" si="19"/>
        <v>19078.943391556859</v>
      </c>
      <c r="X87" s="4">
        <f t="shared" si="16"/>
        <v>2041.0400000000009</v>
      </c>
      <c r="Y87" s="13">
        <f t="shared" si="17"/>
        <v>0.15799969035454411</v>
      </c>
    </row>
    <row r="88" spans="1:25" x14ac:dyDescent="0.3">
      <c r="A88" s="12" t="s">
        <v>217</v>
      </c>
      <c r="B88" s="7">
        <v>45248</v>
      </c>
      <c r="C88" s="4" t="s">
        <v>218</v>
      </c>
      <c r="D88" s="4" t="s">
        <v>50</v>
      </c>
      <c r="E88" s="4">
        <v>26064</v>
      </c>
      <c r="F88" s="4">
        <v>19.600000000000001</v>
      </c>
      <c r="G88" s="4">
        <v>60</v>
      </c>
      <c r="H88" s="4" t="s">
        <v>19</v>
      </c>
      <c r="I88" s="4" t="s">
        <v>20</v>
      </c>
      <c r="J88" s="4" t="s">
        <v>47</v>
      </c>
      <c r="K88" s="4">
        <v>41577</v>
      </c>
      <c r="L88" s="4" t="s">
        <v>22</v>
      </c>
      <c r="M88" s="4">
        <v>0.39</v>
      </c>
      <c r="N88" s="4">
        <v>0.89</v>
      </c>
      <c r="O88" s="4">
        <v>31172.54</v>
      </c>
      <c r="P88" s="4">
        <v>0</v>
      </c>
      <c r="Q88" s="6">
        <f t="shared" si="18"/>
        <v>684.74844953003901</v>
      </c>
      <c r="R88" s="6">
        <f t="shared" si="11"/>
        <v>15020.906971802338</v>
      </c>
      <c r="S88" s="4">
        <f t="shared" si="12"/>
        <v>29285.393258426964</v>
      </c>
      <c r="T88" s="4">
        <f t="shared" si="13"/>
        <v>3464.75</v>
      </c>
      <c r="U88" s="4">
        <f t="shared" si="14"/>
        <v>1351.2525000000001</v>
      </c>
      <c r="V88" s="4">
        <f t="shared" ca="1" si="15"/>
        <v>28</v>
      </c>
      <c r="W88" s="20">
        <f t="shared" ca="1" si="19"/>
        <v>19172.956586841094</v>
      </c>
      <c r="X88" s="4">
        <f t="shared" si="16"/>
        <v>5108.5400000000009</v>
      </c>
      <c r="Y88" s="13">
        <f t="shared" si="17"/>
        <v>0.19599984653161451</v>
      </c>
    </row>
    <row r="89" spans="1:25" x14ac:dyDescent="0.3">
      <c r="A89" s="12" t="s">
        <v>219</v>
      </c>
      <c r="B89" s="7">
        <v>44331</v>
      </c>
      <c r="C89" s="4" t="s">
        <v>220</v>
      </c>
      <c r="D89" s="4" t="s">
        <v>53</v>
      </c>
      <c r="E89" s="4">
        <v>28935</v>
      </c>
      <c r="F89" s="4">
        <v>7.2</v>
      </c>
      <c r="G89" s="4">
        <v>60</v>
      </c>
      <c r="H89" s="4" t="s">
        <v>19</v>
      </c>
      <c r="I89" s="4" t="s">
        <v>20</v>
      </c>
      <c r="J89" s="4" t="s">
        <v>21</v>
      </c>
      <c r="K89" s="4">
        <v>107299</v>
      </c>
      <c r="L89" s="4" t="s">
        <v>22</v>
      </c>
      <c r="M89" s="4">
        <v>0.38</v>
      </c>
      <c r="N89" s="4">
        <v>0.83</v>
      </c>
      <c r="O89" s="4">
        <v>31018.32</v>
      </c>
      <c r="P89" s="4">
        <v>0</v>
      </c>
      <c r="Q89" s="6">
        <f t="shared" si="18"/>
        <v>575.68192959938824</v>
      </c>
      <c r="R89" s="6">
        <f t="shared" si="11"/>
        <v>5605.9157759632944</v>
      </c>
      <c r="S89" s="4">
        <f t="shared" si="12"/>
        <v>34861.445783132534</v>
      </c>
      <c r="T89" s="4">
        <f t="shared" si="13"/>
        <v>8941.5833333333339</v>
      </c>
      <c r="U89" s="4">
        <f t="shared" si="14"/>
        <v>3397.8016666666667</v>
      </c>
      <c r="V89" s="4">
        <f t="shared" ca="1" si="15"/>
        <v>58</v>
      </c>
      <c r="W89" s="20">
        <f t="shared" ca="1" si="19"/>
        <v>33389.551916764518</v>
      </c>
      <c r="X89" s="4">
        <f t="shared" si="16"/>
        <v>2083.3199999999997</v>
      </c>
      <c r="Y89" s="13">
        <f t="shared" si="17"/>
        <v>7.1999999999999995E-2</v>
      </c>
    </row>
    <row r="90" spans="1:25" x14ac:dyDescent="0.3">
      <c r="A90" s="12" t="s">
        <v>221</v>
      </c>
      <c r="B90" s="7">
        <v>44397</v>
      </c>
      <c r="C90" s="4" t="s">
        <v>222</v>
      </c>
      <c r="D90" s="4" t="s">
        <v>46</v>
      </c>
      <c r="E90" s="4">
        <v>38641</v>
      </c>
      <c r="F90" s="4">
        <v>18.7</v>
      </c>
      <c r="G90" s="4">
        <v>60</v>
      </c>
      <c r="H90" s="4" t="s">
        <v>19</v>
      </c>
      <c r="I90" s="4" t="s">
        <v>73</v>
      </c>
      <c r="J90" s="4" t="s">
        <v>32</v>
      </c>
      <c r="K90" s="4">
        <v>50176</v>
      </c>
      <c r="L90" s="4" t="s">
        <v>29</v>
      </c>
      <c r="M90" s="4">
        <v>0.23</v>
      </c>
      <c r="N90" s="4">
        <v>0.64</v>
      </c>
      <c r="O90" s="4">
        <v>45866.87</v>
      </c>
      <c r="P90" s="4">
        <v>0</v>
      </c>
      <c r="Q90" s="6">
        <f t="shared" si="18"/>
        <v>996.00111046713528</v>
      </c>
      <c r="R90" s="6">
        <f t="shared" si="11"/>
        <v>21119.066628028115</v>
      </c>
      <c r="S90" s="4">
        <f t="shared" si="12"/>
        <v>60376.5625</v>
      </c>
      <c r="T90" s="4">
        <f t="shared" si="13"/>
        <v>4181.333333333333</v>
      </c>
      <c r="U90" s="4">
        <f t="shared" si="14"/>
        <v>961.70666666666659</v>
      </c>
      <c r="V90" s="4">
        <f t="shared" ca="1" si="15"/>
        <v>55</v>
      </c>
      <c r="W90" s="20">
        <f t="shared" ca="1" si="19"/>
        <v>54780.061075692443</v>
      </c>
      <c r="X90" s="4">
        <f t="shared" si="16"/>
        <v>7225.8700000000026</v>
      </c>
      <c r="Y90" s="13">
        <f t="shared" si="17"/>
        <v>0.18700007763774237</v>
      </c>
    </row>
    <row r="91" spans="1:25" x14ac:dyDescent="0.3">
      <c r="A91" s="12" t="s">
        <v>223</v>
      </c>
      <c r="B91" s="7">
        <v>44976</v>
      </c>
      <c r="C91" s="4" t="s">
        <v>224</v>
      </c>
      <c r="D91" s="4" t="s">
        <v>65</v>
      </c>
      <c r="E91" s="4">
        <v>30711</v>
      </c>
      <c r="F91" s="4">
        <v>6.8</v>
      </c>
      <c r="G91" s="4">
        <v>60</v>
      </c>
      <c r="H91" s="4" t="s">
        <v>19</v>
      </c>
      <c r="I91" s="4" t="s">
        <v>27</v>
      </c>
      <c r="J91" s="4" t="s">
        <v>37</v>
      </c>
      <c r="K91" s="4">
        <v>74386</v>
      </c>
      <c r="L91" s="4" t="s">
        <v>33</v>
      </c>
      <c r="M91" s="4">
        <v>0.19</v>
      </c>
      <c r="N91" s="4">
        <v>0.77</v>
      </c>
      <c r="O91" s="4">
        <v>32799.35</v>
      </c>
      <c r="P91" s="4">
        <v>0</v>
      </c>
      <c r="Q91" s="6">
        <f t="shared" si="18"/>
        <v>605.22088529786527</v>
      </c>
      <c r="R91" s="6">
        <f t="shared" si="11"/>
        <v>5602.2531178719146</v>
      </c>
      <c r="S91" s="4">
        <f t="shared" si="12"/>
        <v>39884.415584415583</v>
      </c>
      <c r="T91" s="4">
        <f t="shared" si="13"/>
        <v>6198.833333333333</v>
      </c>
      <c r="U91" s="4">
        <f t="shared" si="14"/>
        <v>1177.7783333333332</v>
      </c>
      <c r="V91" s="4">
        <f t="shared" ca="1" si="15"/>
        <v>37</v>
      </c>
      <c r="W91" s="20">
        <f t="shared" ca="1" si="19"/>
        <v>22393.172756021017</v>
      </c>
      <c r="X91" s="4">
        <f t="shared" si="16"/>
        <v>2088.3499999999985</v>
      </c>
      <c r="Y91" s="13">
        <f t="shared" si="17"/>
        <v>6.800006512324569E-2</v>
      </c>
    </row>
    <row r="92" spans="1:25" x14ac:dyDescent="0.3">
      <c r="A92" s="12" t="s">
        <v>225</v>
      </c>
      <c r="B92" s="7">
        <v>45126</v>
      </c>
      <c r="C92" s="4" t="s">
        <v>226</v>
      </c>
      <c r="D92" s="4" t="s">
        <v>18</v>
      </c>
      <c r="E92" s="4">
        <v>5806</v>
      </c>
      <c r="F92" s="4">
        <v>24.3</v>
      </c>
      <c r="G92" s="4">
        <v>36</v>
      </c>
      <c r="H92" s="4" t="s">
        <v>81</v>
      </c>
      <c r="I92" s="4" t="s">
        <v>84</v>
      </c>
      <c r="J92" s="4" t="s">
        <v>21</v>
      </c>
      <c r="K92" s="4">
        <v>93972</v>
      </c>
      <c r="L92" s="4" t="s">
        <v>33</v>
      </c>
      <c r="M92" s="4">
        <v>0.18</v>
      </c>
      <c r="N92" s="4">
        <v>0.59</v>
      </c>
      <c r="O92" s="4">
        <v>2191.11</v>
      </c>
      <c r="P92" s="4">
        <v>417.13</v>
      </c>
      <c r="Q92" s="6">
        <f t="shared" si="18"/>
        <v>228.70148739382051</v>
      </c>
      <c r="R92" s="6">
        <f t="shared" si="11"/>
        <v>2427.2535461775387</v>
      </c>
      <c r="S92" s="4">
        <f t="shared" si="12"/>
        <v>9840.6779661016953</v>
      </c>
      <c r="T92" s="4">
        <f t="shared" si="13"/>
        <v>7831</v>
      </c>
      <c r="U92" s="4">
        <f t="shared" si="14"/>
        <v>1409.58</v>
      </c>
      <c r="V92" s="4">
        <f t="shared" ca="1" si="15"/>
        <v>32</v>
      </c>
      <c r="W92" s="20">
        <v>0</v>
      </c>
      <c r="X92" s="4">
        <f t="shared" si="16"/>
        <v>-3197.7599999999998</v>
      </c>
      <c r="Y92" s="13">
        <f t="shared" si="17"/>
        <v>-0.55076817085773333</v>
      </c>
    </row>
    <row r="93" spans="1:25" x14ac:dyDescent="0.3">
      <c r="A93" s="12" t="s">
        <v>227</v>
      </c>
      <c r="B93" s="7">
        <v>45253</v>
      </c>
      <c r="C93" s="4" t="s">
        <v>228</v>
      </c>
      <c r="D93" s="4" t="s">
        <v>46</v>
      </c>
      <c r="E93" s="4">
        <v>13182</v>
      </c>
      <c r="F93" s="4">
        <v>14.8</v>
      </c>
      <c r="G93" s="4">
        <v>60</v>
      </c>
      <c r="H93" s="4" t="s">
        <v>26</v>
      </c>
      <c r="I93" s="4" t="s">
        <v>57</v>
      </c>
      <c r="J93" s="4" t="s">
        <v>37</v>
      </c>
      <c r="K93" s="4">
        <v>119791</v>
      </c>
      <c r="L93" s="4" t="s">
        <v>29</v>
      </c>
      <c r="M93" s="4">
        <v>0.44</v>
      </c>
      <c r="N93" s="4">
        <v>0.9</v>
      </c>
      <c r="O93" s="4">
        <v>3017.58</v>
      </c>
      <c r="P93" s="4">
        <v>0</v>
      </c>
      <c r="Q93" s="6">
        <f t="shared" si="18"/>
        <v>312.21668055864126</v>
      </c>
      <c r="R93" s="6">
        <f t="shared" si="11"/>
        <v>5551.0008335184757</v>
      </c>
      <c r="S93" s="4">
        <f t="shared" si="12"/>
        <v>14646.666666666666</v>
      </c>
      <c r="T93" s="4">
        <f t="shared" si="13"/>
        <v>9982.5833333333339</v>
      </c>
      <c r="U93" s="4">
        <f t="shared" si="14"/>
        <v>4392.336666666667</v>
      </c>
      <c r="V93" s="4">
        <f t="shared" ca="1" si="15"/>
        <v>27</v>
      </c>
      <c r="W93" s="20">
        <f t="shared" ref="W93:W107" ca="1" si="20">V93*Q93</f>
        <v>8429.8503750833133</v>
      </c>
      <c r="X93" s="4">
        <f t="shared" si="16"/>
        <v>-10164.42</v>
      </c>
      <c r="Y93" s="13">
        <f t="shared" si="17"/>
        <v>-0.77108329540282206</v>
      </c>
    </row>
    <row r="94" spans="1:25" x14ac:dyDescent="0.3">
      <c r="A94" s="12" t="s">
        <v>229</v>
      </c>
      <c r="B94" s="7">
        <v>45268</v>
      </c>
      <c r="C94" s="4" t="s">
        <v>230</v>
      </c>
      <c r="D94" s="4" t="s">
        <v>25</v>
      </c>
      <c r="E94" s="4">
        <v>23297</v>
      </c>
      <c r="F94" s="4">
        <v>8</v>
      </c>
      <c r="G94" s="4">
        <v>60</v>
      </c>
      <c r="H94" s="4" t="s">
        <v>19</v>
      </c>
      <c r="I94" s="4" t="s">
        <v>20</v>
      </c>
      <c r="J94" s="4" t="s">
        <v>37</v>
      </c>
      <c r="K94" s="4">
        <v>71003</v>
      </c>
      <c r="L94" s="4" t="s">
        <v>29</v>
      </c>
      <c r="M94" s="4">
        <v>0.43</v>
      </c>
      <c r="N94" s="4">
        <v>0.55000000000000004</v>
      </c>
      <c r="O94" s="4">
        <v>25160.76</v>
      </c>
      <c r="P94" s="4">
        <v>0</v>
      </c>
      <c r="Q94" s="6">
        <f t="shared" si="18"/>
        <v>472.3791577371735</v>
      </c>
      <c r="R94" s="6">
        <f t="shared" si="11"/>
        <v>5045.7494642304082</v>
      </c>
      <c r="S94" s="4">
        <f t="shared" si="12"/>
        <v>42358.181818181816</v>
      </c>
      <c r="T94" s="4">
        <f t="shared" si="13"/>
        <v>5916.916666666667</v>
      </c>
      <c r="U94" s="4">
        <f t="shared" si="14"/>
        <v>2544.2741666666666</v>
      </c>
      <c r="V94" s="4">
        <f t="shared" ca="1" si="15"/>
        <v>27</v>
      </c>
      <c r="W94" s="20">
        <f t="shared" ca="1" si="20"/>
        <v>12754.237258903684</v>
      </c>
      <c r="X94" s="4">
        <f t="shared" si="16"/>
        <v>1863.7599999999984</v>
      </c>
      <c r="Y94" s="13">
        <f t="shared" si="17"/>
        <v>7.9999999999999932E-2</v>
      </c>
    </row>
    <row r="95" spans="1:25" x14ac:dyDescent="0.3">
      <c r="A95" s="12" t="s">
        <v>231</v>
      </c>
      <c r="B95" s="7">
        <v>44699</v>
      </c>
      <c r="C95" s="4" t="s">
        <v>232</v>
      </c>
      <c r="D95" s="4" t="s">
        <v>25</v>
      </c>
      <c r="E95" s="4">
        <v>20541</v>
      </c>
      <c r="F95" s="4">
        <v>11.8</v>
      </c>
      <c r="G95" s="4">
        <v>36</v>
      </c>
      <c r="H95" s="4" t="s">
        <v>19</v>
      </c>
      <c r="I95" s="4" t="s">
        <v>73</v>
      </c>
      <c r="J95" s="4" t="s">
        <v>32</v>
      </c>
      <c r="K95" s="4">
        <v>49996</v>
      </c>
      <c r="L95" s="4" t="s">
        <v>33</v>
      </c>
      <c r="M95" s="4">
        <v>0.28000000000000003</v>
      </c>
      <c r="N95" s="4">
        <v>0.5</v>
      </c>
      <c r="O95" s="4">
        <v>22964.84</v>
      </c>
      <c r="P95" s="4">
        <v>0</v>
      </c>
      <c r="Q95" s="6">
        <f t="shared" si="18"/>
        <v>680.29464457721883</v>
      </c>
      <c r="R95" s="6">
        <f t="shared" si="11"/>
        <v>3949.6072047798771</v>
      </c>
      <c r="S95" s="4">
        <f t="shared" si="12"/>
        <v>41082</v>
      </c>
      <c r="T95" s="4">
        <f t="shared" si="13"/>
        <v>4166.333333333333</v>
      </c>
      <c r="U95" s="4">
        <f t="shared" si="14"/>
        <v>1166.5733333333333</v>
      </c>
      <c r="V95" s="4">
        <f t="shared" ca="1" si="15"/>
        <v>46</v>
      </c>
      <c r="W95" s="20">
        <f t="shared" ca="1" si="20"/>
        <v>31293.553650552065</v>
      </c>
      <c r="X95" s="4">
        <f t="shared" si="16"/>
        <v>2423.84</v>
      </c>
      <c r="Y95" s="13">
        <f t="shared" si="17"/>
        <v>0.11800009736624313</v>
      </c>
    </row>
    <row r="96" spans="1:25" x14ac:dyDescent="0.3">
      <c r="A96" s="12" t="s">
        <v>233</v>
      </c>
      <c r="B96" s="7">
        <v>44603</v>
      </c>
      <c r="C96" s="4" t="s">
        <v>234</v>
      </c>
      <c r="D96" s="4" t="s">
        <v>25</v>
      </c>
      <c r="E96" s="4">
        <v>29921</v>
      </c>
      <c r="F96" s="4">
        <v>13.3</v>
      </c>
      <c r="G96" s="4">
        <v>60</v>
      </c>
      <c r="H96" s="4" t="s">
        <v>19</v>
      </c>
      <c r="I96" s="4" t="s">
        <v>20</v>
      </c>
      <c r="J96" s="4" t="s">
        <v>32</v>
      </c>
      <c r="K96" s="4">
        <v>130922</v>
      </c>
      <c r="L96" s="4" t="s">
        <v>22</v>
      </c>
      <c r="M96" s="4">
        <v>0.15</v>
      </c>
      <c r="N96" s="4">
        <v>0.73</v>
      </c>
      <c r="O96" s="4">
        <v>33900.49</v>
      </c>
      <c r="P96" s="4">
        <v>0</v>
      </c>
      <c r="Q96" s="6">
        <f t="shared" si="18"/>
        <v>685.3985711410553</v>
      </c>
      <c r="R96" s="6">
        <f t="shared" si="11"/>
        <v>11202.914268463319</v>
      </c>
      <c r="S96" s="4">
        <f t="shared" si="12"/>
        <v>40987.67123287671</v>
      </c>
      <c r="T96" s="4">
        <f t="shared" si="13"/>
        <v>10910.166666666666</v>
      </c>
      <c r="U96" s="4">
        <f t="shared" si="14"/>
        <v>1636.5249999999999</v>
      </c>
      <c r="V96" s="4">
        <f t="shared" ca="1" si="15"/>
        <v>49</v>
      </c>
      <c r="W96" s="20">
        <f t="shared" ca="1" si="20"/>
        <v>33584.529985911708</v>
      </c>
      <c r="X96" s="4">
        <f t="shared" si="16"/>
        <v>3979.489999999998</v>
      </c>
      <c r="Y96" s="13">
        <f t="shared" si="17"/>
        <v>0.13299989973597132</v>
      </c>
    </row>
    <row r="97" spans="1:25" x14ac:dyDescent="0.3">
      <c r="A97" s="12" t="s">
        <v>235</v>
      </c>
      <c r="B97" s="7">
        <v>45001</v>
      </c>
      <c r="C97" s="4" t="s">
        <v>236</v>
      </c>
      <c r="D97" s="4" t="s">
        <v>25</v>
      </c>
      <c r="E97" s="4">
        <v>17774</v>
      </c>
      <c r="F97" s="4">
        <v>20.2</v>
      </c>
      <c r="G97" s="4">
        <v>36</v>
      </c>
      <c r="H97" s="4" t="s">
        <v>19</v>
      </c>
      <c r="I97" s="4" t="s">
        <v>20</v>
      </c>
      <c r="J97" s="4" t="s">
        <v>47</v>
      </c>
      <c r="K97" s="4">
        <v>116598</v>
      </c>
      <c r="L97" s="4" t="s">
        <v>22</v>
      </c>
      <c r="M97" s="4">
        <v>0.25</v>
      </c>
      <c r="N97" s="4">
        <v>0.76</v>
      </c>
      <c r="O97" s="4">
        <v>21364.35</v>
      </c>
      <c r="P97" s="4">
        <v>0</v>
      </c>
      <c r="Q97" s="6">
        <f t="shared" si="18"/>
        <v>662.35818957351239</v>
      </c>
      <c r="R97" s="6">
        <f t="shared" si="11"/>
        <v>6070.8948246464461</v>
      </c>
      <c r="S97" s="4">
        <f t="shared" si="12"/>
        <v>23386.842105263157</v>
      </c>
      <c r="T97" s="4">
        <f t="shared" si="13"/>
        <v>9716.5</v>
      </c>
      <c r="U97" s="4">
        <f t="shared" si="14"/>
        <v>2429.125</v>
      </c>
      <c r="V97" s="4">
        <f t="shared" ca="1" si="15"/>
        <v>36</v>
      </c>
      <c r="W97" s="20">
        <f t="shared" ca="1" si="20"/>
        <v>23844.894824646446</v>
      </c>
      <c r="X97" s="4">
        <f t="shared" si="16"/>
        <v>3590.3499999999985</v>
      </c>
      <c r="Y97" s="13">
        <f t="shared" si="17"/>
        <v>0.20200011252391126</v>
      </c>
    </row>
    <row r="98" spans="1:25" x14ac:dyDescent="0.3">
      <c r="A98" s="12" t="s">
        <v>237</v>
      </c>
      <c r="B98" s="7">
        <v>44295</v>
      </c>
      <c r="C98" s="4" t="s">
        <v>238</v>
      </c>
      <c r="D98" s="4" t="s">
        <v>46</v>
      </c>
      <c r="E98" s="4">
        <v>38198</v>
      </c>
      <c r="F98" s="4">
        <v>19.899999999999999</v>
      </c>
      <c r="G98" s="4">
        <v>36</v>
      </c>
      <c r="H98" s="4" t="s">
        <v>19</v>
      </c>
      <c r="I98" s="4" t="s">
        <v>57</v>
      </c>
      <c r="J98" s="4" t="s">
        <v>28</v>
      </c>
      <c r="K98" s="4">
        <v>65931</v>
      </c>
      <c r="L98" s="4" t="s">
        <v>29</v>
      </c>
      <c r="M98" s="4">
        <v>0.35</v>
      </c>
      <c r="N98" s="4">
        <v>0.76</v>
      </c>
      <c r="O98" s="4">
        <v>45799.4</v>
      </c>
      <c r="P98" s="4">
        <v>0</v>
      </c>
      <c r="Q98" s="6">
        <f t="shared" si="18"/>
        <v>1417.6290158689305</v>
      </c>
      <c r="R98" s="6">
        <f t="shared" si="11"/>
        <v>12836.644571281497</v>
      </c>
      <c r="S98" s="4">
        <f t="shared" si="12"/>
        <v>50260.526315789473</v>
      </c>
      <c r="T98" s="4">
        <f t="shared" si="13"/>
        <v>5494.25</v>
      </c>
      <c r="U98" s="4">
        <f t="shared" si="14"/>
        <v>1922.9875</v>
      </c>
      <c r="V98" s="4">
        <f t="shared" ca="1" si="15"/>
        <v>59</v>
      </c>
      <c r="W98" s="20">
        <f t="shared" ca="1" si="20"/>
        <v>83640.111936266898</v>
      </c>
      <c r="X98" s="4">
        <f t="shared" si="16"/>
        <v>7601.4000000000015</v>
      </c>
      <c r="Y98" s="13">
        <f t="shared" si="17"/>
        <v>0.1989999476412378</v>
      </c>
    </row>
    <row r="99" spans="1:25" x14ac:dyDescent="0.3">
      <c r="A99" s="12" t="s">
        <v>239</v>
      </c>
      <c r="B99" s="7">
        <v>44880</v>
      </c>
      <c r="C99" s="4" t="s">
        <v>240</v>
      </c>
      <c r="D99" s="4" t="s">
        <v>18</v>
      </c>
      <c r="E99" s="4">
        <v>9820</v>
      </c>
      <c r="F99" s="4">
        <v>17.2</v>
      </c>
      <c r="G99" s="4">
        <v>36</v>
      </c>
      <c r="H99" s="4" t="s">
        <v>19</v>
      </c>
      <c r="I99" s="4" t="s">
        <v>57</v>
      </c>
      <c r="J99" s="4" t="s">
        <v>21</v>
      </c>
      <c r="K99" s="4">
        <v>65710</v>
      </c>
      <c r="L99" s="4" t="s">
        <v>33</v>
      </c>
      <c r="M99" s="4">
        <v>0.28000000000000003</v>
      </c>
      <c r="N99" s="4">
        <v>0.52</v>
      </c>
      <c r="O99" s="4">
        <v>11509.04</v>
      </c>
      <c r="P99" s="4">
        <v>0</v>
      </c>
      <c r="Q99" s="6">
        <f t="shared" si="18"/>
        <v>351.08801595676078</v>
      </c>
      <c r="R99" s="6">
        <f t="shared" si="11"/>
        <v>2819.1685744433889</v>
      </c>
      <c r="S99" s="4">
        <f t="shared" si="12"/>
        <v>18884.615384615383</v>
      </c>
      <c r="T99" s="4">
        <f t="shared" si="13"/>
        <v>5475.833333333333</v>
      </c>
      <c r="U99" s="4">
        <f t="shared" si="14"/>
        <v>1533.2333333333333</v>
      </c>
      <c r="V99" s="4">
        <f t="shared" ca="1" si="15"/>
        <v>40</v>
      </c>
      <c r="W99" s="20">
        <f t="shared" ca="1" si="20"/>
        <v>14043.520638270431</v>
      </c>
      <c r="X99" s="4">
        <f t="shared" si="16"/>
        <v>1689.0400000000009</v>
      </c>
      <c r="Y99" s="13">
        <f t="shared" si="17"/>
        <v>0.1720000000000001</v>
      </c>
    </row>
    <row r="100" spans="1:25" x14ac:dyDescent="0.3">
      <c r="A100" s="12" t="s">
        <v>241</v>
      </c>
      <c r="B100" s="7">
        <v>44922</v>
      </c>
      <c r="C100" s="4" t="s">
        <v>242</v>
      </c>
      <c r="D100" s="4" t="s">
        <v>40</v>
      </c>
      <c r="E100" s="4">
        <v>25070</v>
      </c>
      <c r="F100" s="4">
        <v>7.1</v>
      </c>
      <c r="G100" s="4">
        <v>36</v>
      </c>
      <c r="H100" s="4" t="s">
        <v>19</v>
      </c>
      <c r="I100" s="4" t="s">
        <v>57</v>
      </c>
      <c r="J100" s="4" t="s">
        <v>32</v>
      </c>
      <c r="K100" s="4">
        <v>64693</v>
      </c>
      <c r="L100" s="4" t="s">
        <v>33</v>
      </c>
      <c r="M100" s="4">
        <v>0.41</v>
      </c>
      <c r="N100" s="4">
        <v>0.64</v>
      </c>
      <c r="O100" s="4">
        <v>26849.97</v>
      </c>
      <c r="P100" s="4">
        <v>0</v>
      </c>
      <c r="Q100" s="6">
        <f t="shared" si="18"/>
        <v>775.23557325168372</v>
      </c>
      <c r="R100" s="6">
        <f t="shared" si="11"/>
        <v>2838.4806370606129</v>
      </c>
      <c r="S100" s="4">
        <f t="shared" si="12"/>
        <v>39171.875</v>
      </c>
      <c r="T100" s="4">
        <f t="shared" si="13"/>
        <v>5391.083333333333</v>
      </c>
      <c r="U100" s="4">
        <f t="shared" si="14"/>
        <v>2210.3441666666663</v>
      </c>
      <c r="V100" s="4">
        <f t="shared" ca="1" si="15"/>
        <v>38</v>
      </c>
      <c r="W100" s="20">
        <f t="shared" ca="1" si="20"/>
        <v>29458.951783563982</v>
      </c>
      <c r="X100" s="4">
        <f t="shared" si="16"/>
        <v>1779.9700000000012</v>
      </c>
      <c r="Y100" s="13">
        <f t="shared" si="17"/>
        <v>7.1000000000000049E-2</v>
      </c>
    </row>
    <row r="101" spans="1:25" x14ac:dyDescent="0.3">
      <c r="A101" s="12" t="s">
        <v>243</v>
      </c>
      <c r="B101" s="7">
        <v>45157</v>
      </c>
      <c r="C101" s="4" t="s">
        <v>244</v>
      </c>
      <c r="D101" s="4" t="s">
        <v>25</v>
      </c>
      <c r="E101" s="4">
        <v>5232</v>
      </c>
      <c r="F101" s="4">
        <v>8</v>
      </c>
      <c r="G101" s="4">
        <v>36</v>
      </c>
      <c r="H101" s="4" t="s">
        <v>19</v>
      </c>
      <c r="I101" s="4" t="s">
        <v>73</v>
      </c>
      <c r="J101" s="4" t="s">
        <v>21</v>
      </c>
      <c r="K101" s="4">
        <v>65740</v>
      </c>
      <c r="L101" s="4" t="s">
        <v>33</v>
      </c>
      <c r="M101" s="4">
        <v>0.5</v>
      </c>
      <c r="N101" s="4">
        <v>0.72</v>
      </c>
      <c r="O101" s="4">
        <v>5650.56</v>
      </c>
      <c r="P101" s="4">
        <v>0</v>
      </c>
      <c r="Q101" s="6">
        <f t="shared" si="18"/>
        <v>163.9518640942062</v>
      </c>
      <c r="R101" s="6">
        <f t="shared" si="11"/>
        <v>670.26710739142345</v>
      </c>
      <c r="S101" s="4">
        <f t="shared" si="12"/>
        <v>7266.666666666667</v>
      </c>
      <c r="T101" s="4">
        <f t="shared" si="13"/>
        <v>5478.333333333333</v>
      </c>
      <c r="U101" s="4">
        <f t="shared" si="14"/>
        <v>2739.1666666666665</v>
      </c>
      <c r="V101" s="4">
        <f t="shared" ca="1" si="15"/>
        <v>31</v>
      </c>
      <c r="W101" s="20">
        <f t="shared" ca="1" si="20"/>
        <v>5082.5077869203924</v>
      </c>
      <c r="X101" s="4">
        <f t="shared" si="16"/>
        <v>418.5600000000004</v>
      </c>
      <c r="Y101" s="13">
        <f t="shared" si="17"/>
        <v>8.0000000000000071E-2</v>
      </c>
    </row>
    <row r="102" spans="1:25" x14ac:dyDescent="0.3">
      <c r="A102" s="12" t="s">
        <v>245</v>
      </c>
      <c r="B102" s="7">
        <v>44809</v>
      </c>
      <c r="C102" s="4" t="s">
        <v>246</v>
      </c>
      <c r="D102" s="4" t="s">
        <v>40</v>
      </c>
      <c r="E102" s="4">
        <v>12122</v>
      </c>
      <c r="F102" s="4">
        <v>6.9</v>
      </c>
      <c r="G102" s="4">
        <v>60</v>
      </c>
      <c r="H102" s="4" t="s">
        <v>19</v>
      </c>
      <c r="I102" s="4" t="s">
        <v>20</v>
      </c>
      <c r="J102" s="4" t="s">
        <v>37</v>
      </c>
      <c r="K102" s="4">
        <v>107241</v>
      </c>
      <c r="L102" s="4" t="s">
        <v>22</v>
      </c>
      <c r="M102" s="4">
        <v>0.18</v>
      </c>
      <c r="N102" s="4">
        <v>0.6</v>
      </c>
      <c r="O102" s="4">
        <v>12958.42</v>
      </c>
      <c r="P102" s="4">
        <v>0</v>
      </c>
      <c r="Q102" s="6">
        <f t="shared" si="18"/>
        <v>239.45862282574734</v>
      </c>
      <c r="R102" s="6">
        <f t="shared" si="11"/>
        <v>2245.5173695448411</v>
      </c>
      <c r="S102" s="4">
        <f t="shared" si="12"/>
        <v>20203.333333333336</v>
      </c>
      <c r="T102" s="4">
        <f t="shared" si="13"/>
        <v>8936.75</v>
      </c>
      <c r="U102" s="4">
        <f t="shared" si="14"/>
        <v>1608.615</v>
      </c>
      <c r="V102" s="4">
        <f t="shared" ca="1" si="15"/>
        <v>42</v>
      </c>
      <c r="W102" s="20">
        <f t="shared" ca="1" si="20"/>
        <v>10057.262158681388</v>
      </c>
      <c r="X102" s="4">
        <f t="shared" si="16"/>
        <v>836.42000000000007</v>
      </c>
      <c r="Y102" s="13">
        <f t="shared" si="17"/>
        <v>6.9000164989275706E-2</v>
      </c>
    </row>
    <row r="103" spans="1:25" x14ac:dyDescent="0.3">
      <c r="A103" s="12" t="s">
        <v>247</v>
      </c>
      <c r="B103" s="7">
        <v>44839</v>
      </c>
      <c r="C103" s="4" t="s">
        <v>248</v>
      </c>
      <c r="D103" s="4" t="s">
        <v>18</v>
      </c>
      <c r="E103" s="4">
        <v>16023</v>
      </c>
      <c r="F103" s="4">
        <v>16.5</v>
      </c>
      <c r="G103" s="4">
        <v>36</v>
      </c>
      <c r="H103" s="4" t="s">
        <v>19</v>
      </c>
      <c r="I103" s="4" t="s">
        <v>20</v>
      </c>
      <c r="J103" s="4" t="s">
        <v>28</v>
      </c>
      <c r="K103" s="4">
        <v>138944</v>
      </c>
      <c r="L103" s="4" t="s">
        <v>22</v>
      </c>
      <c r="M103" s="4">
        <v>0.28000000000000003</v>
      </c>
      <c r="N103" s="4">
        <v>0.89</v>
      </c>
      <c r="O103" s="4">
        <v>18666.8</v>
      </c>
      <c r="P103" s="4">
        <v>0</v>
      </c>
      <c r="Q103" s="6">
        <f t="shared" si="18"/>
        <v>567.28442159901806</v>
      </c>
      <c r="R103" s="6">
        <f t="shared" si="11"/>
        <v>4399.2391775646502</v>
      </c>
      <c r="S103" s="4">
        <f t="shared" si="12"/>
        <v>18003.370786516854</v>
      </c>
      <c r="T103" s="4">
        <f t="shared" si="13"/>
        <v>11578.666666666666</v>
      </c>
      <c r="U103" s="4">
        <f t="shared" si="14"/>
        <v>3242.0266666666666</v>
      </c>
      <c r="V103" s="4">
        <f t="shared" ca="1" si="15"/>
        <v>41</v>
      </c>
      <c r="W103" s="20">
        <f t="shared" ca="1" si="20"/>
        <v>23258.661285559741</v>
      </c>
      <c r="X103" s="4">
        <f t="shared" si="16"/>
        <v>2643.7999999999993</v>
      </c>
      <c r="Y103" s="13">
        <f t="shared" si="17"/>
        <v>0.16500031205142604</v>
      </c>
    </row>
    <row r="104" spans="1:25" x14ac:dyDescent="0.3">
      <c r="A104" s="12" t="s">
        <v>249</v>
      </c>
      <c r="B104" s="7">
        <v>45225</v>
      </c>
      <c r="C104" s="4" t="s">
        <v>250</v>
      </c>
      <c r="D104" s="4" t="s">
        <v>18</v>
      </c>
      <c r="E104" s="4">
        <v>9007</v>
      </c>
      <c r="F104" s="4">
        <v>22.5</v>
      </c>
      <c r="G104" s="4">
        <v>36</v>
      </c>
      <c r="H104" s="4" t="s">
        <v>26</v>
      </c>
      <c r="I104" s="4" t="s">
        <v>27</v>
      </c>
      <c r="J104" s="4" t="s">
        <v>47</v>
      </c>
      <c r="K104" s="4">
        <v>123583</v>
      </c>
      <c r="L104" s="4" t="s">
        <v>33</v>
      </c>
      <c r="M104" s="4">
        <v>0.27</v>
      </c>
      <c r="N104" s="4">
        <v>0.54</v>
      </c>
      <c r="O104" s="4">
        <v>2983.25</v>
      </c>
      <c r="P104" s="4">
        <v>0</v>
      </c>
      <c r="Q104" s="6">
        <f t="shared" si="18"/>
        <v>346.31557673833947</v>
      </c>
      <c r="R104" s="6">
        <f t="shared" si="11"/>
        <v>3460.3607625802215</v>
      </c>
      <c r="S104" s="4">
        <f t="shared" si="12"/>
        <v>16679.629629629628</v>
      </c>
      <c r="T104" s="4">
        <f t="shared" si="13"/>
        <v>10298.583333333334</v>
      </c>
      <c r="U104" s="4">
        <f t="shared" si="14"/>
        <v>2780.6175000000003</v>
      </c>
      <c r="V104" s="4">
        <f t="shared" ca="1" si="15"/>
        <v>28</v>
      </c>
      <c r="W104" s="20">
        <f t="shared" ca="1" si="20"/>
        <v>9696.8361486735048</v>
      </c>
      <c r="X104" s="4">
        <f t="shared" si="16"/>
        <v>-6023.75</v>
      </c>
      <c r="Y104" s="13">
        <f t="shared" si="17"/>
        <v>-0.66878538914177865</v>
      </c>
    </row>
    <row r="105" spans="1:25" x14ac:dyDescent="0.3">
      <c r="A105" s="12" t="s">
        <v>251</v>
      </c>
      <c r="B105" s="7">
        <v>44699</v>
      </c>
      <c r="C105" s="4" t="s">
        <v>252</v>
      </c>
      <c r="D105" s="4" t="s">
        <v>53</v>
      </c>
      <c r="E105" s="4">
        <v>18905</v>
      </c>
      <c r="F105" s="4">
        <v>13.7</v>
      </c>
      <c r="G105" s="4">
        <v>60</v>
      </c>
      <c r="H105" s="4" t="s">
        <v>19</v>
      </c>
      <c r="I105" s="4" t="s">
        <v>20</v>
      </c>
      <c r="J105" s="4" t="s">
        <v>21</v>
      </c>
      <c r="K105" s="4">
        <v>106502</v>
      </c>
      <c r="L105" s="4" t="s">
        <v>33</v>
      </c>
      <c r="M105" s="4">
        <v>0.22</v>
      </c>
      <c r="N105" s="4">
        <v>0.72</v>
      </c>
      <c r="O105" s="4">
        <v>21494.98</v>
      </c>
      <c r="P105" s="4">
        <v>0</v>
      </c>
      <c r="Q105" s="6">
        <f t="shared" si="18"/>
        <v>436.95150102528714</v>
      </c>
      <c r="R105" s="6">
        <f t="shared" si="11"/>
        <v>7312.0900615172286</v>
      </c>
      <c r="S105" s="4">
        <f t="shared" si="12"/>
        <v>26256.944444444445</v>
      </c>
      <c r="T105" s="4">
        <f t="shared" si="13"/>
        <v>8875.1666666666661</v>
      </c>
      <c r="U105" s="4">
        <f t="shared" si="14"/>
        <v>1952.5366666666666</v>
      </c>
      <c r="V105" s="4">
        <f t="shared" ca="1" si="15"/>
        <v>46</v>
      </c>
      <c r="W105" s="20">
        <f t="shared" ca="1" si="20"/>
        <v>20099.769047163209</v>
      </c>
      <c r="X105" s="4">
        <f t="shared" si="16"/>
        <v>2589.9799999999996</v>
      </c>
      <c r="Y105" s="13">
        <f t="shared" si="17"/>
        <v>0.13699973551970376</v>
      </c>
    </row>
    <row r="106" spans="1:25" x14ac:dyDescent="0.3">
      <c r="A106" s="12" t="s">
        <v>253</v>
      </c>
      <c r="B106" s="7">
        <v>44963</v>
      </c>
      <c r="C106" s="4" t="s">
        <v>254</v>
      </c>
      <c r="D106" s="4" t="s">
        <v>76</v>
      </c>
      <c r="E106" s="4">
        <v>30398</v>
      </c>
      <c r="F106" s="4">
        <v>8.1999999999999993</v>
      </c>
      <c r="G106" s="4">
        <v>60</v>
      </c>
      <c r="H106" s="4" t="s">
        <v>19</v>
      </c>
      <c r="I106" s="4" t="s">
        <v>27</v>
      </c>
      <c r="J106" s="4" t="s">
        <v>28</v>
      </c>
      <c r="K106" s="4">
        <v>47374</v>
      </c>
      <c r="L106" s="4" t="s">
        <v>29</v>
      </c>
      <c r="M106" s="4">
        <v>0.18</v>
      </c>
      <c r="N106" s="4">
        <v>0.81</v>
      </c>
      <c r="O106" s="4">
        <v>32890.639999999999</v>
      </c>
      <c r="P106" s="4">
        <v>0</v>
      </c>
      <c r="Q106" s="6">
        <f t="shared" si="18"/>
        <v>619.27554573964994</v>
      </c>
      <c r="R106" s="6">
        <f t="shared" si="11"/>
        <v>6758.5327443789938</v>
      </c>
      <c r="S106" s="4">
        <f t="shared" si="12"/>
        <v>37528.395061728392</v>
      </c>
      <c r="T106" s="4">
        <f t="shared" si="13"/>
        <v>3947.8333333333335</v>
      </c>
      <c r="U106" s="4">
        <f t="shared" si="14"/>
        <v>710.61</v>
      </c>
      <c r="V106" s="4">
        <f t="shared" ca="1" si="15"/>
        <v>37</v>
      </c>
      <c r="W106" s="20">
        <f t="shared" ca="1" si="20"/>
        <v>22913.195192367049</v>
      </c>
      <c r="X106" s="4">
        <f t="shared" si="16"/>
        <v>2492.6399999999994</v>
      </c>
      <c r="Y106" s="13">
        <f t="shared" si="17"/>
        <v>8.2000131587604427E-2</v>
      </c>
    </row>
    <row r="107" spans="1:25" x14ac:dyDescent="0.3">
      <c r="A107" s="12" t="s">
        <v>255</v>
      </c>
      <c r="B107" s="7">
        <v>44594</v>
      </c>
      <c r="C107" s="4" t="s">
        <v>256</v>
      </c>
      <c r="D107" s="4" t="s">
        <v>50</v>
      </c>
      <c r="E107" s="4">
        <v>35268</v>
      </c>
      <c r="F107" s="4">
        <v>16.2</v>
      </c>
      <c r="G107" s="4">
        <v>36</v>
      </c>
      <c r="H107" s="4" t="s">
        <v>26</v>
      </c>
      <c r="I107" s="4" t="s">
        <v>20</v>
      </c>
      <c r="J107" s="4" t="s">
        <v>47</v>
      </c>
      <c r="K107" s="4">
        <v>106674</v>
      </c>
      <c r="L107" s="4" t="s">
        <v>29</v>
      </c>
      <c r="M107" s="4">
        <v>0.13</v>
      </c>
      <c r="N107" s="4">
        <v>0.62</v>
      </c>
      <c r="O107" s="4">
        <v>14139.59</v>
      </c>
      <c r="P107" s="4">
        <v>0</v>
      </c>
      <c r="Q107" s="6">
        <f t="shared" si="18"/>
        <v>1243.4034326005885</v>
      </c>
      <c r="R107" s="6">
        <f t="shared" si="11"/>
        <v>9494.5235736211907</v>
      </c>
      <c r="S107" s="4">
        <f t="shared" si="12"/>
        <v>56883.870967741939</v>
      </c>
      <c r="T107" s="4">
        <f t="shared" si="13"/>
        <v>8889.5</v>
      </c>
      <c r="U107" s="4">
        <f t="shared" si="14"/>
        <v>1155.635</v>
      </c>
      <c r="V107" s="4">
        <f t="shared" ca="1" si="15"/>
        <v>49</v>
      </c>
      <c r="W107" s="20">
        <f t="shared" ca="1" si="20"/>
        <v>60926.768197428835</v>
      </c>
      <c r="X107" s="4">
        <f t="shared" si="16"/>
        <v>-21128.41</v>
      </c>
      <c r="Y107" s="13">
        <f t="shared" si="17"/>
        <v>-0.59908160372008623</v>
      </c>
    </row>
    <row r="108" spans="1:25" x14ac:dyDescent="0.3">
      <c r="A108" s="12" t="s">
        <v>257</v>
      </c>
      <c r="B108" s="7">
        <v>45067</v>
      </c>
      <c r="C108" s="4" t="s">
        <v>258</v>
      </c>
      <c r="D108" s="4" t="s">
        <v>56</v>
      </c>
      <c r="E108" s="4">
        <v>7737</v>
      </c>
      <c r="F108" s="4">
        <v>21.2</v>
      </c>
      <c r="G108" s="4">
        <v>60</v>
      </c>
      <c r="H108" s="4" t="s">
        <v>81</v>
      </c>
      <c r="I108" s="4" t="s">
        <v>57</v>
      </c>
      <c r="J108" s="4" t="s">
        <v>21</v>
      </c>
      <c r="K108" s="4">
        <v>146500</v>
      </c>
      <c r="L108" s="4" t="s">
        <v>33</v>
      </c>
      <c r="M108" s="4">
        <v>0.45</v>
      </c>
      <c r="N108" s="4">
        <v>0.78</v>
      </c>
      <c r="O108" s="4">
        <v>2593.27</v>
      </c>
      <c r="P108" s="4">
        <v>2439.15</v>
      </c>
      <c r="Q108" s="6">
        <f t="shared" si="18"/>
        <v>210.18323640062729</v>
      </c>
      <c r="R108" s="6">
        <f t="shared" si="11"/>
        <v>4873.9941840376378</v>
      </c>
      <c r="S108" s="4">
        <f t="shared" si="12"/>
        <v>9919.2307692307695</v>
      </c>
      <c r="T108" s="4">
        <f t="shared" si="13"/>
        <v>12208.333333333334</v>
      </c>
      <c r="U108" s="4">
        <f t="shared" si="14"/>
        <v>5493.75</v>
      </c>
      <c r="V108" s="4">
        <f t="shared" ca="1" si="15"/>
        <v>33</v>
      </c>
      <c r="W108" s="20">
        <v>0</v>
      </c>
      <c r="X108" s="4">
        <f t="shared" si="16"/>
        <v>-2704.58</v>
      </c>
      <c r="Y108" s="13">
        <f t="shared" si="17"/>
        <v>-0.34956443065787773</v>
      </c>
    </row>
    <row r="109" spans="1:25" x14ac:dyDescent="0.3">
      <c r="A109" s="12" t="s">
        <v>259</v>
      </c>
      <c r="B109" s="7">
        <v>44991</v>
      </c>
      <c r="C109" s="4" t="s">
        <v>260</v>
      </c>
      <c r="D109" s="4" t="s">
        <v>50</v>
      </c>
      <c r="E109" s="4">
        <v>37062</v>
      </c>
      <c r="F109" s="4">
        <v>19.8</v>
      </c>
      <c r="G109" s="4">
        <v>60</v>
      </c>
      <c r="H109" s="4" t="s">
        <v>81</v>
      </c>
      <c r="I109" s="4" t="s">
        <v>20</v>
      </c>
      <c r="J109" s="4" t="s">
        <v>28</v>
      </c>
      <c r="K109" s="4">
        <v>111471</v>
      </c>
      <c r="L109" s="4" t="s">
        <v>33</v>
      </c>
      <c r="M109" s="4">
        <v>0.27</v>
      </c>
      <c r="N109" s="4">
        <v>0.87</v>
      </c>
      <c r="O109" s="4">
        <v>9479.8700000000008</v>
      </c>
      <c r="P109" s="4">
        <v>13222.79</v>
      </c>
      <c r="Q109" s="6">
        <f t="shared" si="18"/>
        <v>977.79650199285595</v>
      </c>
      <c r="R109" s="6">
        <f t="shared" si="11"/>
        <v>21605.790119571357</v>
      </c>
      <c r="S109" s="4">
        <f t="shared" si="12"/>
        <v>42600</v>
      </c>
      <c r="T109" s="4">
        <f t="shared" si="13"/>
        <v>9289.25</v>
      </c>
      <c r="U109" s="4">
        <f t="shared" si="14"/>
        <v>2508.0975000000003</v>
      </c>
      <c r="V109" s="4">
        <f t="shared" ca="1" si="15"/>
        <v>36</v>
      </c>
      <c r="W109" s="20">
        <v>0</v>
      </c>
      <c r="X109" s="4">
        <f t="shared" si="16"/>
        <v>-14359.339999999997</v>
      </c>
      <c r="Y109" s="13">
        <f t="shared" si="17"/>
        <v>-0.38744104473584795</v>
      </c>
    </row>
    <row r="110" spans="1:25" x14ac:dyDescent="0.3">
      <c r="A110" s="12" t="s">
        <v>261</v>
      </c>
      <c r="B110" s="7">
        <v>44589</v>
      </c>
      <c r="C110" s="4" t="s">
        <v>262</v>
      </c>
      <c r="D110" s="4" t="s">
        <v>46</v>
      </c>
      <c r="E110" s="4">
        <v>26510</v>
      </c>
      <c r="F110" s="4">
        <v>22.6</v>
      </c>
      <c r="G110" s="4">
        <v>36</v>
      </c>
      <c r="H110" s="4" t="s">
        <v>26</v>
      </c>
      <c r="I110" s="4" t="s">
        <v>20</v>
      </c>
      <c r="J110" s="4" t="s">
        <v>32</v>
      </c>
      <c r="K110" s="4">
        <v>75913</v>
      </c>
      <c r="L110" s="4" t="s">
        <v>22</v>
      </c>
      <c r="M110" s="4">
        <v>0.3</v>
      </c>
      <c r="N110" s="4">
        <v>0.59</v>
      </c>
      <c r="O110" s="4">
        <v>11560.44</v>
      </c>
      <c r="P110" s="4">
        <v>0</v>
      </c>
      <c r="Q110" s="6">
        <f t="shared" si="18"/>
        <v>1020.6760788442307</v>
      </c>
      <c r="R110" s="6">
        <f t="shared" si="11"/>
        <v>10234.338838392301</v>
      </c>
      <c r="S110" s="4">
        <f t="shared" si="12"/>
        <v>44932.203389830509</v>
      </c>
      <c r="T110" s="4">
        <f t="shared" si="13"/>
        <v>6326.083333333333</v>
      </c>
      <c r="U110" s="4">
        <f t="shared" si="14"/>
        <v>1897.8249999999998</v>
      </c>
      <c r="V110" s="4">
        <f t="shared" ca="1" si="15"/>
        <v>49</v>
      </c>
      <c r="W110" s="20">
        <f t="shared" ref="W110:W115" ca="1" si="21">V110*Q110</f>
        <v>50013.127863367306</v>
      </c>
      <c r="X110" s="4">
        <f t="shared" si="16"/>
        <v>-14949.56</v>
      </c>
      <c r="Y110" s="13">
        <f t="shared" si="17"/>
        <v>-0.56392153904187092</v>
      </c>
    </row>
    <row r="111" spans="1:25" x14ac:dyDescent="0.3">
      <c r="A111" s="12" t="s">
        <v>263</v>
      </c>
      <c r="B111" s="7">
        <v>44403</v>
      </c>
      <c r="C111" s="4" t="s">
        <v>264</v>
      </c>
      <c r="D111" s="4" t="s">
        <v>56</v>
      </c>
      <c r="E111" s="4">
        <v>20426</v>
      </c>
      <c r="F111" s="4">
        <v>10.6</v>
      </c>
      <c r="G111" s="4">
        <v>36</v>
      </c>
      <c r="H111" s="4" t="s">
        <v>19</v>
      </c>
      <c r="I111" s="4" t="s">
        <v>73</v>
      </c>
      <c r="J111" s="4" t="s">
        <v>21</v>
      </c>
      <c r="K111" s="4">
        <v>96025</v>
      </c>
      <c r="L111" s="4" t="s">
        <v>33</v>
      </c>
      <c r="M111" s="4">
        <v>0.47</v>
      </c>
      <c r="N111" s="4">
        <v>0.91</v>
      </c>
      <c r="O111" s="4">
        <v>22591.16</v>
      </c>
      <c r="P111" s="4">
        <v>0</v>
      </c>
      <c r="Q111" s="6">
        <f t="shared" si="18"/>
        <v>664.85847466805376</v>
      </c>
      <c r="R111" s="6">
        <f t="shared" si="11"/>
        <v>3508.9050880499344</v>
      </c>
      <c r="S111" s="4">
        <f t="shared" si="12"/>
        <v>22446.153846153844</v>
      </c>
      <c r="T111" s="4">
        <f t="shared" si="13"/>
        <v>8002.083333333333</v>
      </c>
      <c r="U111" s="4">
        <f t="shared" si="14"/>
        <v>3760.9791666666665</v>
      </c>
      <c r="V111" s="4">
        <f t="shared" ca="1" si="15"/>
        <v>55</v>
      </c>
      <c r="W111" s="20">
        <f t="shared" ca="1" si="21"/>
        <v>36567.216106742955</v>
      </c>
      <c r="X111" s="4">
        <f t="shared" si="16"/>
        <v>2165.16</v>
      </c>
      <c r="Y111" s="13">
        <f t="shared" si="17"/>
        <v>0.10600019582884558</v>
      </c>
    </row>
    <row r="112" spans="1:25" x14ac:dyDescent="0.3">
      <c r="A112" s="12" t="s">
        <v>265</v>
      </c>
      <c r="B112" s="7">
        <v>45235</v>
      </c>
      <c r="C112" s="4" t="s">
        <v>266</v>
      </c>
      <c r="D112" s="4" t="s">
        <v>18</v>
      </c>
      <c r="E112" s="4">
        <v>38265</v>
      </c>
      <c r="F112" s="4">
        <v>8.9</v>
      </c>
      <c r="G112" s="4">
        <v>60</v>
      </c>
      <c r="H112" s="4" t="s">
        <v>26</v>
      </c>
      <c r="I112" s="4" t="s">
        <v>36</v>
      </c>
      <c r="J112" s="4" t="s">
        <v>28</v>
      </c>
      <c r="K112" s="4">
        <v>74516</v>
      </c>
      <c r="L112" s="4" t="s">
        <v>29</v>
      </c>
      <c r="M112" s="4">
        <v>0.41</v>
      </c>
      <c r="N112" s="4">
        <v>0.75</v>
      </c>
      <c r="O112" s="4">
        <v>8652.49</v>
      </c>
      <c r="P112" s="4">
        <v>0</v>
      </c>
      <c r="Q112" s="6">
        <f t="shared" si="18"/>
        <v>792.46262910200221</v>
      </c>
      <c r="R112" s="6">
        <f t="shared" si="11"/>
        <v>9282.757746120129</v>
      </c>
      <c r="S112" s="4">
        <f t="shared" si="12"/>
        <v>51020</v>
      </c>
      <c r="T112" s="4">
        <f t="shared" si="13"/>
        <v>6209.666666666667</v>
      </c>
      <c r="U112" s="4">
        <f t="shared" si="14"/>
        <v>2545.9633333333331</v>
      </c>
      <c r="V112" s="4">
        <f t="shared" ca="1" si="15"/>
        <v>28</v>
      </c>
      <c r="W112" s="20">
        <f t="shared" ca="1" si="21"/>
        <v>22188.953614856062</v>
      </c>
      <c r="X112" s="4">
        <f t="shared" si="16"/>
        <v>-29612.510000000002</v>
      </c>
      <c r="Y112" s="13">
        <f t="shared" si="17"/>
        <v>-0.77387978570495231</v>
      </c>
    </row>
    <row r="113" spans="1:25" x14ac:dyDescent="0.3">
      <c r="A113" s="12" t="s">
        <v>267</v>
      </c>
      <c r="B113" s="7">
        <v>45088</v>
      </c>
      <c r="C113" s="4" t="s">
        <v>268</v>
      </c>
      <c r="D113" s="4" t="s">
        <v>50</v>
      </c>
      <c r="E113" s="4">
        <v>18850</v>
      </c>
      <c r="F113" s="4">
        <v>22.6</v>
      </c>
      <c r="G113" s="4">
        <v>36</v>
      </c>
      <c r="H113" s="4" t="s">
        <v>26</v>
      </c>
      <c r="I113" s="4" t="s">
        <v>20</v>
      </c>
      <c r="J113" s="4" t="s">
        <v>47</v>
      </c>
      <c r="K113" s="4">
        <v>117796</v>
      </c>
      <c r="L113" s="4" t="s">
        <v>22</v>
      </c>
      <c r="M113" s="4">
        <v>0.15</v>
      </c>
      <c r="N113" s="4">
        <v>0.63</v>
      </c>
      <c r="O113" s="4">
        <v>8480.84</v>
      </c>
      <c r="P113" s="4">
        <v>0</v>
      </c>
      <c r="Q113" s="6">
        <f t="shared" si="18"/>
        <v>725.75420921213686</v>
      </c>
      <c r="R113" s="6">
        <f t="shared" si="11"/>
        <v>7277.1515316369259</v>
      </c>
      <c r="S113" s="4">
        <f t="shared" si="12"/>
        <v>29920.634920634919</v>
      </c>
      <c r="T113" s="4">
        <f t="shared" si="13"/>
        <v>9816.3333333333339</v>
      </c>
      <c r="U113" s="4">
        <f t="shared" si="14"/>
        <v>1472.45</v>
      </c>
      <c r="V113" s="4">
        <f t="shared" ca="1" si="15"/>
        <v>33</v>
      </c>
      <c r="W113" s="20">
        <f t="shared" ca="1" si="21"/>
        <v>23949.888904000516</v>
      </c>
      <c r="X113" s="4">
        <f t="shared" si="16"/>
        <v>-10369.16</v>
      </c>
      <c r="Y113" s="13">
        <f t="shared" si="17"/>
        <v>-0.55008806366047747</v>
      </c>
    </row>
    <row r="114" spans="1:25" x14ac:dyDescent="0.3">
      <c r="A114" s="12" t="s">
        <v>269</v>
      </c>
      <c r="B114" s="7">
        <v>45060</v>
      </c>
      <c r="C114" s="4" t="s">
        <v>270</v>
      </c>
      <c r="D114" s="4" t="s">
        <v>72</v>
      </c>
      <c r="E114" s="4">
        <v>1614</v>
      </c>
      <c r="F114" s="4">
        <v>18.2</v>
      </c>
      <c r="G114" s="4">
        <v>36</v>
      </c>
      <c r="H114" s="4" t="s">
        <v>19</v>
      </c>
      <c r="I114" s="4" t="s">
        <v>57</v>
      </c>
      <c r="J114" s="4" t="s">
        <v>28</v>
      </c>
      <c r="K114" s="4">
        <v>56069</v>
      </c>
      <c r="L114" s="4" t="s">
        <v>29</v>
      </c>
      <c r="M114" s="4">
        <v>0.33</v>
      </c>
      <c r="N114" s="4">
        <v>0.69</v>
      </c>
      <c r="O114" s="4">
        <v>1907.75</v>
      </c>
      <c r="P114" s="4">
        <v>0</v>
      </c>
      <c r="Q114" s="6">
        <f t="shared" si="18"/>
        <v>58.512026416046496</v>
      </c>
      <c r="R114" s="6">
        <f t="shared" si="11"/>
        <v>492.43295097767395</v>
      </c>
      <c r="S114" s="4">
        <f t="shared" si="12"/>
        <v>2339.130434782609</v>
      </c>
      <c r="T114" s="4">
        <f t="shared" si="13"/>
        <v>4672.416666666667</v>
      </c>
      <c r="U114" s="4">
        <f t="shared" si="14"/>
        <v>1541.8975000000003</v>
      </c>
      <c r="V114" s="4">
        <f t="shared" ca="1" si="15"/>
        <v>34</v>
      </c>
      <c r="W114" s="20">
        <f t="shared" ca="1" si="21"/>
        <v>1989.4088981455809</v>
      </c>
      <c r="X114" s="4">
        <f t="shared" si="16"/>
        <v>293.75</v>
      </c>
      <c r="Y114" s="13">
        <f t="shared" si="17"/>
        <v>0.18200123915737298</v>
      </c>
    </row>
    <row r="115" spans="1:25" x14ac:dyDescent="0.3">
      <c r="A115" s="12" t="s">
        <v>271</v>
      </c>
      <c r="B115" s="7">
        <v>44939</v>
      </c>
      <c r="C115" s="4" t="s">
        <v>272</v>
      </c>
      <c r="D115" s="4" t="s">
        <v>76</v>
      </c>
      <c r="E115" s="4">
        <v>22776</v>
      </c>
      <c r="F115" s="4">
        <v>11.2</v>
      </c>
      <c r="G115" s="4">
        <v>60</v>
      </c>
      <c r="H115" s="4" t="s">
        <v>19</v>
      </c>
      <c r="I115" s="4" t="s">
        <v>27</v>
      </c>
      <c r="J115" s="4" t="s">
        <v>32</v>
      </c>
      <c r="K115" s="4">
        <v>148333</v>
      </c>
      <c r="L115" s="4" t="s">
        <v>29</v>
      </c>
      <c r="M115" s="4">
        <v>0.28000000000000003</v>
      </c>
      <c r="N115" s="4">
        <v>0.64</v>
      </c>
      <c r="O115" s="4">
        <v>25326.91</v>
      </c>
      <c r="P115" s="4">
        <v>0</v>
      </c>
      <c r="Q115" s="6">
        <f t="shared" si="18"/>
        <v>497.48017264752758</v>
      </c>
      <c r="R115" s="6">
        <f t="shared" si="11"/>
        <v>7072.8103588516533</v>
      </c>
      <c r="S115" s="4">
        <f t="shared" si="12"/>
        <v>35587.5</v>
      </c>
      <c r="T115" s="4">
        <f t="shared" si="13"/>
        <v>12361.083333333334</v>
      </c>
      <c r="U115" s="4">
        <f t="shared" si="14"/>
        <v>3461.1033333333339</v>
      </c>
      <c r="V115" s="4">
        <f t="shared" ca="1" si="15"/>
        <v>38</v>
      </c>
      <c r="W115" s="20">
        <f t="shared" ca="1" si="21"/>
        <v>18904.246560606047</v>
      </c>
      <c r="X115" s="4">
        <f t="shared" si="16"/>
        <v>2550.91</v>
      </c>
      <c r="Y115" s="13">
        <f t="shared" si="17"/>
        <v>0.11199991218826835</v>
      </c>
    </row>
    <row r="116" spans="1:25" x14ac:dyDescent="0.3">
      <c r="A116" s="12" t="s">
        <v>273</v>
      </c>
      <c r="B116" s="7">
        <v>44760</v>
      </c>
      <c r="C116" s="4" t="s">
        <v>274</v>
      </c>
      <c r="D116" s="4" t="s">
        <v>50</v>
      </c>
      <c r="E116" s="4">
        <v>25077</v>
      </c>
      <c r="F116" s="4">
        <v>19.8</v>
      </c>
      <c r="G116" s="4">
        <v>36</v>
      </c>
      <c r="H116" s="4" t="s">
        <v>81</v>
      </c>
      <c r="I116" s="4" t="s">
        <v>73</v>
      </c>
      <c r="J116" s="4" t="s">
        <v>21</v>
      </c>
      <c r="K116" s="4">
        <v>86233</v>
      </c>
      <c r="L116" s="4" t="s">
        <v>22</v>
      </c>
      <c r="M116" s="4">
        <v>0.42</v>
      </c>
      <c r="N116" s="4">
        <v>0.83</v>
      </c>
      <c r="O116" s="4">
        <v>4314.95</v>
      </c>
      <c r="P116" s="4">
        <v>11970.48</v>
      </c>
      <c r="Q116" s="6">
        <f t="shared" si="18"/>
        <v>929.39766650636352</v>
      </c>
      <c r="R116" s="6">
        <f t="shared" si="11"/>
        <v>8381.3159942290877</v>
      </c>
      <c r="S116" s="4">
        <f t="shared" si="12"/>
        <v>30213.253012048193</v>
      </c>
      <c r="T116" s="4">
        <f t="shared" si="13"/>
        <v>7186.083333333333</v>
      </c>
      <c r="U116" s="4">
        <f t="shared" si="14"/>
        <v>3018.1549999999997</v>
      </c>
      <c r="V116" s="4">
        <f t="shared" ca="1" si="15"/>
        <v>44</v>
      </c>
      <c r="W116" s="20">
        <v>0</v>
      </c>
      <c r="X116" s="4">
        <f t="shared" si="16"/>
        <v>-8791.57</v>
      </c>
      <c r="Y116" s="13">
        <f t="shared" si="17"/>
        <v>-0.35058300434661244</v>
      </c>
    </row>
    <row r="117" spans="1:25" x14ac:dyDescent="0.3">
      <c r="A117" s="12" t="s">
        <v>275</v>
      </c>
      <c r="B117" s="7">
        <v>45217</v>
      </c>
      <c r="C117" s="4" t="s">
        <v>276</v>
      </c>
      <c r="D117" s="4" t="s">
        <v>76</v>
      </c>
      <c r="E117" s="4">
        <v>10374</v>
      </c>
      <c r="F117" s="4">
        <v>21.3</v>
      </c>
      <c r="G117" s="4">
        <v>36</v>
      </c>
      <c r="H117" s="4" t="s">
        <v>19</v>
      </c>
      <c r="I117" s="4" t="s">
        <v>84</v>
      </c>
      <c r="J117" s="4" t="s">
        <v>21</v>
      </c>
      <c r="K117" s="4">
        <v>114811</v>
      </c>
      <c r="L117" s="4" t="s">
        <v>29</v>
      </c>
      <c r="M117" s="4">
        <v>0.39</v>
      </c>
      <c r="N117" s="4">
        <v>0.86</v>
      </c>
      <c r="O117" s="4">
        <v>12583.66</v>
      </c>
      <c r="P117" s="4">
        <v>0</v>
      </c>
      <c r="Q117" s="6">
        <f t="shared" si="18"/>
        <v>392.44089119156212</v>
      </c>
      <c r="R117" s="6">
        <f t="shared" si="11"/>
        <v>3753.872082896236</v>
      </c>
      <c r="S117" s="4">
        <f t="shared" si="12"/>
        <v>12062.790697674418</v>
      </c>
      <c r="T117" s="4">
        <f t="shared" si="13"/>
        <v>9567.5833333333339</v>
      </c>
      <c r="U117" s="4">
        <f t="shared" si="14"/>
        <v>3731.3575000000005</v>
      </c>
      <c r="V117" s="4">
        <f t="shared" ca="1" si="15"/>
        <v>29</v>
      </c>
      <c r="W117" s="20">
        <f t="shared" ref="W117:W124" ca="1" si="22">V117*Q117</f>
        <v>11380.785844555301</v>
      </c>
      <c r="X117" s="4">
        <f t="shared" si="16"/>
        <v>2209.66</v>
      </c>
      <c r="Y117" s="13">
        <f t="shared" si="17"/>
        <v>0.21299980721033351</v>
      </c>
    </row>
    <row r="118" spans="1:25" x14ac:dyDescent="0.3">
      <c r="A118" s="12" t="s">
        <v>277</v>
      </c>
      <c r="B118" s="7">
        <v>44292</v>
      </c>
      <c r="C118" s="4" t="s">
        <v>278</v>
      </c>
      <c r="D118" s="4" t="s">
        <v>40</v>
      </c>
      <c r="E118" s="4">
        <v>36435</v>
      </c>
      <c r="F118" s="4">
        <v>17.3</v>
      </c>
      <c r="G118" s="4">
        <v>36</v>
      </c>
      <c r="H118" s="4" t="s">
        <v>19</v>
      </c>
      <c r="I118" s="4" t="s">
        <v>20</v>
      </c>
      <c r="J118" s="4" t="s">
        <v>21</v>
      </c>
      <c r="K118" s="4">
        <v>89049</v>
      </c>
      <c r="L118" s="4" t="s">
        <v>33</v>
      </c>
      <c r="M118" s="4">
        <v>0.38</v>
      </c>
      <c r="N118" s="4">
        <v>0.87</v>
      </c>
      <c r="O118" s="4">
        <v>42738.26</v>
      </c>
      <c r="P118" s="4">
        <v>0</v>
      </c>
      <c r="Q118" s="6">
        <f t="shared" si="18"/>
        <v>1304.4535750492732</v>
      </c>
      <c r="R118" s="6">
        <f t="shared" si="11"/>
        <v>10525.328701773833</v>
      </c>
      <c r="S118" s="4">
        <f t="shared" si="12"/>
        <v>41879.310344827587</v>
      </c>
      <c r="T118" s="4">
        <f t="shared" si="13"/>
        <v>7420.75</v>
      </c>
      <c r="U118" s="4">
        <f t="shared" si="14"/>
        <v>2819.8850000000002</v>
      </c>
      <c r="V118" s="4">
        <f t="shared" ca="1" si="15"/>
        <v>59</v>
      </c>
      <c r="W118" s="20">
        <f t="shared" ca="1" si="22"/>
        <v>76962.760927907118</v>
      </c>
      <c r="X118" s="4">
        <f t="shared" si="16"/>
        <v>6303.260000000002</v>
      </c>
      <c r="Y118" s="13">
        <f t="shared" si="17"/>
        <v>0.17300013723068483</v>
      </c>
    </row>
    <row r="119" spans="1:25" x14ac:dyDescent="0.3">
      <c r="A119" s="12" t="s">
        <v>279</v>
      </c>
      <c r="B119" s="7">
        <v>44681</v>
      </c>
      <c r="C119" s="4" t="s">
        <v>280</v>
      </c>
      <c r="D119" s="4" t="s">
        <v>46</v>
      </c>
      <c r="E119" s="4">
        <v>31907</v>
      </c>
      <c r="F119" s="4">
        <v>18.8</v>
      </c>
      <c r="G119" s="4">
        <v>36</v>
      </c>
      <c r="H119" s="4" t="s">
        <v>19</v>
      </c>
      <c r="I119" s="4" t="s">
        <v>36</v>
      </c>
      <c r="J119" s="4" t="s">
        <v>32</v>
      </c>
      <c r="K119" s="4">
        <v>131820</v>
      </c>
      <c r="L119" s="4" t="s">
        <v>29</v>
      </c>
      <c r="M119" s="4">
        <v>0.24</v>
      </c>
      <c r="N119" s="4">
        <v>0.94</v>
      </c>
      <c r="O119" s="4">
        <v>37905.519999999997</v>
      </c>
      <c r="P119" s="4">
        <v>0</v>
      </c>
      <c r="Q119" s="6">
        <f t="shared" si="18"/>
        <v>1166.3597291708002</v>
      </c>
      <c r="R119" s="6">
        <f t="shared" si="11"/>
        <v>10081.950250148802</v>
      </c>
      <c r="S119" s="4">
        <f t="shared" si="12"/>
        <v>33943.617021276601</v>
      </c>
      <c r="T119" s="4">
        <f t="shared" si="13"/>
        <v>10985</v>
      </c>
      <c r="U119" s="4">
        <f t="shared" si="14"/>
        <v>2636.4</v>
      </c>
      <c r="V119" s="4">
        <f t="shared" ca="1" si="15"/>
        <v>46</v>
      </c>
      <c r="W119" s="20">
        <f t="shared" ca="1" si="22"/>
        <v>53652.547541856809</v>
      </c>
      <c r="X119" s="4">
        <f t="shared" si="16"/>
        <v>5998.5199999999968</v>
      </c>
      <c r="Y119" s="13">
        <f t="shared" si="17"/>
        <v>0.18800012536434002</v>
      </c>
    </row>
    <row r="120" spans="1:25" x14ac:dyDescent="0.3">
      <c r="A120" s="12" t="s">
        <v>281</v>
      </c>
      <c r="B120" s="7">
        <v>44427</v>
      </c>
      <c r="C120" s="4" t="s">
        <v>282</v>
      </c>
      <c r="D120" s="4" t="s">
        <v>76</v>
      </c>
      <c r="E120" s="4">
        <v>14409</v>
      </c>
      <c r="F120" s="4">
        <v>12.5</v>
      </c>
      <c r="G120" s="4">
        <v>36</v>
      </c>
      <c r="H120" s="4" t="s">
        <v>19</v>
      </c>
      <c r="I120" s="4" t="s">
        <v>57</v>
      </c>
      <c r="J120" s="4" t="s">
        <v>47</v>
      </c>
      <c r="K120" s="4">
        <v>148028</v>
      </c>
      <c r="L120" s="4" t="s">
        <v>22</v>
      </c>
      <c r="M120" s="4">
        <v>0.42</v>
      </c>
      <c r="N120" s="4">
        <v>0.86</v>
      </c>
      <c r="O120" s="4">
        <v>16210.12</v>
      </c>
      <c r="P120" s="4">
        <v>0</v>
      </c>
      <c r="Q120" s="6">
        <f t="shared" si="18"/>
        <v>482.03329093490839</v>
      </c>
      <c r="R120" s="6">
        <f t="shared" si="11"/>
        <v>2944.1984736567028</v>
      </c>
      <c r="S120" s="4">
        <f t="shared" si="12"/>
        <v>16754.651162790698</v>
      </c>
      <c r="T120" s="4">
        <f t="shared" si="13"/>
        <v>12335.666666666666</v>
      </c>
      <c r="U120" s="4">
        <f t="shared" si="14"/>
        <v>5180.9799999999996</v>
      </c>
      <c r="V120" s="4">
        <f t="shared" ca="1" si="15"/>
        <v>55</v>
      </c>
      <c r="W120" s="20">
        <f t="shared" ca="1" si="22"/>
        <v>26511.831001419963</v>
      </c>
      <c r="X120" s="4">
        <f t="shared" si="16"/>
        <v>1801.1200000000008</v>
      </c>
      <c r="Y120" s="13">
        <f t="shared" si="17"/>
        <v>0.12499965299465618</v>
      </c>
    </row>
    <row r="121" spans="1:25" x14ac:dyDescent="0.3">
      <c r="A121" s="12" t="s">
        <v>283</v>
      </c>
      <c r="B121" s="7">
        <v>44945</v>
      </c>
      <c r="C121" s="4" t="s">
        <v>284</v>
      </c>
      <c r="D121" s="4" t="s">
        <v>40</v>
      </c>
      <c r="E121" s="4">
        <v>17514</v>
      </c>
      <c r="F121" s="4">
        <v>15.8</v>
      </c>
      <c r="G121" s="4">
        <v>60</v>
      </c>
      <c r="H121" s="4" t="s">
        <v>19</v>
      </c>
      <c r="I121" s="4" t="s">
        <v>57</v>
      </c>
      <c r="J121" s="4" t="s">
        <v>21</v>
      </c>
      <c r="K121" s="4">
        <v>69178</v>
      </c>
      <c r="L121" s="4" t="s">
        <v>22</v>
      </c>
      <c r="M121" s="4">
        <v>0.12</v>
      </c>
      <c r="N121" s="4">
        <v>0.77</v>
      </c>
      <c r="O121" s="4">
        <v>20281.21</v>
      </c>
      <c r="P121" s="4">
        <v>0</v>
      </c>
      <c r="Q121" s="6">
        <f t="shared" si="18"/>
        <v>424.04754144011383</v>
      </c>
      <c r="R121" s="6">
        <f t="shared" si="11"/>
        <v>7928.8524864068313</v>
      </c>
      <c r="S121" s="4">
        <f t="shared" si="12"/>
        <v>22745.454545454544</v>
      </c>
      <c r="T121" s="4">
        <f t="shared" si="13"/>
        <v>5764.833333333333</v>
      </c>
      <c r="U121" s="4">
        <f t="shared" si="14"/>
        <v>691.78</v>
      </c>
      <c r="V121" s="4">
        <f t="shared" ca="1" si="15"/>
        <v>38</v>
      </c>
      <c r="W121" s="20">
        <f t="shared" ca="1" si="22"/>
        <v>16113.806574724325</v>
      </c>
      <c r="X121" s="4">
        <f t="shared" si="16"/>
        <v>2767.2099999999991</v>
      </c>
      <c r="Y121" s="13">
        <f t="shared" si="17"/>
        <v>0.15799988580564114</v>
      </c>
    </row>
    <row r="122" spans="1:25" x14ac:dyDescent="0.3">
      <c r="A122" s="12" t="s">
        <v>285</v>
      </c>
      <c r="B122" s="7">
        <v>44737</v>
      </c>
      <c r="C122" s="4" t="s">
        <v>286</v>
      </c>
      <c r="D122" s="4" t="s">
        <v>25</v>
      </c>
      <c r="E122" s="4">
        <v>30866</v>
      </c>
      <c r="F122" s="4">
        <v>15.5</v>
      </c>
      <c r="G122" s="4">
        <v>60</v>
      </c>
      <c r="H122" s="4" t="s">
        <v>26</v>
      </c>
      <c r="I122" s="4" t="s">
        <v>84</v>
      </c>
      <c r="J122" s="4" t="s">
        <v>47</v>
      </c>
      <c r="K122" s="4">
        <v>62821</v>
      </c>
      <c r="L122" s="4" t="s">
        <v>22</v>
      </c>
      <c r="M122" s="4">
        <v>0.16</v>
      </c>
      <c r="N122" s="4">
        <v>0.65</v>
      </c>
      <c r="O122" s="4">
        <v>5435.42</v>
      </c>
      <c r="P122" s="4">
        <v>0</v>
      </c>
      <c r="Q122" s="6">
        <f t="shared" si="18"/>
        <v>742.42579586626869</v>
      </c>
      <c r="R122" s="6">
        <f t="shared" si="11"/>
        <v>13679.547751976119</v>
      </c>
      <c r="S122" s="4">
        <f t="shared" si="12"/>
        <v>47486.153846153844</v>
      </c>
      <c r="T122" s="4">
        <f t="shared" si="13"/>
        <v>5235.083333333333</v>
      </c>
      <c r="U122" s="4">
        <f t="shared" si="14"/>
        <v>837.61333333333334</v>
      </c>
      <c r="V122" s="4">
        <f t="shared" ca="1" si="15"/>
        <v>44</v>
      </c>
      <c r="W122" s="20">
        <f t="shared" ca="1" si="22"/>
        <v>32666.735018115822</v>
      </c>
      <c r="X122" s="4">
        <f t="shared" si="16"/>
        <v>-25430.58</v>
      </c>
      <c r="Y122" s="13">
        <f t="shared" si="17"/>
        <v>-0.82390267608371681</v>
      </c>
    </row>
    <row r="123" spans="1:25" x14ac:dyDescent="0.3">
      <c r="A123" s="12" t="s">
        <v>287</v>
      </c>
      <c r="B123" s="7">
        <v>45256</v>
      </c>
      <c r="C123" s="4" t="s">
        <v>288</v>
      </c>
      <c r="D123" s="4" t="s">
        <v>40</v>
      </c>
      <c r="E123" s="4">
        <v>3983</v>
      </c>
      <c r="F123" s="4">
        <v>22</v>
      </c>
      <c r="G123" s="4">
        <v>36</v>
      </c>
      <c r="H123" s="4" t="s">
        <v>26</v>
      </c>
      <c r="I123" s="4" t="s">
        <v>73</v>
      </c>
      <c r="J123" s="4" t="s">
        <v>28</v>
      </c>
      <c r="K123" s="4">
        <v>81727</v>
      </c>
      <c r="L123" s="4" t="s">
        <v>29</v>
      </c>
      <c r="M123" s="4">
        <v>0.23</v>
      </c>
      <c r="N123" s="4">
        <v>0.75</v>
      </c>
      <c r="O123" s="4">
        <v>294.36</v>
      </c>
      <c r="P123" s="4">
        <v>0</v>
      </c>
      <c r="Q123" s="6">
        <f t="shared" si="18"/>
        <v>152.11257500841012</v>
      </c>
      <c r="R123" s="6">
        <f t="shared" si="11"/>
        <v>1493.0527003027646</v>
      </c>
      <c r="S123" s="4">
        <f t="shared" si="12"/>
        <v>5310.666666666667</v>
      </c>
      <c r="T123" s="4">
        <f t="shared" si="13"/>
        <v>6810.583333333333</v>
      </c>
      <c r="U123" s="4">
        <f t="shared" si="14"/>
        <v>1566.4341666666667</v>
      </c>
      <c r="V123" s="4">
        <f t="shared" ca="1" si="15"/>
        <v>27</v>
      </c>
      <c r="W123" s="20">
        <f t="shared" ca="1" si="22"/>
        <v>4107.0395252270728</v>
      </c>
      <c r="X123" s="4">
        <f t="shared" si="16"/>
        <v>-3688.64</v>
      </c>
      <c r="Y123" s="13">
        <f t="shared" si="17"/>
        <v>-0.92609590760733107</v>
      </c>
    </row>
    <row r="124" spans="1:25" x14ac:dyDescent="0.3">
      <c r="A124" s="12" t="s">
        <v>289</v>
      </c>
      <c r="B124" s="7">
        <v>44721</v>
      </c>
      <c r="C124" s="4" t="s">
        <v>290</v>
      </c>
      <c r="D124" s="4" t="s">
        <v>46</v>
      </c>
      <c r="E124" s="4">
        <v>32705</v>
      </c>
      <c r="F124" s="4">
        <v>21.8</v>
      </c>
      <c r="G124" s="4">
        <v>60</v>
      </c>
      <c r="H124" s="4" t="s">
        <v>19</v>
      </c>
      <c r="I124" s="4" t="s">
        <v>73</v>
      </c>
      <c r="J124" s="4" t="s">
        <v>47</v>
      </c>
      <c r="K124" s="4">
        <v>90935</v>
      </c>
      <c r="L124" s="4" t="s">
        <v>33</v>
      </c>
      <c r="M124" s="4">
        <v>0.13</v>
      </c>
      <c r="N124" s="4">
        <v>0.52</v>
      </c>
      <c r="O124" s="4">
        <v>39834.69</v>
      </c>
      <c r="P124" s="4">
        <v>0</v>
      </c>
      <c r="Q124" s="6">
        <f t="shared" si="18"/>
        <v>899.56145130083905</v>
      </c>
      <c r="R124" s="6">
        <f t="shared" si="11"/>
        <v>21268.687078050345</v>
      </c>
      <c r="S124" s="4">
        <f t="shared" si="12"/>
        <v>62894.230769230766</v>
      </c>
      <c r="T124" s="4">
        <f t="shared" si="13"/>
        <v>7577.916666666667</v>
      </c>
      <c r="U124" s="4">
        <f t="shared" si="14"/>
        <v>985.12916666666672</v>
      </c>
      <c r="V124" s="4">
        <f t="shared" ca="1" si="15"/>
        <v>45</v>
      </c>
      <c r="W124" s="20">
        <f t="shared" ca="1" si="22"/>
        <v>40480.265308537761</v>
      </c>
      <c r="X124" s="4">
        <f t="shared" si="16"/>
        <v>7129.6900000000023</v>
      </c>
      <c r="Y124" s="13">
        <f t="shared" si="17"/>
        <v>0.21800000000000008</v>
      </c>
    </row>
    <row r="125" spans="1:25" x14ac:dyDescent="0.3">
      <c r="A125" s="12" t="s">
        <v>291</v>
      </c>
      <c r="B125" s="7">
        <v>44774</v>
      </c>
      <c r="C125" s="4" t="s">
        <v>292</v>
      </c>
      <c r="D125" s="4" t="s">
        <v>53</v>
      </c>
      <c r="E125" s="4">
        <v>21662</v>
      </c>
      <c r="F125" s="4">
        <v>21.7</v>
      </c>
      <c r="G125" s="4">
        <v>36</v>
      </c>
      <c r="H125" s="4" t="s">
        <v>81</v>
      </c>
      <c r="I125" s="4" t="s">
        <v>27</v>
      </c>
      <c r="J125" s="4" t="s">
        <v>47</v>
      </c>
      <c r="K125" s="4">
        <v>46999</v>
      </c>
      <c r="L125" s="4" t="s">
        <v>22</v>
      </c>
      <c r="M125" s="4">
        <v>0.19</v>
      </c>
      <c r="N125" s="4">
        <v>0.84</v>
      </c>
      <c r="O125" s="4">
        <v>7336.37</v>
      </c>
      <c r="P125" s="4">
        <v>1820.32</v>
      </c>
      <c r="Q125" s="6">
        <f t="shared" si="18"/>
        <v>823.92346016385238</v>
      </c>
      <c r="R125" s="6">
        <f t="shared" si="11"/>
        <v>7999.2445658986871</v>
      </c>
      <c r="S125" s="4">
        <f t="shared" si="12"/>
        <v>25788.09523809524</v>
      </c>
      <c r="T125" s="4">
        <f t="shared" si="13"/>
        <v>3916.5833333333335</v>
      </c>
      <c r="U125" s="4">
        <f t="shared" si="14"/>
        <v>744.15083333333337</v>
      </c>
      <c r="V125" s="4">
        <f t="shared" ca="1" si="15"/>
        <v>43</v>
      </c>
      <c r="W125" s="20">
        <v>0</v>
      </c>
      <c r="X125" s="4">
        <f t="shared" si="16"/>
        <v>-12505.31</v>
      </c>
      <c r="Y125" s="13">
        <f t="shared" si="17"/>
        <v>-0.57729249376788849</v>
      </c>
    </row>
    <row r="126" spans="1:25" x14ac:dyDescent="0.3">
      <c r="A126" s="12" t="s">
        <v>293</v>
      </c>
      <c r="B126" s="7">
        <v>44878</v>
      </c>
      <c r="C126" s="4" t="s">
        <v>294</v>
      </c>
      <c r="D126" s="4" t="s">
        <v>25</v>
      </c>
      <c r="E126" s="4">
        <v>24510</v>
      </c>
      <c r="F126" s="4">
        <v>5.2</v>
      </c>
      <c r="G126" s="4">
        <v>36</v>
      </c>
      <c r="H126" s="4" t="s">
        <v>19</v>
      </c>
      <c r="I126" s="4" t="s">
        <v>73</v>
      </c>
      <c r="J126" s="4" t="s">
        <v>21</v>
      </c>
      <c r="K126" s="4">
        <v>92522</v>
      </c>
      <c r="L126" s="4" t="s">
        <v>33</v>
      </c>
      <c r="M126" s="4">
        <v>0.43</v>
      </c>
      <c r="N126" s="4">
        <v>0.7</v>
      </c>
      <c r="O126" s="4">
        <v>25784.52</v>
      </c>
      <c r="P126" s="4">
        <v>0</v>
      </c>
      <c r="Q126" s="6">
        <f t="shared" si="18"/>
        <v>736.78960009738933</v>
      </c>
      <c r="R126" s="6">
        <f t="shared" si="11"/>
        <v>2014.4256035060171</v>
      </c>
      <c r="S126" s="4">
        <f t="shared" si="12"/>
        <v>35014.285714285717</v>
      </c>
      <c r="T126" s="4">
        <f t="shared" si="13"/>
        <v>7710.166666666667</v>
      </c>
      <c r="U126" s="4">
        <f t="shared" si="14"/>
        <v>3315.3716666666669</v>
      </c>
      <c r="V126" s="4">
        <f t="shared" ca="1" si="15"/>
        <v>40</v>
      </c>
      <c r="W126" s="20">
        <f ca="1">V126*Q126</f>
        <v>29471.584003895572</v>
      </c>
      <c r="X126" s="4">
        <f t="shared" si="16"/>
        <v>1274.5200000000004</v>
      </c>
      <c r="Y126" s="13">
        <f t="shared" si="17"/>
        <v>5.2000000000000018E-2</v>
      </c>
    </row>
    <row r="127" spans="1:25" x14ac:dyDescent="0.3">
      <c r="A127" s="12" t="s">
        <v>295</v>
      </c>
      <c r="B127" s="7">
        <v>44753</v>
      </c>
      <c r="C127" s="4" t="s">
        <v>296</v>
      </c>
      <c r="D127" s="4" t="s">
        <v>18</v>
      </c>
      <c r="E127" s="4">
        <v>13651</v>
      </c>
      <c r="F127" s="4">
        <v>20</v>
      </c>
      <c r="G127" s="4">
        <v>36</v>
      </c>
      <c r="H127" s="4" t="s">
        <v>19</v>
      </c>
      <c r="I127" s="4" t="s">
        <v>20</v>
      </c>
      <c r="J127" s="4" t="s">
        <v>37</v>
      </c>
      <c r="K127" s="4">
        <v>68712</v>
      </c>
      <c r="L127" s="4" t="s">
        <v>22</v>
      </c>
      <c r="M127" s="4">
        <v>0.48</v>
      </c>
      <c r="N127" s="4">
        <v>0.51</v>
      </c>
      <c r="O127" s="4">
        <v>16381.2</v>
      </c>
      <c r="P127" s="4">
        <v>0</v>
      </c>
      <c r="Q127" s="6">
        <f t="shared" si="18"/>
        <v>507.3200764438169</v>
      </c>
      <c r="R127" s="6">
        <f t="shared" si="11"/>
        <v>4612.5227519774089</v>
      </c>
      <c r="S127" s="4">
        <f t="shared" si="12"/>
        <v>26766.666666666668</v>
      </c>
      <c r="T127" s="4">
        <f t="shared" si="13"/>
        <v>5726</v>
      </c>
      <c r="U127" s="4">
        <f t="shared" si="14"/>
        <v>2748.48</v>
      </c>
      <c r="V127" s="4">
        <f t="shared" ca="1" si="15"/>
        <v>44</v>
      </c>
      <c r="W127" s="20">
        <f ca="1">V127*Q127</f>
        <v>22322.083363527945</v>
      </c>
      <c r="X127" s="4">
        <f t="shared" si="16"/>
        <v>2730.2000000000007</v>
      </c>
      <c r="Y127" s="13">
        <f t="shared" si="17"/>
        <v>0.20000000000000007</v>
      </c>
    </row>
    <row r="128" spans="1:25" x14ac:dyDescent="0.3">
      <c r="A128" s="12" t="s">
        <v>297</v>
      </c>
      <c r="B128" s="7">
        <v>45209</v>
      </c>
      <c r="C128" s="4" t="s">
        <v>298</v>
      </c>
      <c r="D128" s="4" t="s">
        <v>65</v>
      </c>
      <c r="E128" s="4">
        <v>29535</v>
      </c>
      <c r="F128" s="4">
        <v>20.2</v>
      </c>
      <c r="G128" s="4">
        <v>36</v>
      </c>
      <c r="H128" s="4" t="s">
        <v>26</v>
      </c>
      <c r="I128" s="4" t="s">
        <v>27</v>
      </c>
      <c r="J128" s="4" t="s">
        <v>37</v>
      </c>
      <c r="K128" s="4">
        <v>94551</v>
      </c>
      <c r="L128" s="4" t="s">
        <v>33</v>
      </c>
      <c r="M128" s="4">
        <v>0.22</v>
      </c>
      <c r="N128" s="4">
        <v>0.53</v>
      </c>
      <c r="O128" s="4">
        <v>7019.73</v>
      </c>
      <c r="P128" s="4">
        <v>0</v>
      </c>
      <c r="Q128" s="6">
        <f t="shared" si="18"/>
        <v>1100.6385241956614</v>
      </c>
      <c r="R128" s="6">
        <f t="shared" si="11"/>
        <v>10087.98687104381</v>
      </c>
      <c r="S128" s="4">
        <f t="shared" si="12"/>
        <v>55726.415094339623</v>
      </c>
      <c r="T128" s="4">
        <f t="shared" si="13"/>
        <v>7879.25</v>
      </c>
      <c r="U128" s="4">
        <f t="shared" si="14"/>
        <v>1733.4349999999999</v>
      </c>
      <c r="V128" s="4">
        <f t="shared" ca="1" si="15"/>
        <v>29</v>
      </c>
      <c r="W128" s="20">
        <f ca="1">V128*Q128</f>
        <v>31918.517201674178</v>
      </c>
      <c r="X128" s="4">
        <f t="shared" si="16"/>
        <v>-22515.27</v>
      </c>
      <c r="Y128" s="13">
        <f t="shared" si="17"/>
        <v>-0.7623250380904012</v>
      </c>
    </row>
    <row r="129" spans="1:25" x14ac:dyDescent="0.3">
      <c r="A129" s="12" t="s">
        <v>299</v>
      </c>
      <c r="B129" s="7">
        <v>44842</v>
      </c>
      <c r="C129" s="4" t="s">
        <v>300</v>
      </c>
      <c r="D129" s="4" t="s">
        <v>40</v>
      </c>
      <c r="E129" s="4">
        <v>7640</v>
      </c>
      <c r="F129" s="4">
        <v>18.600000000000001</v>
      </c>
      <c r="G129" s="4">
        <v>36</v>
      </c>
      <c r="H129" s="4" t="s">
        <v>26</v>
      </c>
      <c r="I129" s="4" t="s">
        <v>20</v>
      </c>
      <c r="J129" s="4" t="s">
        <v>32</v>
      </c>
      <c r="K129" s="4">
        <v>70172</v>
      </c>
      <c r="L129" s="4" t="s">
        <v>33</v>
      </c>
      <c r="M129" s="4">
        <v>0.21</v>
      </c>
      <c r="N129" s="4">
        <v>0.67</v>
      </c>
      <c r="O129" s="4">
        <v>1169.7</v>
      </c>
      <c r="P129" s="4">
        <v>0</v>
      </c>
      <c r="Q129" s="6">
        <f t="shared" si="18"/>
        <v>278.50929776678737</v>
      </c>
      <c r="R129" s="6">
        <f t="shared" si="11"/>
        <v>2386.3347196043451</v>
      </c>
      <c r="S129" s="4">
        <f t="shared" si="12"/>
        <v>11402.985074626866</v>
      </c>
      <c r="T129" s="4">
        <f t="shared" si="13"/>
        <v>5847.666666666667</v>
      </c>
      <c r="U129" s="4">
        <f t="shared" si="14"/>
        <v>1228.01</v>
      </c>
      <c r="V129" s="4">
        <f t="shared" ca="1" si="15"/>
        <v>41</v>
      </c>
      <c r="W129" s="20">
        <f ca="1">V129*Q129</f>
        <v>11418.881208438283</v>
      </c>
      <c r="X129" s="4">
        <f t="shared" si="16"/>
        <v>-6470.3</v>
      </c>
      <c r="Y129" s="13">
        <f t="shared" si="17"/>
        <v>-0.84689790575916235</v>
      </c>
    </row>
    <row r="130" spans="1:25" x14ac:dyDescent="0.3">
      <c r="A130" s="12" t="s">
        <v>301</v>
      </c>
      <c r="B130" s="7">
        <v>44992</v>
      </c>
      <c r="C130" s="4" t="s">
        <v>302</v>
      </c>
      <c r="D130" s="4" t="s">
        <v>40</v>
      </c>
      <c r="E130" s="4">
        <v>16317</v>
      </c>
      <c r="F130" s="4">
        <v>20.100000000000001</v>
      </c>
      <c r="G130" s="4">
        <v>60</v>
      </c>
      <c r="H130" s="4" t="s">
        <v>26</v>
      </c>
      <c r="I130" s="4" t="s">
        <v>84</v>
      </c>
      <c r="J130" s="4" t="s">
        <v>32</v>
      </c>
      <c r="K130" s="4">
        <v>63722</v>
      </c>
      <c r="L130" s="4" t="s">
        <v>33</v>
      </c>
      <c r="M130" s="4">
        <v>0.21</v>
      </c>
      <c r="N130" s="4">
        <v>0.76</v>
      </c>
      <c r="O130" s="4">
        <v>2517.8000000000002</v>
      </c>
      <c r="P130" s="4">
        <v>0</v>
      </c>
      <c r="Q130" s="6">
        <f t="shared" si="18"/>
        <v>433.20910462971807</v>
      </c>
      <c r="R130" s="6">
        <f t="shared" ref="R130:R193" si="23">(Q130*G130)-E130</f>
        <v>9675.5462777830835</v>
      </c>
      <c r="S130" s="4">
        <f t="shared" ref="S130:S193" si="24">E130 / N130</f>
        <v>21469.736842105263</v>
      </c>
      <c r="T130" s="4">
        <f t="shared" ref="T130:T193" si="25">K130/12</f>
        <v>5310.166666666667</v>
      </c>
      <c r="U130" s="4">
        <f t="shared" ref="U130:U193" si="26">M130*T130</f>
        <v>1115.135</v>
      </c>
      <c r="V130" s="4">
        <f t="shared" ref="V130:V193" ca="1" si="27">DATEDIF(B130, TODAY(), "m")</f>
        <v>36</v>
      </c>
      <c r="W130" s="20">
        <f ca="1">V130*Q130</f>
        <v>15595.527766669851</v>
      </c>
      <c r="X130" s="4">
        <f t="shared" ref="X130:X193" si="28">(O130 + P130) - E130</f>
        <v>-13799.2</v>
      </c>
      <c r="Y130" s="13">
        <f t="shared" ref="Y130:Y193" si="29">(X130/E130)</f>
        <v>-0.8456946742661029</v>
      </c>
    </row>
    <row r="131" spans="1:25" x14ac:dyDescent="0.3">
      <c r="A131" s="12" t="s">
        <v>303</v>
      </c>
      <c r="B131" s="7">
        <v>45248</v>
      </c>
      <c r="C131" s="4" t="s">
        <v>304</v>
      </c>
      <c r="D131" s="4" t="s">
        <v>76</v>
      </c>
      <c r="E131" s="4">
        <v>8564</v>
      </c>
      <c r="F131" s="4">
        <v>21.8</v>
      </c>
      <c r="G131" s="4">
        <v>60</v>
      </c>
      <c r="H131" s="4" t="s">
        <v>81</v>
      </c>
      <c r="I131" s="4" t="s">
        <v>41</v>
      </c>
      <c r="J131" s="4" t="s">
        <v>37</v>
      </c>
      <c r="K131" s="4">
        <v>40625</v>
      </c>
      <c r="L131" s="4" t="s">
        <v>22</v>
      </c>
      <c r="M131" s="4">
        <v>0.21</v>
      </c>
      <c r="N131" s="4">
        <v>0.71</v>
      </c>
      <c r="O131" s="4">
        <v>3172.28</v>
      </c>
      <c r="P131" s="4">
        <v>2148.21</v>
      </c>
      <c r="Q131" s="6">
        <f t="shared" ref="Q131:Q194" si="30">PMT(F131/100/12, G131, -E131)</f>
        <v>235.55555018927953</v>
      </c>
      <c r="R131" s="6">
        <f t="shared" si="23"/>
        <v>5569.3330113567717</v>
      </c>
      <c r="S131" s="4">
        <f t="shared" si="24"/>
        <v>12061.971830985916</v>
      </c>
      <c r="T131" s="4">
        <f t="shared" si="25"/>
        <v>3385.4166666666665</v>
      </c>
      <c r="U131" s="4">
        <f t="shared" si="26"/>
        <v>710.93749999999989</v>
      </c>
      <c r="V131" s="4">
        <f t="shared" ca="1" si="27"/>
        <v>28</v>
      </c>
      <c r="W131" s="20">
        <v>0</v>
      </c>
      <c r="X131" s="4">
        <f t="shared" si="28"/>
        <v>-3243.51</v>
      </c>
      <c r="Y131" s="13">
        <f t="shared" si="29"/>
        <v>-0.37873773937412425</v>
      </c>
    </row>
    <row r="132" spans="1:25" x14ac:dyDescent="0.3">
      <c r="A132" s="12" t="s">
        <v>305</v>
      </c>
      <c r="B132" s="7">
        <v>44386</v>
      </c>
      <c r="C132" s="4" t="s">
        <v>306</v>
      </c>
      <c r="D132" s="4" t="s">
        <v>18</v>
      </c>
      <c r="E132" s="4">
        <v>28345</v>
      </c>
      <c r="F132" s="4">
        <v>14.4</v>
      </c>
      <c r="G132" s="4">
        <v>36</v>
      </c>
      <c r="H132" s="4" t="s">
        <v>26</v>
      </c>
      <c r="I132" s="4" t="s">
        <v>57</v>
      </c>
      <c r="J132" s="4" t="s">
        <v>28</v>
      </c>
      <c r="K132" s="4">
        <v>97165</v>
      </c>
      <c r="L132" s="4" t="s">
        <v>29</v>
      </c>
      <c r="M132" s="4">
        <v>0.11</v>
      </c>
      <c r="N132" s="4">
        <v>0.78</v>
      </c>
      <c r="O132" s="4">
        <v>12054.06</v>
      </c>
      <c r="P132" s="4">
        <v>0</v>
      </c>
      <c r="Q132" s="6">
        <f t="shared" si="30"/>
        <v>974.28079061238543</v>
      </c>
      <c r="R132" s="6">
        <f t="shared" si="23"/>
        <v>6729.1084620458787</v>
      </c>
      <c r="S132" s="4">
        <f t="shared" si="24"/>
        <v>36339.743589743586</v>
      </c>
      <c r="T132" s="4">
        <f t="shared" si="25"/>
        <v>8097.083333333333</v>
      </c>
      <c r="U132" s="4">
        <f t="shared" si="26"/>
        <v>890.67916666666667</v>
      </c>
      <c r="V132" s="4">
        <f t="shared" ca="1" si="27"/>
        <v>56</v>
      </c>
      <c r="W132" s="20">
        <f ca="1">V132*Q132</f>
        <v>54559.724274293585</v>
      </c>
      <c r="X132" s="4">
        <f t="shared" si="28"/>
        <v>-16290.94</v>
      </c>
      <c r="Y132" s="13">
        <f t="shared" si="29"/>
        <v>-0.57473769624272364</v>
      </c>
    </row>
    <row r="133" spans="1:25" x14ac:dyDescent="0.3">
      <c r="A133" s="12" t="s">
        <v>307</v>
      </c>
      <c r="B133" s="7">
        <v>44829</v>
      </c>
      <c r="C133" s="4" t="s">
        <v>308</v>
      </c>
      <c r="D133" s="4" t="s">
        <v>50</v>
      </c>
      <c r="E133" s="4">
        <v>29687</v>
      </c>
      <c r="F133" s="4">
        <v>15</v>
      </c>
      <c r="G133" s="4">
        <v>60</v>
      </c>
      <c r="H133" s="4" t="s">
        <v>81</v>
      </c>
      <c r="I133" s="4" t="s">
        <v>57</v>
      </c>
      <c r="J133" s="4" t="s">
        <v>21</v>
      </c>
      <c r="K133" s="4">
        <v>106509</v>
      </c>
      <c r="L133" s="4" t="s">
        <v>29</v>
      </c>
      <c r="M133" s="4">
        <v>0.47</v>
      </c>
      <c r="N133" s="4">
        <v>0.72</v>
      </c>
      <c r="O133" s="4">
        <v>7898.5</v>
      </c>
      <c r="P133" s="4">
        <v>6839.85</v>
      </c>
      <c r="Q133" s="6">
        <f t="shared" si="30"/>
        <v>706.25165447373172</v>
      </c>
      <c r="R133" s="6">
        <f t="shared" si="23"/>
        <v>12688.099268423903</v>
      </c>
      <c r="S133" s="4">
        <f t="shared" si="24"/>
        <v>41231.944444444445</v>
      </c>
      <c r="T133" s="4">
        <f t="shared" si="25"/>
        <v>8875.75</v>
      </c>
      <c r="U133" s="4">
        <f t="shared" si="26"/>
        <v>4171.6025</v>
      </c>
      <c r="V133" s="4">
        <f t="shared" ca="1" si="27"/>
        <v>41</v>
      </c>
      <c r="W133" s="20">
        <v>0</v>
      </c>
      <c r="X133" s="4">
        <f t="shared" si="28"/>
        <v>-14948.65</v>
      </c>
      <c r="Y133" s="13">
        <f t="shared" si="29"/>
        <v>-0.50354195439081073</v>
      </c>
    </row>
    <row r="134" spans="1:25" x14ac:dyDescent="0.3">
      <c r="A134" s="12" t="s">
        <v>309</v>
      </c>
      <c r="B134" s="7">
        <v>44824</v>
      </c>
      <c r="C134" s="4" t="s">
        <v>310</v>
      </c>
      <c r="D134" s="4" t="s">
        <v>72</v>
      </c>
      <c r="E134" s="4">
        <v>14737</v>
      </c>
      <c r="F134" s="4">
        <v>7.5</v>
      </c>
      <c r="G134" s="4">
        <v>36</v>
      </c>
      <c r="H134" s="4" t="s">
        <v>19</v>
      </c>
      <c r="I134" s="4" t="s">
        <v>20</v>
      </c>
      <c r="J134" s="4" t="s">
        <v>21</v>
      </c>
      <c r="K134" s="4">
        <v>36859</v>
      </c>
      <c r="L134" s="4" t="s">
        <v>29</v>
      </c>
      <c r="M134" s="4">
        <v>0.19</v>
      </c>
      <c r="N134" s="4">
        <v>0.8</v>
      </c>
      <c r="O134" s="4">
        <v>15842.28</v>
      </c>
      <c r="P134" s="4">
        <v>0</v>
      </c>
      <c r="Q134" s="6">
        <f t="shared" si="30"/>
        <v>458.41233703359393</v>
      </c>
      <c r="R134" s="6">
        <f t="shared" si="23"/>
        <v>1765.8441332093826</v>
      </c>
      <c r="S134" s="4">
        <f t="shared" si="24"/>
        <v>18421.25</v>
      </c>
      <c r="T134" s="4">
        <f t="shared" si="25"/>
        <v>3071.5833333333335</v>
      </c>
      <c r="U134" s="4">
        <f t="shared" si="26"/>
        <v>583.60083333333341</v>
      </c>
      <c r="V134" s="4">
        <f t="shared" ca="1" si="27"/>
        <v>41</v>
      </c>
      <c r="W134" s="20">
        <f t="shared" ref="W134:W144" ca="1" si="31">V134*Q134</f>
        <v>18794.905818377352</v>
      </c>
      <c r="X134" s="4">
        <f t="shared" si="28"/>
        <v>1105.2800000000007</v>
      </c>
      <c r="Y134" s="13">
        <f t="shared" si="29"/>
        <v>7.5000339282079165E-2</v>
      </c>
    </row>
    <row r="135" spans="1:25" x14ac:dyDescent="0.3">
      <c r="A135" s="12" t="s">
        <v>311</v>
      </c>
      <c r="B135" s="7">
        <v>45169</v>
      </c>
      <c r="C135" s="4" t="s">
        <v>312</v>
      </c>
      <c r="D135" s="4" t="s">
        <v>56</v>
      </c>
      <c r="E135" s="4">
        <v>10323</v>
      </c>
      <c r="F135" s="4">
        <v>12.7</v>
      </c>
      <c r="G135" s="4">
        <v>60</v>
      </c>
      <c r="H135" s="4" t="s">
        <v>26</v>
      </c>
      <c r="I135" s="4" t="s">
        <v>20</v>
      </c>
      <c r="J135" s="4" t="s">
        <v>28</v>
      </c>
      <c r="K135" s="4">
        <v>71609</v>
      </c>
      <c r="L135" s="4" t="s">
        <v>33</v>
      </c>
      <c r="M135" s="4">
        <v>0.27</v>
      </c>
      <c r="N135" s="4">
        <v>0.6</v>
      </c>
      <c r="O135" s="4">
        <v>3378.2</v>
      </c>
      <c r="P135" s="4">
        <v>0</v>
      </c>
      <c r="Q135" s="6">
        <f t="shared" si="30"/>
        <v>233.29768562953925</v>
      </c>
      <c r="R135" s="6">
        <f t="shared" si="23"/>
        <v>3674.8611377723555</v>
      </c>
      <c r="S135" s="4">
        <f t="shared" si="24"/>
        <v>17205</v>
      </c>
      <c r="T135" s="4">
        <f t="shared" si="25"/>
        <v>5967.416666666667</v>
      </c>
      <c r="U135" s="4">
        <f t="shared" si="26"/>
        <v>1611.2025000000001</v>
      </c>
      <c r="V135" s="4">
        <f t="shared" ca="1" si="27"/>
        <v>30</v>
      </c>
      <c r="W135" s="20">
        <f t="shared" ca="1" si="31"/>
        <v>6998.9305688861778</v>
      </c>
      <c r="X135" s="4">
        <f t="shared" si="28"/>
        <v>-6944.8</v>
      </c>
      <c r="Y135" s="13">
        <f t="shared" si="29"/>
        <v>-0.67275016952436306</v>
      </c>
    </row>
    <row r="136" spans="1:25" x14ac:dyDescent="0.3">
      <c r="A136" s="12" t="s">
        <v>313</v>
      </c>
      <c r="B136" s="7">
        <v>44906</v>
      </c>
      <c r="C136" s="4" t="s">
        <v>314</v>
      </c>
      <c r="D136" s="4" t="s">
        <v>40</v>
      </c>
      <c r="E136" s="4">
        <v>16229</v>
      </c>
      <c r="F136" s="4">
        <v>17.899999999999999</v>
      </c>
      <c r="G136" s="4">
        <v>36</v>
      </c>
      <c r="H136" s="4" t="s">
        <v>315</v>
      </c>
      <c r="I136" s="4" t="s">
        <v>36</v>
      </c>
      <c r="J136" s="4" t="s">
        <v>28</v>
      </c>
      <c r="K136" s="4">
        <v>73307</v>
      </c>
      <c r="L136" s="4" t="s">
        <v>22</v>
      </c>
      <c r="M136" s="4">
        <v>0.1</v>
      </c>
      <c r="N136" s="4">
        <v>0.55000000000000004</v>
      </c>
      <c r="O136" s="4">
        <v>0</v>
      </c>
      <c r="P136" s="4">
        <v>0</v>
      </c>
      <c r="Q136" s="6">
        <f t="shared" si="30"/>
        <v>585.90342186565874</v>
      </c>
      <c r="R136" s="6">
        <f t="shared" si="23"/>
        <v>4863.5231871637152</v>
      </c>
      <c r="S136" s="4">
        <f t="shared" si="24"/>
        <v>29507.272727272724</v>
      </c>
      <c r="T136" s="4">
        <f t="shared" si="25"/>
        <v>6108.916666666667</v>
      </c>
      <c r="U136" s="4">
        <f t="shared" si="26"/>
        <v>610.89166666666677</v>
      </c>
      <c r="V136" s="4">
        <f t="shared" ca="1" si="27"/>
        <v>39</v>
      </c>
      <c r="W136" s="20">
        <f t="shared" ca="1" si="31"/>
        <v>22850.233452760691</v>
      </c>
      <c r="X136" s="4">
        <f t="shared" si="28"/>
        <v>-16229</v>
      </c>
      <c r="Y136" s="13">
        <f t="shared" si="29"/>
        <v>-1</v>
      </c>
    </row>
    <row r="137" spans="1:25" x14ac:dyDescent="0.3">
      <c r="A137" s="12" t="s">
        <v>316</v>
      </c>
      <c r="B137" s="7">
        <v>44845</v>
      </c>
      <c r="C137" s="4" t="s">
        <v>317</v>
      </c>
      <c r="D137" s="4" t="s">
        <v>50</v>
      </c>
      <c r="E137" s="4">
        <v>9502</v>
      </c>
      <c r="F137" s="4">
        <v>20.6</v>
      </c>
      <c r="G137" s="4">
        <v>60</v>
      </c>
      <c r="H137" s="4" t="s">
        <v>26</v>
      </c>
      <c r="I137" s="4" t="s">
        <v>20</v>
      </c>
      <c r="J137" s="4" t="s">
        <v>37</v>
      </c>
      <c r="K137" s="4">
        <v>140986</v>
      </c>
      <c r="L137" s="4" t="s">
        <v>33</v>
      </c>
      <c r="M137" s="4">
        <v>0.44</v>
      </c>
      <c r="N137" s="4">
        <v>0.77</v>
      </c>
      <c r="O137" s="4">
        <v>2503.27</v>
      </c>
      <c r="P137" s="4">
        <v>0</v>
      </c>
      <c r="Q137" s="6">
        <f t="shared" si="30"/>
        <v>254.92760361584743</v>
      </c>
      <c r="R137" s="6">
        <f t="shared" si="23"/>
        <v>5793.6562169508452</v>
      </c>
      <c r="S137" s="4">
        <f t="shared" si="24"/>
        <v>12340.25974025974</v>
      </c>
      <c r="T137" s="4">
        <f t="shared" si="25"/>
        <v>11748.833333333334</v>
      </c>
      <c r="U137" s="4">
        <f t="shared" si="26"/>
        <v>5169.4866666666667</v>
      </c>
      <c r="V137" s="4">
        <f t="shared" ca="1" si="27"/>
        <v>41</v>
      </c>
      <c r="W137" s="20">
        <f t="shared" ca="1" si="31"/>
        <v>10452.031748249745</v>
      </c>
      <c r="X137" s="4">
        <f t="shared" si="28"/>
        <v>-6998.73</v>
      </c>
      <c r="Y137" s="13">
        <f t="shared" si="29"/>
        <v>-0.73655335718796033</v>
      </c>
    </row>
    <row r="138" spans="1:25" x14ac:dyDescent="0.3">
      <c r="A138" s="12" t="s">
        <v>318</v>
      </c>
      <c r="B138" s="7">
        <v>44514</v>
      </c>
      <c r="C138" s="4" t="s">
        <v>319</v>
      </c>
      <c r="D138" s="4" t="s">
        <v>72</v>
      </c>
      <c r="E138" s="4">
        <v>1545</v>
      </c>
      <c r="F138" s="4">
        <v>9.3000000000000007</v>
      </c>
      <c r="G138" s="4">
        <v>36</v>
      </c>
      <c r="H138" s="4" t="s">
        <v>19</v>
      </c>
      <c r="I138" s="4" t="s">
        <v>57</v>
      </c>
      <c r="J138" s="4" t="s">
        <v>32</v>
      </c>
      <c r="K138" s="4">
        <v>131582</v>
      </c>
      <c r="L138" s="4" t="s">
        <v>22</v>
      </c>
      <c r="M138" s="4">
        <v>0.39</v>
      </c>
      <c r="N138" s="4">
        <v>0.72</v>
      </c>
      <c r="O138" s="4">
        <v>1688.68</v>
      </c>
      <c r="P138" s="4">
        <v>0</v>
      </c>
      <c r="Q138" s="6">
        <f t="shared" si="30"/>
        <v>49.346589887696737</v>
      </c>
      <c r="R138" s="6">
        <f t="shared" si="23"/>
        <v>231.47723595708248</v>
      </c>
      <c r="S138" s="4">
        <f t="shared" si="24"/>
        <v>2145.8333333333335</v>
      </c>
      <c r="T138" s="4">
        <f t="shared" si="25"/>
        <v>10965.166666666666</v>
      </c>
      <c r="U138" s="4">
        <f t="shared" si="26"/>
        <v>4276.415</v>
      </c>
      <c r="V138" s="4">
        <f t="shared" ca="1" si="27"/>
        <v>52</v>
      </c>
      <c r="W138" s="20">
        <f t="shared" ca="1" si="31"/>
        <v>2566.0226741602305</v>
      </c>
      <c r="X138" s="4">
        <f t="shared" si="28"/>
        <v>143.68000000000006</v>
      </c>
      <c r="Y138" s="13">
        <f t="shared" si="29"/>
        <v>9.299676375404535E-2</v>
      </c>
    </row>
    <row r="139" spans="1:25" x14ac:dyDescent="0.3">
      <c r="A139" s="12" t="s">
        <v>320</v>
      </c>
      <c r="B139" s="7">
        <v>44880</v>
      </c>
      <c r="C139" s="4" t="s">
        <v>321</v>
      </c>
      <c r="D139" s="4" t="s">
        <v>56</v>
      </c>
      <c r="E139" s="4">
        <v>38114</v>
      </c>
      <c r="F139" s="4">
        <v>7.8</v>
      </c>
      <c r="G139" s="4">
        <v>36</v>
      </c>
      <c r="H139" s="4" t="s">
        <v>19</v>
      </c>
      <c r="I139" s="4" t="s">
        <v>84</v>
      </c>
      <c r="J139" s="4" t="s">
        <v>28</v>
      </c>
      <c r="K139" s="4">
        <v>51839</v>
      </c>
      <c r="L139" s="4" t="s">
        <v>33</v>
      </c>
      <c r="M139" s="4">
        <v>0.48</v>
      </c>
      <c r="N139" s="4">
        <v>0.51</v>
      </c>
      <c r="O139" s="4">
        <v>41086.89</v>
      </c>
      <c r="P139" s="4">
        <v>0</v>
      </c>
      <c r="Q139" s="6">
        <f t="shared" si="30"/>
        <v>1190.8408101294717</v>
      </c>
      <c r="R139" s="6">
        <f t="shared" si="23"/>
        <v>4756.2691646609819</v>
      </c>
      <c r="S139" s="4">
        <f t="shared" si="24"/>
        <v>74733.333333333328</v>
      </c>
      <c r="T139" s="4">
        <f t="shared" si="25"/>
        <v>4319.916666666667</v>
      </c>
      <c r="U139" s="4">
        <f t="shared" si="26"/>
        <v>2073.56</v>
      </c>
      <c r="V139" s="4">
        <f t="shared" ca="1" si="27"/>
        <v>40</v>
      </c>
      <c r="W139" s="20">
        <f t="shared" ca="1" si="31"/>
        <v>47633.632405178869</v>
      </c>
      <c r="X139" s="4">
        <f t="shared" si="28"/>
        <v>2972.8899999999994</v>
      </c>
      <c r="Y139" s="13">
        <f t="shared" si="29"/>
        <v>7.7999947525843508E-2</v>
      </c>
    </row>
    <row r="140" spans="1:25" x14ac:dyDescent="0.3">
      <c r="A140" s="12" t="s">
        <v>322</v>
      </c>
      <c r="B140" s="7">
        <v>44860</v>
      </c>
      <c r="C140" s="4" t="s">
        <v>323</v>
      </c>
      <c r="D140" s="4" t="s">
        <v>65</v>
      </c>
      <c r="E140" s="4">
        <v>30430</v>
      </c>
      <c r="F140" s="4">
        <v>18.3</v>
      </c>
      <c r="G140" s="4">
        <v>60</v>
      </c>
      <c r="H140" s="4" t="s">
        <v>26</v>
      </c>
      <c r="I140" s="4" t="s">
        <v>36</v>
      </c>
      <c r="J140" s="4" t="s">
        <v>32</v>
      </c>
      <c r="K140" s="4">
        <v>57216</v>
      </c>
      <c r="L140" s="4" t="s">
        <v>22</v>
      </c>
      <c r="M140" s="4">
        <v>0.41</v>
      </c>
      <c r="N140" s="4">
        <v>0.67</v>
      </c>
      <c r="O140" s="4">
        <v>6884.79</v>
      </c>
      <c r="P140" s="4">
        <v>0</v>
      </c>
      <c r="Q140" s="6">
        <f t="shared" si="30"/>
        <v>777.69673505325306</v>
      </c>
      <c r="R140" s="6">
        <f t="shared" si="23"/>
        <v>16231.804103195187</v>
      </c>
      <c r="S140" s="4">
        <f t="shared" si="24"/>
        <v>45417.910447761191</v>
      </c>
      <c r="T140" s="4">
        <f t="shared" si="25"/>
        <v>4768</v>
      </c>
      <c r="U140" s="4">
        <f t="shared" si="26"/>
        <v>1954.8799999999999</v>
      </c>
      <c r="V140" s="4">
        <f t="shared" ca="1" si="27"/>
        <v>40</v>
      </c>
      <c r="W140" s="20">
        <f t="shared" ca="1" si="31"/>
        <v>31107.869402130123</v>
      </c>
      <c r="X140" s="4">
        <f t="shared" si="28"/>
        <v>-23545.21</v>
      </c>
      <c r="Y140" s="13">
        <f t="shared" si="29"/>
        <v>-0.77374991784423264</v>
      </c>
    </row>
    <row r="141" spans="1:25" x14ac:dyDescent="0.3">
      <c r="A141" s="12" t="s">
        <v>324</v>
      </c>
      <c r="B141" s="7">
        <v>44638</v>
      </c>
      <c r="C141" s="4" t="s">
        <v>325</v>
      </c>
      <c r="D141" s="4" t="s">
        <v>76</v>
      </c>
      <c r="E141" s="4">
        <v>10996</v>
      </c>
      <c r="F141" s="4">
        <v>5</v>
      </c>
      <c r="G141" s="4">
        <v>60</v>
      </c>
      <c r="H141" s="4" t="s">
        <v>19</v>
      </c>
      <c r="I141" s="4" t="s">
        <v>73</v>
      </c>
      <c r="J141" s="4" t="s">
        <v>47</v>
      </c>
      <c r="K141" s="4">
        <v>82953</v>
      </c>
      <c r="L141" s="4" t="s">
        <v>22</v>
      </c>
      <c r="M141" s="4">
        <v>0.23</v>
      </c>
      <c r="N141" s="4">
        <v>0.55000000000000004</v>
      </c>
      <c r="O141" s="4">
        <v>11545.8</v>
      </c>
      <c r="P141" s="4">
        <v>0</v>
      </c>
      <c r="Q141" s="6">
        <f t="shared" si="30"/>
        <v>207.50808514954423</v>
      </c>
      <c r="R141" s="6">
        <f t="shared" si="23"/>
        <v>1454.4851089726544</v>
      </c>
      <c r="S141" s="4">
        <f t="shared" si="24"/>
        <v>19992.727272727272</v>
      </c>
      <c r="T141" s="4">
        <f t="shared" si="25"/>
        <v>6912.75</v>
      </c>
      <c r="U141" s="4">
        <f t="shared" si="26"/>
        <v>1589.9325000000001</v>
      </c>
      <c r="V141" s="4">
        <f t="shared" ca="1" si="27"/>
        <v>48</v>
      </c>
      <c r="W141" s="20">
        <f t="shared" ca="1" si="31"/>
        <v>9960.3880871781221</v>
      </c>
      <c r="X141" s="4">
        <f t="shared" si="28"/>
        <v>549.79999999999927</v>
      </c>
      <c r="Y141" s="13">
        <f t="shared" si="29"/>
        <v>4.9999999999999933E-2</v>
      </c>
    </row>
    <row r="142" spans="1:25" x14ac:dyDescent="0.3">
      <c r="A142" s="12" t="s">
        <v>326</v>
      </c>
      <c r="B142" s="7">
        <v>44760</v>
      </c>
      <c r="C142" s="4" t="s">
        <v>327</v>
      </c>
      <c r="D142" s="4" t="s">
        <v>50</v>
      </c>
      <c r="E142" s="4">
        <v>28788</v>
      </c>
      <c r="F142" s="4">
        <v>8.6</v>
      </c>
      <c r="G142" s="4">
        <v>36</v>
      </c>
      <c r="H142" s="4" t="s">
        <v>60</v>
      </c>
      <c r="I142" s="4" t="s">
        <v>73</v>
      </c>
      <c r="J142" s="4" t="s">
        <v>21</v>
      </c>
      <c r="K142" s="4">
        <v>114481</v>
      </c>
      <c r="L142" s="4" t="s">
        <v>22</v>
      </c>
      <c r="M142" s="4">
        <v>0.2</v>
      </c>
      <c r="N142" s="4">
        <v>0.74</v>
      </c>
      <c r="O142" s="4">
        <v>0</v>
      </c>
      <c r="P142" s="4">
        <v>0</v>
      </c>
      <c r="Q142" s="6">
        <f t="shared" si="30"/>
        <v>910.1007993003243</v>
      </c>
      <c r="R142" s="6">
        <f t="shared" si="23"/>
        <v>3975.6287748116738</v>
      </c>
      <c r="S142" s="4">
        <f t="shared" si="24"/>
        <v>38902.7027027027</v>
      </c>
      <c r="T142" s="4">
        <f t="shared" si="25"/>
        <v>9540.0833333333339</v>
      </c>
      <c r="U142" s="4">
        <f t="shared" si="26"/>
        <v>1908.0166666666669</v>
      </c>
      <c r="V142" s="4">
        <f t="shared" ca="1" si="27"/>
        <v>44</v>
      </c>
      <c r="W142" s="20">
        <f t="shared" ca="1" si="31"/>
        <v>40044.435169214266</v>
      </c>
      <c r="X142" s="4">
        <f t="shared" si="28"/>
        <v>-28788</v>
      </c>
      <c r="Y142" s="13">
        <f t="shared" si="29"/>
        <v>-1</v>
      </c>
    </row>
    <row r="143" spans="1:25" x14ac:dyDescent="0.3">
      <c r="A143" s="12" t="s">
        <v>328</v>
      </c>
      <c r="B143" s="7">
        <v>45148</v>
      </c>
      <c r="C143" s="4" t="s">
        <v>329</v>
      </c>
      <c r="D143" s="4" t="s">
        <v>76</v>
      </c>
      <c r="E143" s="4">
        <v>30969</v>
      </c>
      <c r="F143" s="4">
        <v>5.6</v>
      </c>
      <c r="G143" s="4">
        <v>60</v>
      </c>
      <c r="H143" s="4" t="s">
        <v>19</v>
      </c>
      <c r="I143" s="4" t="s">
        <v>27</v>
      </c>
      <c r="J143" s="4" t="s">
        <v>37</v>
      </c>
      <c r="K143" s="4">
        <v>90593</v>
      </c>
      <c r="L143" s="4" t="s">
        <v>33</v>
      </c>
      <c r="M143" s="4">
        <v>0.38</v>
      </c>
      <c r="N143" s="4">
        <v>0.68</v>
      </c>
      <c r="O143" s="4">
        <v>32703.26</v>
      </c>
      <c r="P143" s="4">
        <v>0</v>
      </c>
      <c r="Q143" s="6">
        <f t="shared" si="30"/>
        <v>592.97438391272283</v>
      </c>
      <c r="R143" s="6">
        <f t="shared" si="23"/>
        <v>4609.463034763372</v>
      </c>
      <c r="S143" s="4">
        <f t="shared" si="24"/>
        <v>45542.647058823524</v>
      </c>
      <c r="T143" s="4">
        <f t="shared" si="25"/>
        <v>7549.416666666667</v>
      </c>
      <c r="U143" s="4">
        <f t="shared" si="26"/>
        <v>2868.7783333333336</v>
      </c>
      <c r="V143" s="4">
        <f t="shared" ca="1" si="27"/>
        <v>31</v>
      </c>
      <c r="W143" s="20">
        <f t="shared" ca="1" si="31"/>
        <v>18382.205901294408</v>
      </c>
      <c r="X143" s="4">
        <f t="shared" si="28"/>
        <v>1734.2599999999984</v>
      </c>
      <c r="Y143" s="13">
        <f t="shared" si="29"/>
        <v>5.5999870838580462E-2</v>
      </c>
    </row>
    <row r="144" spans="1:25" x14ac:dyDescent="0.3">
      <c r="A144" s="12" t="s">
        <v>330</v>
      </c>
      <c r="B144" s="7">
        <v>44895</v>
      </c>
      <c r="C144" s="4" t="s">
        <v>331</v>
      </c>
      <c r="D144" s="4" t="s">
        <v>56</v>
      </c>
      <c r="E144" s="4">
        <v>14919</v>
      </c>
      <c r="F144" s="4">
        <v>8.3000000000000007</v>
      </c>
      <c r="G144" s="4">
        <v>36</v>
      </c>
      <c r="H144" s="4" t="s">
        <v>19</v>
      </c>
      <c r="I144" s="4" t="s">
        <v>41</v>
      </c>
      <c r="J144" s="4" t="s">
        <v>21</v>
      </c>
      <c r="K144" s="4">
        <v>102075</v>
      </c>
      <c r="L144" s="4" t="s">
        <v>29</v>
      </c>
      <c r="M144" s="4">
        <v>0.25</v>
      </c>
      <c r="N144" s="4">
        <v>0.78</v>
      </c>
      <c r="O144" s="4">
        <v>16157.28</v>
      </c>
      <c r="P144" s="4">
        <v>0</v>
      </c>
      <c r="Q144" s="6">
        <f t="shared" si="30"/>
        <v>469.57471590024966</v>
      </c>
      <c r="R144" s="6">
        <f t="shared" si="23"/>
        <v>1985.6897724089868</v>
      </c>
      <c r="S144" s="4">
        <f t="shared" si="24"/>
        <v>19126.923076923078</v>
      </c>
      <c r="T144" s="4">
        <f t="shared" si="25"/>
        <v>8506.25</v>
      </c>
      <c r="U144" s="4">
        <f t="shared" si="26"/>
        <v>2126.5625</v>
      </c>
      <c r="V144" s="4">
        <f t="shared" ca="1" si="27"/>
        <v>39</v>
      </c>
      <c r="W144" s="20">
        <f t="shared" ca="1" si="31"/>
        <v>18313.413920109735</v>
      </c>
      <c r="X144" s="4">
        <f t="shared" si="28"/>
        <v>1238.2800000000007</v>
      </c>
      <c r="Y144" s="13">
        <f t="shared" si="29"/>
        <v>8.3000201085863715E-2</v>
      </c>
    </row>
    <row r="145" spans="1:25" x14ac:dyDescent="0.3">
      <c r="A145" s="12" t="s">
        <v>332</v>
      </c>
      <c r="B145" s="7">
        <v>44309</v>
      </c>
      <c r="C145" s="4" t="s">
        <v>333</v>
      </c>
      <c r="D145" s="4" t="s">
        <v>53</v>
      </c>
      <c r="E145" s="4">
        <v>4810</v>
      </c>
      <c r="F145" s="4">
        <v>8.6</v>
      </c>
      <c r="G145" s="4">
        <v>60</v>
      </c>
      <c r="H145" s="4" t="s">
        <v>81</v>
      </c>
      <c r="I145" s="4" t="s">
        <v>73</v>
      </c>
      <c r="J145" s="4" t="s">
        <v>37</v>
      </c>
      <c r="K145" s="4">
        <v>79522</v>
      </c>
      <c r="L145" s="4" t="s">
        <v>33</v>
      </c>
      <c r="M145" s="4">
        <v>0.33</v>
      </c>
      <c r="N145" s="4">
        <v>0.86</v>
      </c>
      <c r="O145" s="4">
        <v>1802.03</v>
      </c>
      <c r="P145" s="4">
        <v>798.06</v>
      </c>
      <c r="Q145" s="6">
        <f t="shared" si="30"/>
        <v>98.916501876891175</v>
      </c>
      <c r="R145" s="6">
        <f t="shared" si="23"/>
        <v>1124.99011261347</v>
      </c>
      <c r="S145" s="4">
        <f t="shared" si="24"/>
        <v>5593.0232558139533</v>
      </c>
      <c r="T145" s="4">
        <f t="shared" si="25"/>
        <v>6626.833333333333</v>
      </c>
      <c r="U145" s="4">
        <f t="shared" si="26"/>
        <v>2186.855</v>
      </c>
      <c r="V145" s="4">
        <f t="shared" ca="1" si="27"/>
        <v>58</v>
      </c>
      <c r="W145" s="20">
        <v>0</v>
      </c>
      <c r="X145" s="4">
        <f t="shared" si="28"/>
        <v>-2209.91</v>
      </c>
      <c r="Y145" s="13">
        <f t="shared" si="29"/>
        <v>-0.45944074844074839</v>
      </c>
    </row>
    <row r="146" spans="1:25" x14ac:dyDescent="0.3">
      <c r="A146" s="12" t="s">
        <v>334</v>
      </c>
      <c r="B146" s="7">
        <v>44198</v>
      </c>
      <c r="C146" s="4" t="s">
        <v>335</v>
      </c>
      <c r="D146" s="4" t="s">
        <v>40</v>
      </c>
      <c r="E146" s="4">
        <v>31586</v>
      </c>
      <c r="F146" s="4">
        <v>12.8</v>
      </c>
      <c r="G146" s="4">
        <v>60</v>
      </c>
      <c r="H146" s="4" t="s">
        <v>19</v>
      </c>
      <c r="I146" s="4" t="s">
        <v>73</v>
      </c>
      <c r="J146" s="4" t="s">
        <v>47</v>
      </c>
      <c r="K146" s="4">
        <v>129161</v>
      </c>
      <c r="L146" s="4" t="s">
        <v>33</v>
      </c>
      <c r="M146" s="4">
        <v>0.1</v>
      </c>
      <c r="N146" s="4">
        <v>0.63</v>
      </c>
      <c r="O146" s="4">
        <v>35629.01</v>
      </c>
      <c r="P146" s="4">
        <v>0</v>
      </c>
      <c r="Q146" s="6">
        <f t="shared" si="30"/>
        <v>715.44886973888799</v>
      </c>
      <c r="R146" s="6">
        <f t="shared" si="23"/>
        <v>11340.93218433328</v>
      </c>
      <c r="S146" s="4">
        <f t="shared" si="24"/>
        <v>50136.507936507936</v>
      </c>
      <c r="T146" s="4">
        <f t="shared" si="25"/>
        <v>10763.416666666666</v>
      </c>
      <c r="U146" s="4">
        <f t="shared" si="26"/>
        <v>1076.3416666666667</v>
      </c>
      <c r="V146" s="4">
        <f t="shared" ca="1" si="27"/>
        <v>62</v>
      </c>
      <c r="W146" s="20">
        <f t="shared" ref="W146:W173" ca="1" si="32">V146*Q146</f>
        <v>44357.829923811056</v>
      </c>
      <c r="X146" s="4">
        <f t="shared" si="28"/>
        <v>4043.010000000002</v>
      </c>
      <c r="Y146" s="13">
        <f t="shared" si="29"/>
        <v>0.12800006331919211</v>
      </c>
    </row>
    <row r="147" spans="1:25" x14ac:dyDescent="0.3">
      <c r="A147" s="12" t="s">
        <v>336</v>
      </c>
      <c r="B147" s="7">
        <v>44838</v>
      </c>
      <c r="C147" s="4" t="s">
        <v>337</v>
      </c>
      <c r="D147" s="4" t="s">
        <v>25</v>
      </c>
      <c r="E147" s="4">
        <v>17371</v>
      </c>
      <c r="F147" s="4">
        <v>13</v>
      </c>
      <c r="G147" s="4">
        <v>36</v>
      </c>
      <c r="H147" s="4" t="s">
        <v>19</v>
      </c>
      <c r="I147" s="4" t="s">
        <v>20</v>
      </c>
      <c r="J147" s="4" t="s">
        <v>21</v>
      </c>
      <c r="K147" s="4">
        <v>34886</v>
      </c>
      <c r="L147" s="4" t="s">
        <v>22</v>
      </c>
      <c r="M147" s="4">
        <v>0.12</v>
      </c>
      <c r="N147" s="4">
        <v>0.93</v>
      </c>
      <c r="O147" s="4">
        <v>19629.23</v>
      </c>
      <c r="P147" s="4">
        <v>0</v>
      </c>
      <c r="Q147" s="6">
        <f t="shared" si="30"/>
        <v>585.29764024918143</v>
      </c>
      <c r="R147" s="6">
        <f t="shared" si="23"/>
        <v>3699.7150489705309</v>
      </c>
      <c r="S147" s="4">
        <f t="shared" si="24"/>
        <v>18678.494623655912</v>
      </c>
      <c r="T147" s="4">
        <f t="shared" si="25"/>
        <v>2907.1666666666665</v>
      </c>
      <c r="U147" s="4">
        <f t="shared" si="26"/>
        <v>348.85999999999996</v>
      </c>
      <c r="V147" s="4">
        <f t="shared" ca="1" si="27"/>
        <v>41</v>
      </c>
      <c r="W147" s="20">
        <f t="shared" ca="1" si="32"/>
        <v>23997.20325021644</v>
      </c>
      <c r="X147" s="4">
        <f t="shared" si="28"/>
        <v>2258.2299999999996</v>
      </c>
      <c r="Y147" s="13">
        <f t="shared" si="29"/>
        <v>0.12999999999999998</v>
      </c>
    </row>
    <row r="148" spans="1:25" x14ac:dyDescent="0.3">
      <c r="A148" s="12" t="s">
        <v>338</v>
      </c>
      <c r="B148" s="7">
        <v>44416</v>
      </c>
      <c r="C148" s="4" t="s">
        <v>339</v>
      </c>
      <c r="D148" s="4" t="s">
        <v>72</v>
      </c>
      <c r="E148" s="4">
        <v>30629</v>
      </c>
      <c r="F148" s="4">
        <v>22.5</v>
      </c>
      <c r="G148" s="4">
        <v>60</v>
      </c>
      <c r="H148" s="4" t="s">
        <v>26</v>
      </c>
      <c r="I148" s="4" t="s">
        <v>20</v>
      </c>
      <c r="J148" s="4" t="s">
        <v>47</v>
      </c>
      <c r="K148" s="4">
        <v>141249</v>
      </c>
      <c r="L148" s="4" t="s">
        <v>22</v>
      </c>
      <c r="M148" s="4">
        <v>0.31</v>
      </c>
      <c r="N148" s="4">
        <v>0.74</v>
      </c>
      <c r="O148" s="4">
        <v>3262.78</v>
      </c>
      <c r="P148" s="4">
        <v>0</v>
      </c>
      <c r="Q148" s="6">
        <f t="shared" si="30"/>
        <v>854.66993490743039</v>
      </c>
      <c r="R148" s="6">
        <f t="shared" si="23"/>
        <v>20651.196094445826</v>
      </c>
      <c r="S148" s="4">
        <f t="shared" si="24"/>
        <v>41390.54054054054</v>
      </c>
      <c r="T148" s="4">
        <f t="shared" si="25"/>
        <v>11770.75</v>
      </c>
      <c r="U148" s="4">
        <f t="shared" si="26"/>
        <v>3648.9324999999999</v>
      </c>
      <c r="V148" s="4">
        <f t="shared" ca="1" si="27"/>
        <v>55</v>
      </c>
      <c r="W148" s="20">
        <f t="shared" ca="1" si="32"/>
        <v>47006.846419908674</v>
      </c>
      <c r="X148" s="4">
        <f t="shared" si="28"/>
        <v>-27366.22</v>
      </c>
      <c r="Y148" s="13">
        <f t="shared" si="29"/>
        <v>-0.89347415847726019</v>
      </c>
    </row>
    <row r="149" spans="1:25" x14ac:dyDescent="0.3">
      <c r="A149" s="12" t="s">
        <v>340</v>
      </c>
      <c r="B149" s="7">
        <v>45051</v>
      </c>
      <c r="C149" s="4" t="s">
        <v>341</v>
      </c>
      <c r="D149" s="4" t="s">
        <v>18</v>
      </c>
      <c r="E149" s="4">
        <v>9436</v>
      </c>
      <c r="F149" s="4">
        <v>15.2</v>
      </c>
      <c r="G149" s="4">
        <v>60</v>
      </c>
      <c r="H149" s="4" t="s">
        <v>26</v>
      </c>
      <c r="I149" s="4" t="s">
        <v>73</v>
      </c>
      <c r="J149" s="4" t="s">
        <v>37</v>
      </c>
      <c r="K149" s="4">
        <v>37485</v>
      </c>
      <c r="L149" s="4" t="s">
        <v>29</v>
      </c>
      <c r="M149" s="4">
        <v>0.33</v>
      </c>
      <c r="N149" s="4">
        <v>0.78</v>
      </c>
      <c r="O149" s="4">
        <v>2248.61</v>
      </c>
      <c r="P149" s="4">
        <v>0</v>
      </c>
      <c r="Q149" s="6">
        <f t="shared" si="30"/>
        <v>225.47361093852899</v>
      </c>
      <c r="R149" s="6">
        <f t="shared" si="23"/>
        <v>4092.4166563117396</v>
      </c>
      <c r="S149" s="4">
        <f t="shared" si="24"/>
        <v>12097.435897435897</v>
      </c>
      <c r="T149" s="4">
        <f t="shared" si="25"/>
        <v>3123.75</v>
      </c>
      <c r="U149" s="4">
        <f t="shared" si="26"/>
        <v>1030.8375000000001</v>
      </c>
      <c r="V149" s="4">
        <f t="shared" ca="1" si="27"/>
        <v>34</v>
      </c>
      <c r="W149" s="20">
        <f t="shared" ca="1" si="32"/>
        <v>7666.1027719099857</v>
      </c>
      <c r="X149" s="4">
        <f t="shared" si="28"/>
        <v>-7187.3899999999994</v>
      </c>
      <c r="Y149" s="13">
        <f t="shared" si="29"/>
        <v>-0.76169881305637976</v>
      </c>
    </row>
    <row r="150" spans="1:25" x14ac:dyDescent="0.3">
      <c r="A150" s="12" t="s">
        <v>342</v>
      </c>
      <c r="B150" s="7">
        <v>44581</v>
      </c>
      <c r="C150" s="4" t="s">
        <v>343</v>
      </c>
      <c r="D150" s="4" t="s">
        <v>46</v>
      </c>
      <c r="E150" s="4">
        <v>13984</v>
      </c>
      <c r="F150" s="4">
        <v>19.5</v>
      </c>
      <c r="G150" s="4">
        <v>36</v>
      </c>
      <c r="H150" s="4" t="s">
        <v>19</v>
      </c>
      <c r="I150" s="4" t="s">
        <v>36</v>
      </c>
      <c r="J150" s="4" t="s">
        <v>28</v>
      </c>
      <c r="K150" s="4">
        <v>61455</v>
      </c>
      <c r="L150" s="4" t="s">
        <v>29</v>
      </c>
      <c r="M150" s="4">
        <v>0.4</v>
      </c>
      <c r="N150" s="4">
        <v>0.81</v>
      </c>
      <c r="O150" s="4">
        <v>16710.88</v>
      </c>
      <c r="P150" s="4">
        <v>0</v>
      </c>
      <c r="Q150" s="6">
        <f t="shared" si="30"/>
        <v>516.13979747528867</v>
      </c>
      <c r="R150" s="6">
        <f t="shared" si="23"/>
        <v>4597.0327091103936</v>
      </c>
      <c r="S150" s="4">
        <f t="shared" si="24"/>
        <v>17264.197530864196</v>
      </c>
      <c r="T150" s="4">
        <f t="shared" si="25"/>
        <v>5121.25</v>
      </c>
      <c r="U150" s="4">
        <f t="shared" si="26"/>
        <v>2048.5</v>
      </c>
      <c r="V150" s="4">
        <f t="shared" ca="1" si="27"/>
        <v>49</v>
      </c>
      <c r="W150" s="20">
        <f t="shared" ca="1" si="32"/>
        <v>25290.850076289145</v>
      </c>
      <c r="X150" s="4">
        <f t="shared" si="28"/>
        <v>2726.880000000001</v>
      </c>
      <c r="Y150" s="13">
        <f t="shared" si="29"/>
        <v>0.19500000000000006</v>
      </c>
    </row>
    <row r="151" spans="1:25" x14ac:dyDescent="0.3">
      <c r="A151" s="12" t="s">
        <v>344</v>
      </c>
      <c r="B151" s="7">
        <v>45273</v>
      </c>
      <c r="C151" s="4" t="s">
        <v>345</v>
      </c>
      <c r="D151" s="4" t="s">
        <v>40</v>
      </c>
      <c r="E151" s="4">
        <v>34039</v>
      </c>
      <c r="F151" s="4">
        <v>7.1</v>
      </c>
      <c r="G151" s="4">
        <v>60</v>
      </c>
      <c r="H151" s="4" t="s">
        <v>60</v>
      </c>
      <c r="I151" s="4" t="s">
        <v>84</v>
      </c>
      <c r="J151" s="4" t="s">
        <v>21</v>
      </c>
      <c r="K151" s="4">
        <v>141984</v>
      </c>
      <c r="L151" s="4" t="s">
        <v>22</v>
      </c>
      <c r="M151" s="4">
        <v>0.15</v>
      </c>
      <c r="N151" s="4">
        <v>0.8</v>
      </c>
      <c r="O151" s="4">
        <v>0</v>
      </c>
      <c r="P151" s="4">
        <v>0</v>
      </c>
      <c r="Q151" s="6">
        <f t="shared" si="30"/>
        <v>675.62011992787586</v>
      </c>
      <c r="R151" s="6">
        <f t="shared" si="23"/>
        <v>6498.2071956725486</v>
      </c>
      <c r="S151" s="4">
        <f t="shared" si="24"/>
        <v>42548.75</v>
      </c>
      <c r="T151" s="4">
        <f t="shared" si="25"/>
        <v>11832</v>
      </c>
      <c r="U151" s="4">
        <f t="shared" si="26"/>
        <v>1774.8</v>
      </c>
      <c r="V151" s="4">
        <f t="shared" ca="1" si="27"/>
        <v>27</v>
      </c>
      <c r="W151" s="20">
        <f t="shared" ca="1" si="32"/>
        <v>18241.743238052648</v>
      </c>
      <c r="X151" s="4">
        <f t="shared" si="28"/>
        <v>-34039</v>
      </c>
      <c r="Y151" s="13">
        <f t="shared" si="29"/>
        <v>-1</v>
      </c>
    </row>
    <row r="152" spans="1:25" x14ac:dyDescent="0.3">
      <c r="A152" s="12" t="s">
        <v>346</v>
      </c>
      <c r="B152" s="7">
        <v>44926</v>
      </c>
      <c r="C152" s="4" t="s">
        <v>347</v>
      </c>
      <c r="D152" s="4" t="s">
        <v>25</v>
      </c>
      <c r="E152" s="4">
        <v>20895</v>
      </c>
      <c r="F152" s="4">
        <v>9.5</v>
      </c>
      <c r="G152" s="4">
        <v>36</v>
      </c>
      <c r="H152" s="4" t="s">
        <v>19</v>
      </c>
      <c r="I152" s="4" t="s">
        <v>41</v>
      </c>
      <c r="J152" s="4" t="s">
        <v>47</v>
      </c>
      <c r="K152" s="4">
        <v>46767</v>
      </c>
      <c r="L152" s="4" t="s">
        <v>29</v>
      </c>
      <c r="M152" s="4">
        <v>0.31</v>
      </c>
      <c r="N152" s="4">
        <v>0.73</v>
      </c>
      <c r="O152" s="4">
        <v>22880.02</v>
      </c>
      <c r="P152" s="4">
        <v>0</v>
      </c>
      <c r="Q152" s="6">
        <f t="shared" si="30"/>
        <v>669.3284848336333</v>
      </c>
      <c r="R152" s="6">
        <f t="shared" si="23"/>
        <v>3200.8254540107991</v>
      </c>
      <c r="S152" s="4">
        <f t="shared" si="24"/>
        <v>28623.287671232876</v>
      </c>
      <c r="T152" s="4">
        <f t="shared" si="25"/>
        <v>3897.25</v>
      </c>
      <c r="U152" s="4">
        <f t="shared" si="26"/>
        <v>1208.1475</v>
      </c>
      <c r="V152" s="4">
        <f t="shared" ca="1" si="27"/>
        <v>38</v>
      </c>
      <c r="W152" s="20">
        <f t="shared" ca="1" si="32"/>
        <v>25434.482423678066</v>
      </c>
      <c r="X152" s="4">
        <f t="shared" si="28"/>
        <v>1985.0200000000004</v>
      </c>
      <c r="Y152" s="13">
        <f t="shared" si="29"/>
        <v>9.4999760708303446E-2</v>
      </c>
    </row>
    <row r="153" spans="1:25" x14ac:dyDescent="0.3">
      <c r="A153" s="12" t="s">
        <v>348</v>
      </c>
      <c r="B153" s="7">
        <v>44443</v>
      </c>
      <c r="C153" s="4" t="s">
        <v>349</v>
      </c>
      <c r="D153" s="4" t="s">
        <v>46</v>
      </c>
      <c r="E153" s="4">
        <v>19155</v>
      </c>
      <c r="F153" s="4">
        <v>19.100000000000001</v>
      </c>
      <c r="G153" s="4">
        <v>36</v>
      </c>
      <c r="H153" s="4" t="s">
        <v>26</v>
      </c>
      <c r="I153" s="4" t="s">
        <v>73</v>
      </c>
      <c r="J153" s="4" t="s">
        <v>21</v>
      </c>
      <c r="K153" s="4">
        <v>142701</v>
      </c>
      <c r="L153" s="4" t="s">
        <v>29</v>
      </c>
      <c r="M153" s="4">
        <v>0.18</v>
      </c>
      <c r="N153" s="4">
        <v>0.69</v>
      </c>
      <c r="O153" s="4">
        <v>3927.79</v>
      </c>
      <c r="P153" s="4">
        <v>0</v>
      </c>
      <c r="Q153" s="6">
        <f t="shared" si="30"/>
        <v>703.11491160177798</v>
      </c>
      <c r="R153" s="6">
        <f t="shared" si="23"/>
        <v>6157.1368176640062</v>
      </c>
      <c r="S153" s="4">
        <f t="shared" si="24"/>
        <v>27760.869565217392</v>
      </c>
      <c r="T153" s="4">
        <f t="shared" si="25"/>
        <v>11891.75</v>
      </c>
      <c r="U153" s="4">
        <f t="shared" si="26"/>
        <v>2140.5149999999999</v>
      </c>
      <c r="V153" s="4">
        <f t="shared" ca="1" si="27"/>
        <v>54</v>
      </c>
      <c r="W153" s="20">
        <f t="shared" ca="1" si="32"/>
        <v>37968.205226496008</v>
      </c>
      <c r="X153" s="4">
        <f t="shared" si="28"/>
        <v>-15227.21</v>
      </c>
      <c r="Y153" s="13">
        <f t="shared" si="29"/>
        <v>-0.7949470112242234</v>
      </c>
    </row>
    <row r="154" spans="1:25" x14ac:dyDescent="0.3">
      <c r="A154" s="12" t="s">
        <v>350</v>
      </c>
      <c r="B154" s="7">
        <v>45032</v>
      </c>
      <c r="C154" s="4" t="s">
        <v>351</v>
      </c>
      <c r="D154" s="4" t="s">
        <v>50</v>
      </c>
      <c r="E154" s="4">
        <v>11616</v>
      </c>
      <c r="F154" s="4">
        <v>6.1</v>
      </c>
      <c r="G154" s="4">
        <v>36</v>
      </c>
      <c r="H154" s="4" t="s">
        <v>19</v>
      </c>
      <c r="I154" s="4" t="s">
        <v>84</v>
      </c>
      <c r="J154" s="4" t="s">
        <v>21</v>
      </c>
      <c r="K154" s="4">
        <v>58453</v>
      </c>
      <c r="L154" s="4" t="s">
        <v>22</v>
      </c>
      <c r="M154" s="4">
        <v>0.14000000000000001</v>
      </c>
      <c r="N154" s="4">
        <v>0.52</v>
      </c>
      <c r="O154" s="4">
        <v>12324.58</v>
      </c>
      <c r="P154" s="4">
        <v>0</v>
      </c>
      <c r="Q154" s="6">
        <f t="shared" si="30"/>
        <v>353.9077873245451</v>
      </c>
      <c r="R154" s="6">
        <f t="shared" si="23"/>
        <v>1124.6803436836235</v>
      </c>
      <c r="S154" s="4">
        <f t="shared" si="24"/>
        <v>22338.461538461539</v>
      </c>
      <c r="T154" s="4">
        <f t="shared" si="25"/>
        <v>4871.083333333333</v>
      </c>
      <c r="U154" s="4">
        <f t="shared" si="26"/>
        <v>681.95166666666671</v>
      </c>
      <c r="V154" s="4">
        <f t="shared" ca="1" si="27"/>
        <v>35</v>
      </c>
      <c r="W154" s="20">
        <f t="shared" ca="1" si="32"/>
        <v>12386.772556359079</v>
      </c>
      <c r="X154" s="4">
        <f t="shared" si="28"/>
        <v>708.57999999999993</v>
      </c>
      <c r="Y154" s="13">
        <f t="shared" si="29"/>
        <v>6.1000344352617072E-2</v>
      </c>
    </row>
    <row r="155" spans="1:25" x14ac:dyDescent="0.3">
      <c r="A155" s="12" t="s">
        <v>352</v>
      </c>
      <c r="B155" s="7">
        <v>44399</v>
      </c>
      <c r="C155" s="4" t="s">
        <v>353</v>
      </c>
      <c r="D155" s="4" t="s">
        <v>46</v>
      </c>
      <c r="E155" s="4">
        <v>38129</v>
      </c>
      <c r="F155" s="4">
        <v>14.7</v>
      </c>
      <c r="G155" s="4">
        <v>36</v>
      </c>
      <c r="H155" s="4" t="s">
        <v>26</v>
      </c>
      <c r="I155" s="4" t="s">
        <v>84</v>
      </c>
      <c r="J155" s="4" t="s">
        <v>21</v>
      </c>
      <c r="K155" s="4">
        <v>106280</v>
      </c>
      <c r="L155" s="4" t="s">
        <v>33</v>
      </c>
      <c r="M155" s="4">
        <v>0.26</v>
      </c>
      <c r="N155" s="4">
        <v>0.51</v>
      </c>
      <c r="O155" s="4">
        <v>10453.74</v>
      </c>
      <c r="P155" s="4">
        <v>0</v>
      </c>
      <c r="Q155" s="6">
        <f t="shared" si="30"/>
        <v>1316.1596067023211</v>
      </c>
      <c r="R155" s="6">
        <f t="shared" si="23"/>
        <v>9252.7458412835549</v>
      </c>
      <c r="S155" s="4">
        <f t="shared" si="24"/>
        <v>74762.745098039217</v>
      </c>
      <c r="T155" s="4">
        <f t="shared" si="25"/>
        <v>8856.6666666666661</v>
      </c>
      <c r="U155" s="4">
        <f t="shared" si="26"/>
        <v>2302.7333333333331</v>
      </c>
      <c r="V155" s="4">
        <f t="shared" ca="1" si="27"/>
        <v>55</v>
      </c>
      <c r="W155" s="20">
        <f t="shared" ca="1" si="32"/>
        <v>72388.778368627653</v>
      </c>
      <c r="X155" s="4">
        <f t="shared" si="28"/>
        <v>-27675.260000000002</v>
      </c>
      <c r="Y155" s="13">
        <f t="shared" si="29"/>
        <v>-0.72583230611870231</v>
      </c>
    </row>
    <row r="156" spans="1:25" x14ac:dyDescent="0.3">
      <c r="A156" s="12" t="s">
        <v>354</v>
      </c>
      <c r="B156" s="7">
        <v>44319</v>
      </c>
      <c r="C156" s="4" t="s">
        <v>355</v>
      </c>
      <c r="D156" s="4" t="s">
        <v>65</v>
      </c>
      <c r="E156" s="4">
        <v>25574</v>
      </c>
      <c r="F156" s="4">
        <v>17</v>
      </c>
      <c r="G156" s="4">
        <v>36</v>
      </c>
      <c r="H156" s="4" t="s">
        <v>19</v>
      </c>
      <c r="I156" s="4" t="s">
        <v>27</v>
      </c>
      <c r="J156" s="4" t="s">
        <v>32</v>
      </c>
      <c r="K156" s="4">
        <v>132638</v>
      </c>
      <c r="L156" s="4" t="s">
        <v>29</v>
      </c>
      <c r="M156" s="4">
        <v>0.17</v>
      </c>
      <c r="N156" s="4">
        <v>0.66</v>
      </c>
      <c r="O156" s="4">
        <v>29921.58</v>
      </c>
      <c r="P156" s="4">
        <v>0</v>
      </c>
      <c r="Q156" s="6">
        <f t="shared" si="30"/>
        <v>911.78285376896838</v>
      </c>
      <c r="R156" s="6">
        <f t="shared" si="23"/>
        <v>7250.182735682858</v>
      </c>
      <c r="S156" s="4">
        <f t="shared" si="24"/>
        <v>38748.484848484848</v>
      </c>
      <c r="T156" s="4">
        <f t="shared" si="25"/>
        <v>11053.166666666666</v>
      </c>
      <c r="U156" s="4">
        <f t="shared" si="26"/>
        <v>1879.0383333333334</v>
      </c>
      <c r="V156" s="4">
        <f t="shared" ca="1" si="27"/>
        <v>58</v>
      </c>
      <c r="W156" s="20">
        <f t="shared" ca="1" si="32"/>
        <v>52883.405518600164</v>
      </c>
      <c r="X156" s="4">
        <f t="shared" si="28"/>
        <v>4347.5800000000017</v>
      </c>
      <c r="Y156" s="13">
        <f t="shared" si="29"/>
        <v>0.17000000000000007</v>
      </c>
    </row>
    <row r="157" spans="1:25" x14ac:dyDescent="0.3">
      <c r="A157" s="12" t="s">
        <v>356</v>
      </c>
      <c r="B157" s="7">
        <v>44597</v>
      </c>
      <c r="C157" s="4" t="s">
        <v>357</v>
      </c>
      <c r="D157" s="4" t="s">
        <v>40</v>
      </c>
      <c r="E157" s="4">
        <v>4430</v>
      </c>
      <c r="F157" s="4">
        <v>17</v>
      </c>
      <c r="G157" s="4">
        <v>60</v>
      </c>
      <c r="H157" s="4" t="s">
        <v>19</v>
      </c>
      <c r="I157" s="4" t="s">
        <v>57</v>
      </c>
      <c r="J157" s="4" t="s">
        <v>47</v>
      </c>
      <c r="K157" s="4">
        <v>83442</v>
      </c>
      <c r="L157" s="4" t="s">
        <v>22</v>
      </c>
      <c r="M157" s="4">
        <v>0.19</v>
      </c>
      <c r="N157" s="4">
        <v>0.65</v>
      </c>
      <c r="O157" s="4">
        <v>5183.1000000000004</v>
      </c>
      <c r="P157" s="4">
        <v>0</v>
      </c>
      <c r="Q157" s="6">
        <f t="shared" si="30"/>
        <v>110.0969106483893</v>
      </c>
      <c r="R157" s="6">
        <f t="shared" si="23"/>
        <v>2175.8146389033582</v>
      </c>
      <c r="S157" s="4">
        <f t="shared" si="24"/>
        <v>6815.3846153846152</v>
      </c>
      <c r="T157" s="4">
        <f t="shared" si="25"/>
        <v>6953.5</v>
      </c>
      <c r="U157" s="4">
        <f t="shared" si="26"/>
        <v>1321.165</v>
      </c>
      <c r="V157" s="4">
        <f t="shared" ca="1" si="27"/>
        <v>49</v>
      </c>
      <c r="W157" s="20">
        <f t="shared" ca="1" si="32"/>
        <v>5394.7486217710757</v>
      </c>
      <c r="X157" s="4">
        <f t="shared" si="28"/>
        <v>753.10000000000036</v>
      </c>
      <c r="Y157" s="13">
        <f t="shared" si="29"/>
        <v>0.1700000000000001</v>
      </c>
    </row>
    <row r="158" spans="1:25" x14ac:dyDescent="0.3">
      <c r="A158" s="12" t="s">
        <v>358</v>
      </c>
      <c r="B158" s="7">
        <v>44963</v>
      </c>
      <c r="C158" s="4" t="s">
        <v>359</v>
      </c>
      <c r="D158" s="4" t="s">
        <v>76</v>
      </c>
      <c r="E158" s="4">
        <v>13676</v>
      </c>
      <c r="F158" s="4">
        <v>5.5</v>
      </c>
      <c r="G158" s="4">
        <v>36</v>
      </c>
      <c r="H158" s="4" t="s">
        <v>19</v>
      </c>
      <c r="I158" s="4" t="s">
        <v>73</v>
      </c>
      <c r="J158" s="4" t="s">
        <v>47</v>
      </c>
      <c r="K158" s="4">
        <v>81877</v>
      </c>
      <c r="L158" s="4" t="s">
        <v>29</v>
      </c>
      <c r="M158" s="4">
        <v>0.23</v>
      </c>
      <c r="N158" s="4">
        <v>0.67</v>
      </c>
      <c r="O158" s="4">
        <v>14428.18</v>
      </c>
      <c r="P158" s="4">
        <v>0</v>
      </c>
      <c r="Q158" s="6">
        <f t="shared" si="30"/>
        <v>412.95915307574745</v>
      </c>
      <c r="R158" s="6">
        <f t="shared" si="23"/>
        <v>1190.5295107269085</v>
      </c>
      <c r="S158" s="4">
        <f t="shared" si="24"/>
        <v>20411.940298507463</v>
      </c>
      <c r="T158" s="4">
        <f t="shared" si="25"/>
        <v>6823.083333333333</v>
      </c>
      <c r="U158" s="4">
        <f t="shared" si="26"/>
        <v>1569.3091666666667</v>
      </c>
      <c r="V158" s="4">
        <f t="shared" ca="1" si="27"/>
        <v>37</v>
      </c>
      <c r="W158" s="20">
        <f t="shared" ca="1" si="32"/>
        <v>15279.488663802656</v>
      </c>
      <c r="X158" s="4">
        <f t="shared" si="28"/>
        <v>752.18000000000029</v>
      </c>
      <c r="Y158" s="13">
        <f t="shared" si="29"/>
        <v>5.5000000000000021E-2</v>
      </c>
    </row>
    <row r="159" spans="1:25" x14ac:dyDescent="0.3">
      <c r="A159" s="12" t="s">
        <v>360</v>
      </c>
      <c r="B159" s="7">
        <v>44490</v>
      </c>
      <c r="C159" s="4" t="s">
        <v>361</v>
      </c>
      <c r="D159" s="4" t="s">
        <v>53</v>
      </c>
      <c r="E159" s="4">
        <v>11816</v>
      </c>
      <c r="F159" s="4">
        <v>11.4</v>
      </c>
      <c r="G159" s="4">
        <v>36</v>
      </c>
      <c r="H159" s="4" t="s">
        <v>26</v>
      </c>
      <c r="I159" s="4" t="s">
        <v>84</v>
      </c>
      <c r="J159" s="4" t="s">
        <v>21</v>
      </c>
      <c r="K159" s="4">
        <v>42226</v>
      </c>
      <c r="L159" s="4" t="s">
        <v>29</v>
      </c>
      <c r="M159" s="4">
        <v>0.2</v>
      </c>
      <c r="N159" s="4">
        <v>0.56000000000000005</v>
      </c>
      <c r="O159" s="4">
        <v>3024.12</v>
      </c>
      <c r="P159" s="4">
        <v>0</v>
      </c>
      <c r="Q159" s="6">
        <f t="shared" si="30"/>
        <v>389.08277069764955</v>
      </c>
      <c r="R159" s="6">
        <f t="shared" si="23"/>
        <v>2190.9797451153845</v>
      </c>
      <c r="S159" s="4">
        <f t="shared" si="24"/>
        <v>21099.999999999996</v>
      </c>
      <c r="T159" s="4">
        <f t="shared" si="25"/>
        <v>3518.8333333333335</v>
      </c>
      <c r="U159" s="4">
        <f t="shared" si="26"/>
        <v>703.76666666666677</v>
      </c>
      <c r="V159" s="4">
        <f t="shared" ca="1" si="27"/>
        <v>52</v>
      </c>
      <c r="W159" s="20">
        <f t="shared" ca="1" si="32"/>
        <v>20232.304076277778</v>
      </c>
      <c r="X159" s="4">
        <f t="shared" si="28"/>
        <v>-8791.880000000001</v>
      </c>
      <c r="Y159" s="13">
        <f t="shared" si="29"/>
        <v>-0.74406567366283016</v>
      </c>
    </row>
    <row r="160" spans="1:25" x14ac:dyDescent="0.3">
      <c r="A160" s="12" t="s">
        <v>362</v>
      </c>
      <c r="B160" s="7">
        <v>44476</v>
      </c>
      <c r="C160" s="4" t="s">
        <v>363</v>
      </c>
      <c r="D160" s="4" t="s">
        <v>18</v>
      </c>
      <c r="E160" s="4">
        <v>33733</v>
      </c>
      <c r="F160" s="4">
        <v>17.7</v>
      </c>
      <c r="G160" s="4">
        <v>60</v>
      </c>
      <c r="H160" s="4" t="s">
        <v>19</v>
      </c>
      <c r="I160" s="4" t="s">
        <v>57</v>
      </c>
      <c r="J160" s="4" t="s">
        <v>28</v>
      </c>
      <c r="K160" s="4">
        <v>123405</v>
      </c>
      <c r="L160" s="4" t="s">
        <v>22</v>
      </c>
      <c r="M160" s="4">
        <v>0.14000000000000001</v>
      </c>
      <c r="N160" s="4">
        <v>0.83</v>
      </c>
      <c r="O160" s="4">
        <v>39703.74</v>
      </c>
      <c r="P160" s="4">
        <v>0</v>
      </c>
      <c r="Q160" s="6">
        <f t="shared" si="30"/>
        <v>851.10081223622603</v>
      </c>
      <c r="R160" s="6">
        <f t="shared" si="23"/>
        <v>17333.048734173564</v>
      </c>
      <c r="S160" s="4">
        <f t="shared" si="24"/>
        <v>40642.168674698798</v>
      </c>
      <c r="T160" s="4">
        <f t="shared" si="25"/>
        <v>10283.75</v>
      </c>
      <c r="U160" s="4">
        <f t="shared" si="26"/>
        <v>1439.7250000000001</v>
      </c>
      <c r="V160" s="4">
        <f t="shared" ca="1" si="27"/>
        <v>53</v>
      </c>
      <c r="W160" s="20">
        <f t="shared" ca="1" si="32"/>
        <v>45108.343048519979</v>
      </c>
      <c r="X160" s="4">
        <f t="shared" si="28"/>
        <v>5970.739999999998</v>
      </c>
      <c r="Y160" s="13">
        <f t="shared" si="29"/>
        <v>0.17699997035543824</v>
      </c>
    </row>
    <row r="161" spans="1:25" x14ac:dyDescent="0.3">
      <c r="A161" s="12" t="s">
        <v>364</v>
      </c>
      <c r="B161" s="7">
        <v>45080</v>
      </c>
      <c r="C161" s="4" t="s">
        <v>365</v>
      </c>
      <c r="D161" s="4" t="s">
        <v>76</v>
      </c>
      <c r="E161" s="4">
        <v>21144</v>
      </c>
      <c r="F161" s="4">
        <v>8</v>
      </c>
      <c r="G161" s="4">
        <v>60</v>
      </c>
      <c r="H161" s="4" t="s">
        <v>26</v>
      </c>
      <c r="I161" s="4" t="s">
        <v>36</v>
      </c>
      <c r="J161" s="4" t="s">
        <v>21</v>
      </c>
      <c r="K161" s="4">
        <v>52588</v>
      </c>
      <c r="L161" s="4" t="s">
        <v>29</v>
      </c>
      <c r="M161" s="4">
        <v>0.14000000000000001</v>
      </c>
      <c r="N161" s="4">
        <v>0.89</v>
      </c>
      <c r="O161" s="4">
        <v>5994.33</v>
      </c>
      <c r="P161" s="4">
        <v>0</v>
      </c>
      <c r="Q161" s="6">
        <f t="shared" si="30"/>
        <v>428.72408083421885</v>
      </c>
      <c r="R161" s="6">
        <f t="shared" si="23"/>
        <v>4579.4448500531325</v>
      </c>
      <c r="S161" s="4">
        <f t="shared" si="24"/>
        <v>23757.303370786518</v>
      </c>
      <c r="T161" s="4">
        <f t="shared" si="25"/>
        <v>4382.333333333333</v>
      </c>
      <c r="U161" s="4">
        <f t="shared" si="26"/>
        <v>613.52666666666664</v>
      </c>
      <c r="V161" s="4">
        <f t="shared" ca="1" si="27"/>
        <v>33</v>
      </c>
      <c r="W161" s="20">
        <f t="shared" ca="1" si="32"/>
        <v>14147.894667529223</v>
      </c>
      <c r="X161" s="4">
        <f t="shared" si="28"/>
        <v>-15149.67</v>
      </c>
      <c r="Y161" s="13">
        <f t="shared" si="29"/>
        <v>-0.71649971623155506</v>
      </c>
    </row>
    <row r="162" spans="1:25" x14ac:dyDescent="0.3">
      <c r="A162" s="12" t="s">
        <v>366</v>
      </c>
      <c r="B162" s="7">
        <v>44394</v>
      </c>
      <c r="C162" s="4" t="s">
        <v>367</v>
      </c>
      <c r="D162" s="4" t="s">
        <v>25</v>
      </c>
      <c r="E162" s="4">
        <v>3050</v>
      </c>
      <c r="F162" s="4">
        <v>18.899999999999999</v>
      </c>
      <c r="G162" s="4">
        <v>60</v>
      </c>
      <c r="H162" s="4" t="s">
        <v>26</v>
      </c>
      <c r="I162" s="4" t="s">
        <v>20</v>
      </c>
      <c r="J162" s="4" t="s">
        <v>32</v>
      </c>
      <c r="K162" s="4">
        <v>108976</v>
      </c>
      <c r="L162" s="4" t="s">
        <v>29</v>
      </c>
      <c r="M162" s="4">
        <v>0.18</v>
      </c>
      <c r="N162" s="4">
        <v>0.92</v>
      </c>
      <c r="O162" s="4">
        <v>344.54</v>
      </c>
      <c r="P162" s="4">
        <v>0</v>
      </c>
      <c r="Q162" s="6">
        <f t="shared" si="30"/>
        <v>78.950952852293611</v>
      </c>
      <c r="R162" s="6">
        <f t="shared" si="23"/>
        <v>1687.0571711376169</v>
      </c>
      <c r="S162" s="4">
        <f t="shared" si="24"/>
        <v>3315.2173913043475</v>
      </c>
      <c r="T162" s="4">
        <f t="shared" si="25"/>
        <v>9081.3333333333339</v>
      </c>
      <c r="U162" s="4">
        <f t="shared" si="26"/>
        <v>1634.64</v>
      </c>
      <c r="V162" s="4">
        <f t="shared" ca="1" si="27"/>
        <v>56</v>
      </c>
      <c r="W162" s="20">
        <f t="shared" ca="1" si="32"/>
        <v>4421.2533597284419</v>
      </c>
      <c r="X162" s="4">
        <f t="shared" si="28"/>
        <v>-2705.46</v>
      </c>
      <c r="Y162" s="13">
        <f t="shared" si="29"/>
        <v>-0.88703606557377046</v>
      </c>
    </row>
    <row r="163" spans="1:25" x14ac:dyDescent="0.3">
      <c r="A163" s="12" t="s">
        <v>368</v>
      </c>
      <c r="B163" s="7">
        <v>45178</v>
      </c>
      <c r="C163" s="4" t="s">
        <v>369</v>
      </c>
      <c r="D163" s="4" t="s">
        <v>40</v>
      </c>
      <c r="E163" s="4">
        <v>34933</v>
      </c>
      <c r="F163" s="4">
        <v>19.899999999999999</v>
      </c>
      <c r="G163" s="4">
        <v>36</v>
      </c>
      <c r="H163" s="4" t="s">
        <v>19</v>
      </c>
      <c r="I163" s="4" t="s">
        <v>27</v>
      </c>
      <c r="J163" s="4" t="s">
        <v>37</v>
      </c>
      <c r="K163" s="4">
        <v>61709</v>
      </c>
      <c r="L163" s="4" t="s">
        <v>29</v>
      </c>
      <c r="M163" s="4">
        <v>0.12</v>
      </c>
      <c r="N163" s="4">
        <v>0.72</v>
      </c>
      <c r="O163" s="4">
        <v>41884.67</v>
      </c>
      <c r="P163" s="4">
        <v>0</v>
      </c>
      <c r="Q163" s="6">
        <f t="shared" si="30"/>
        <v>1296.4562126642586</v>
      </c>
      <c r="R163" s="6">
        <f t="shared" si="23"/>
        <v>11739.423655913313</v>
      </c>
      <c r="S163" s="4">
        <f t="shared" si="24"/>
        <v>48518.055555555555</v>
      </c>
      <c r="T163" s="4">
        <f t="shared" si="25"/>
        <v>5142.416666666667</v>
      </c>
      <c r="U163" s="4">
        <f t="shared" si="26"/>
        <v>617.09</v>
      </c>
      <c r="V163" s="4">
        <f t="shared" ca="1" si="27"/>
        <v>30</v>
      </c>
      <c r="W163" s="20">
        <f t="shared" ca="1" si="32"/>
        <v>38893.686379927756</v>
      </c>
      <c r="X163" s="4">
        <f t="shared" si="28"/>
        <v>6951.6699999999983</v>
      </c>
      <c r="Y163" s="13">
        <f t="shared" si="29"/>
        <v>0.19900008587868201</v>
      </c>
    </row>
    <row r="164" spans="1:25" x14ac:dyDescent="0.3">
      <c r="A164" s="12" t="s">
        <v>370</v>
      </c>
      <c r="B164" s="7">
        <v>44948</v>
      </c>
      <c r="C164" s="4" t="s">
        <v>371</v>
      </c>
      <c r="D164" s="4" t="s">
        <v>53</v>
      </c>
      <c r="E164" s="4">
        <v>25951</v>
      </c>
      <c r="F164" s="4">
        <v>24.6</v>
      </c>
      <c r="G164" s="4">
        <v>36</v>
      </c>
      <c r="H164" s="4" t="s">
        <v>19</v>
      </c>
      <c r="I164" s="4" t="s">
        <v>27</v>
      </c>
      <c r="J164" s="4" t="s">
        <v>32</v>
      </c>
      <c r="K164" s="4">
        <v>77788</v>
      </c>
      <c r="L164" s="4" t="s">
        <v>33</v>
      </c>
      <c r="M164" s="4">
        <v>0.35</v>
      </c>
      <c r="N164" s="4">
        <v>0.82</v>
      </c>
      <c r="O164" s="4">
        <v>32334.95</v>
      </c>
      <c r="P164" s="4">
        <v>0</v>
      </c>
      <c r="Q164" s="6">
        <f t="shared" si="30"/>
        <v>1026.3251174684822</v>
      </c>
      <c r="R164" s="6">
        <f t="shared" si="23"/>
        <v>10996.704228865361</v>
      </c>
      <c r="S164" s="4">
        <f t="shared" si="24"/>
        <v>31647.560975609758</v>
      </c>
      <c r="T164" s="4">
        <f t="shared" si="25"/>
        <v>6482.333333333333</v>
      </c>
      <c r="U164" s="4">
        <f t="shared" si="26"/>
        <v>2268.8166666666666</v>
      </c>
      <c r="V164" s="4">
        <f t="shared" ca="1" si="27"/>
        <v>37</v>
      </c>
      <c r="W164" s="20">
        <f t="shared" ca="1" si="32"/>
        <v>37974.029346333838</v>
      </c>
      <c r="X164" s="4">
        <f t="shared" si="28"/>
        <v>6383.9500000000007</v>
      </c>
      <c r="Y164" s="13">
        <f t="shared" si="29"/>
        <v>0.24600015413664217</v>
      </c>
    </row>
    <row r="165" spans="1:25" x14ac:dyDescent="0.3">
      <c r="A165" s="12" t="s">
        <v>372</v>
      </c>
      <c r="B165" s="7">
        <v>44340</v>
      </c>
      <c r="C165" s="4" t="s">
        <v>373</v>
      </c>
      <c r="D165" s="4" t="s">
        <v>46</v>
      </c>
      <c r="E165" s="4">
        <v>33413</v>
      </c>
      <c r="F165" s="4">
        <v>9.1999999999999993</v>
      </c>
      <c r="G165" s="4">
        <v>36</v>
      </c>
      <c r="H165" s="4" t="s">
        <v>19</v>
      </c>
      <c r="I165" s="4" t="s">
        <v>27</v>
      </c>
      <c r="J165" s="4" t="s">
        <v>28</v>
      </c>
      <c r="K165" s="4">
        <v>118031</v>
      </c>
      <c r="L165" s="4" t="s">
        <v>33</v>
      </c>
      <c r="M165" s="4">
        <v>0.21</v>
      </c>
      <c r="N165" s="4">
        <v>0.88</v>
      </c>
      <c r="O165" s="4">
        <v>36487</v>
      </c>
      <c r="P165" s="4">
        <v>0</v>
      </c>
      <c r="Q165" s="6">
        <f t="shared" si="30"/>
        <v>1065.6373658718728</v>
      </c>
      <c r="R165" s="6">
        <f t="shared" si="23"/>
        <v>4949.9451713874223</v>
      </c>
      <c r="S165" s="4">
        <f t="shared" si="24"/>
        <v>37969.318181818184</v>
      </c>
      <c r="T165" s="4">
        <f t="shared" si="25"/>
        <v>9835.9166666666661</v>
      </c>
      <c r="U165" s="4">
        <f t="shared" si="26"/>
        <v>2065.5425</v>
      </c>
      <c r="V165" s="4">
        <f t="shared" ca="1" si="27"/>
        <v>57</v>
      </c>
      <c r="W165" s="20">
        <f t="shared" ca="1" si="32"/>
        <v>60741.329854696749</v>
      </c>
      <c r="X165" s="4">
        <f t="shared" si="28"/>
        <v>3074</v>
      </c>
      <c r="Y165" s="13">
        <f t="shared" si="29"/>
        <v>9.2000119713883818E-2</v>
      </c>
    </row>
    <row r="166" spans="1:25" x14ac:dyDescent="0.3">
      <c r="A166" s="12" t="s">
        <v>374</v>
      </c>
      <c r="B166" s="7">
        <v>44805</v>
      </c>
      <c r="C166" s="4" t="s">
        <v>375</v>
      </c>
      <c r="D166" s="4" t="s">
        <v>40</v>
      </c>
      <c r="E166" s="4">
        <v>35801</v>
      </c>
      <c r="F166" s="4">
        <v>21.5</v>
      </c>
      <c r="G166" s="4">
        <v>60</v>
      </c>
      <c r="H166" s="4" t="s">
        <v>26</v>
      </c>
      <c r="I166" s="4" t="s">
        <v>57</v>
      </c>
      <c r="J166" s="4" t="s">
        <v>21</v>
      </c>
      <c r="K166" s="4">
        <v>67019</v>
      </c>
      <c r="L166" s="4" t="s">
        <v>29</v>
      </c>
      <c r="M166" s="4">
        <v>0.21</v>
      </c>
      <c r="N166" s="4">
        <v>0.69</v>
      </c>
      <c r="O166" s="4">
        <v>10056.99</v>
      </c>
      <c r="P166" s="4">
        <v>0</v>
      </c>
      <c r="Q166" s="6">
        <f t="shared" si="30"/>
        <v>978.63396412489783</v>
      </c>
      <c r="R166" s="6">
        <f t="shared" si="23"/>
        <v>22917.03784749387</v>
      </c>
      <c r="S166" s="4">
        <f t="shared" si="24"/>
        <v>51885.507246376816</v>
      </c>
      <c r="T166" s="4">
        <f t="shared" si="25"/>
        <v>5584.916666666667</v>
      </c>
      <c r="U166" s="4">
        <f t="shared" si="26"/>
        <v>1172.8325</v>
      </c>
      <c r="V166" s="4">
        <f t="shared" ca="1" si="27"/>
        <v>42</v>
      </c>
      <c r="W166" s="20">
        <f t="shared" ca="1" si="32"/>
        <v>41102.626493245712</v>
      </c>
      <c r="X166" s="4">
        <f t="shared" si="28"/>
        <v>-25744.010000000002</v>
      </c>
      <c r="Y166" s="13">
        <f t="shared" si="29"/>
        <v>-0.71908633837043667</v>
      </c>
    </row>
    <row r="167" spans="1:25" x14ac:dyDescent="0.3">
      <c r="A167" s="12" t="s">
        <v>376</v>
      </c>
      <c r="B167" s="7">
        <v>44383</v>
      </c>
      <c r="C167" s="4" t="s">
        <v>377</v>
      </c>
      <c r="D167" s="4" t="s">
        <v>46</v>
      </c>
      <c r="E167" s="4">
        <v>33913</v>
      </c>
      <c r="F167" s="4">
        <v>15.4</v>
      </c>
      <c r="G167" s="4">
        <v>36</v>
      </c>
      <c r="H167" s="4" t="s">
        <v>19</v>
      </c>
      <c r="I167" s="4" t="s">
        <v>36</v>
      </c>
      <c r="J167" s="4" t="s">
        <v>47</v>
      </c>
      <c r="K167" s="4">
        <v>74948</v>
      </c>
      <c r="L167" s="4" t="s">
        <v>22</v>
      </c>
      <c r="M167" s="4">
        <v>0.23</v>
      </c>
      <c r="N167" s="4">
        <v>0.64</v>
      </c>
      <c r="O167" s="4">
        <v>39135.599999999999</v>
      </c>
      <c r="P167" s="4">
        <v>0</v>
      </c>
      <c r="Q167" s="6">
        <f t="shared" si="30"/>
        <v>1182.2590836859179</v>
      </c>
      <c r="R167" s="6">
        <f t="shared" si="23"/>
        <v>8648.3270126930438</v>
      </c>
      <c r="S167" s="4">
        <f t="shared" si="24"/>
        <v>52989.0625</v>
      </c>
      <c r="T167" s="4">
        <f t="shared" si="25"/>
        <v>6245.666666666667</v>
      </c>
      <c r="U167" s="4">
        <f t="shared" si="26"/>
        <v>1436.5033333333336</v>
      </c>
      <c r="V167" s="4">
        <f t="shared" ca="1" si="27"/>
        <v>56</v>
      </c>
      <c r="W167" s="20">
        <f t="shared" ca="1" si="32"/>
        <v>66206.508686411398</v>
      </c>
      <c r="X167" s="4">
        <f t="shared" si="28"/>
        <v>5222.5999999999985</v>
      </c>
      <c r="Y167" s="13">
        <f t="shared" si="29"/>
        <v>0.15399994102556538</v>
      </c>
    </row>
    <row r="168" spans="1:25" x14ac:dyDescent="0.3">
      <c r="A168" s="12" t="s">
        <v>378</v>
      </c>
      <c r="B168" s="7">
        <v>44660</v>
      </c>
      <c r="C168" s="4" t="s">
        <v>379</v>
      </c>
      <c r="D168" s="4" t="s">
        <v>50</v>
      </c>
      <c r="E168" s="4">
        <v>26280</v>
      </c>
      <c r="F168" s="4">
        <v>12.5</v>
      </c>
      <c r="G168" s="4">
        <v>60</v>
      </c>
      <c r="H168" s="4" t="s">
        <v>19</v>
      </c>
      <c r="I168" s="4" t="s">
        <v>27</v>
      </c>
      <c r="J168" s="4" t="s">
        <v>21</v>
      </c>
      <c r="K168" s="4">
        <v>95133</v>
      </c>
      <c r="L168" s="4" t="s">
        <v>29</v>
      </c>
      <c r="M168" s="4">
        <v>0.37</v>
      </c>
      <c r="N168" s="4">
        <v>0.92</v>
      </c>
      <c r="O168" s="4">
        <v>29565</v>
      </c>
      <c r="P168" s="4">
        <v>0</v>
      </c>
      <c r="Q168" s="6">
        <f t="shared" si="30"/>
        <v>591.2458165639282</v>
      </c>
      <c r="R168" s="6">
        <f t="shared" si="23"/>
        <v>9194.7489938356885</v>
      </c>
      <c r="S168" s="4">
        <f t="shared" si="24"/>
        <v>28565.217391304348</v>
      </c>
      <c r="T168" s="4">
        <f t="shared" si="25"/>
        <v>7927.75</v>
      </c>
      <c r="U168" s="4">
        <f t="shared" si="26"/>
        <v>2933.2674999999999</v>
      </c>
      <c r="V168" s="4">
        <f t="shared" ca="1" si="27"/>
        <v>47</v>
      </c>
      <c r="W168" s="20">
        <f t="shared" ca="1" si="32"/>
        <v>27788.553378504625</v>
      </c>
      <c r="X168" s="4">
        <f t="shared" si="28"/>
        <v>3285</v>
      </c>
      <c r="Y168" s="13">
        <f t="shared" si="29"/>
        <v>0.125</v>
      </c>
    </row>
    <row r="169" spans="1:25" x14ac:dyDescent="0.3">
      <c r="A169" s="12" t="s">
        <v>380</v>
      </c>
      <c r="B169" s="7">
        <v>44856</v>
      </c>
      <c r="C169" s="4" t="s">
        <v>381</v>
      </c>
      <c r="D169" s="4" t="s">
        <v>65</v>
      </c>
      <c r="E169" s="4">
        <v>25557</v>
      </c>
      <c r="F169" s="4">
        <v>7.4</v>
      </c>
      <c r="G169" s="4">
        <v>36</v>
      </c>
      <c r="H169" s="4" t="s">
        <v>26</v>
      </c>
      <c r="I169" s="4" t="s">
        <v>57</v>
      </c>
      <c r="J169" s="4" t="s">
        <v>28</v>
      </c>
      <c r="K169" s="4">
        <v>144444</v>
      </c>
      <c r="L169" s="4" t="s">
        <v>29</v>
      </c>
      <c r="M169" s="4">
        <v>0.45</v>
      </c>
      <c r="N169" s="4">
        <v>0.73</v>
      </c>
      <c r="O169" s="4">
        <v>4065.82</v>
      </c>
      <c r="P169" s="4">
        <v>0</v>
      </c>
      <c r="Q169" s="6">
        <f t="shared" si="30"/>
        <v>793.80838813352102</v>
      </c>
      <c r="R169" s="6">
        <f t="shared" si="23"/>
        <v>3020.1019728067549</v>
      </c>
      <c r="S169" s="4">
        <f t="shared" si="24"/>
        <v>35009.589041095889</v>
      </c>
      <c r="T169" s="4">
        <f t="shared" si="25"/>
        <v>12037</v>
      </c>
      <c r="U169" s="4">
        <f t="shared" si="26"/>
        <v>5416.6500000000005</v>
      </c>
      <c r="V169" s="4">
        <f t="shared" ca="1" si="27"/>
        <v>40</v>
      </c>
      <c r="W169" s="20">
        <f t="shared" ca="1" si="32"/>
        <v>31752.335525340841</v>
      </c>
      <c r="X169" s="4">
        <f t="shared" si="28"/>
        <v>-21491.18</v>
      </c>
      <c r="Y169" s="13">
        <f t="shared" si="29"/>
        <v>-0.84091168760026613</v>
      </c>
    </row>
    <row r="170" spans="1:25" x14ac:dyDescent="0.3">
      <c r="A170" s="12" t="s">
        <v>382</v>
      </c>
      <c r="B170" s="7">
        <v>44960</v>
      </c>
      <c r="C170" s="4" t="s">
        <v>383</v>
      </c>
      <c r="D170" s="4" t="s">
        <v>56</v>
      </c>
      <c r="E170" s="4">
        <v>36400</v>
      </c>
      <c r="F170" s="4">
        <v>19.7</v>
      </c>
      <c r="G170" s="4">
        <v>60</v>
      </c>
      <c r="H170" s="4" t="s">
        <v>26</v>
      </c>
      <c r="I170" s="4" t="s">
        <v>27</v>
      </c>
      <c r="J170" s="4" t="s">
        <v>47</v>
      </c>
      <c r="K170" s="4">
        <v>96458</v>
      </c>
      <c r="L170" s="4" t="s">
        <v>33</v>
      </c>
      <c r="M170" s="4">
        <v>0.4</v>
      </c>
      <c r="N170" s="4">
        <v>0.72</v>
      </c>
      <c r="O170" s="4">
        <v>4839.3500000000004</v>
      </c>
      <c r="P170" s="4">
        <v>0</v>
      </c>
      <c r="Q170" s="6">
        <f t="shared" si="30"/>
        <v>958.31138532059413</v>
      </c>
      <c r="R170" s="6">
        <f t="shared" si="23"/>
        <v>21098.683119235648</v>
      </c>
      <c r="S170" s="4">
        <f t="shared" si="24"/>
        <v>50555.555555555555</v>
      </c>
      <c r="T170" s="4">
        <f t="shared" si="25"/>
        <v>8038.166666666667</v>
      </c>
      <c r="U170" s="4">
        <f t="shared" si="26"/>
        <v>3215.2666666666669</v>
      </c>
      <c r="V170" s="4">
        <f t="shared" ca="1" si="27"/>
        <v>37</v>
      </c>
      <c r="W170" s="20">
        <f t="shared" ca="1" si="32"/>
        <v>35457.521256861983</v>
      </c>
      <c r="X170" s="4">
        <f t="shared" si="28"/>
        <v>-31560.65</v>
      </c>
      <c r="Y170" s="13">
        <f t="shared" si="29"/>
        <v>-0.86705082417582424</v>
      </c>
    </row>
    <row r="171" spans="1:25" x14ac:dyDescent="0.3">
      <c r="A171" s="12" t="s">
        <v>384</v>
      </c>
      <c r="B171" s="7">
        <v>45151</v>
      </c>
      <c r="C171" s="4" t="s">
        <v>385</v>
      </c>
      <c r="D171" s="4" t="s">
        <v>40</v>
      </c>
      <c r="E171" s="4">
        <v>5494</v>
      </c>
      <c r="F171" s="4">
        <v>9.6999999999999993</v>
      </c>
      <c r="G171" s="4">
        <v>36</v>
      </c>
      <c r="H171" s="4" t="s">
        <v>19</v>
      </c>
      <c r="I171" s="4" t="s">
        <v>57</v>
      </c>
      <c r="J171" s="4" t="s">
        <v>32</v>
      </c>
      <c r="K171" s="4">
        <v>147603</v>
      </c>
      <c r="L171" s="4" t="s">
        <v>33</v>
      </c>
      <c r="M171" s="4">
        <v>0.39</v>
      </c>
      <c r="N171" s="4">
        <v>0.57999999999999996</v>
      </c>
      <c r="O171" s="4">
        <v>6026.92</v>
      </c>
      <c r="P171" s="4">
        <v>0</v>
      </c>
      <c r="Q171" s="6">
        <f t="shared" si="30"/>
        <v>176.50311385245431</v>
      </c>
      <c r="R171" s="6">
        <f t="shared" si="23"/>
        <v>860.11209868835522</v>
      </c>
      <c r="S171" s="4">
        <f t="shared" si="24"/>
        <v>9472.4137931034493</v>
      </c>
      <c r="T171" s="4">
        <f t="shared" si="25"/>
        <v>12300.25</v>
      </c>
      <c r="U171" s="4">
        <f t="shared" si="26"/>
        <v>4797.0974999999999</v>
      </c>
      <c r="V171" s="4">
        <f t="shared" ca="1" si="27"/>
        <v>31</v>
      </c>
      <c r="W171" s="20">
        <f t="shared" ca="1" si="32"/>
        <v>5471.5965294260832</v>
      </c>
      <c r="X171" s="4">
        <f t="shared" si="28"/>
        <v>532.92000000000007</v>
      </c>
      <c r="Y171" s="13">
        <f t="shared" si="29"/>
        <v>9.700036403349109E-2</v>
      </c>
    </row>
    <row r="172" spans="1:25" x14ac:dyDescent="0.3">
      <c r="A172" s="12" t="s">
        <v>386</v>
      </c>
      <c r="B172" s="7">
        <v>44599</v>
      </c>
      <c r="C172" s="4" t="s">
        <v>387</v>
      </c>
      <c r="D172" s="4" t="s">
        <v>25</v>
      </c>
      <c r="E172" s="4">
        <v>16152</v>
      </c>
      <c r="F172" s="4">
        <v>12.4</v>
      </c>
      <c r="G172" s="4">
        <v>36</v>
      </c>
      <c r="H172" s="4" t="s">
        <v>19</v>
      </c>
      <c r="I172" s="4" t="s">
        <v>57</v>
      </c>
      <c r="J172" s="4" t="s">
        <v>37</v>
      </c>
      <c r="K172" s="4">
        <v>57526</v>
      </c>
      <c r="L172" s="4" t="s">
        <v>33</v>
      </c>
      <c r="M172" s="4">
        <v>0.28999999999999998</v>
      </c>
      <c r="N172" s="4">
        <v>0.55000000000000004</v>
      </c>
      <c r="O172" s="4">
        <v>18154.849999999999</v>
      </c>
      <c r="P172" s="4">
        <v>0</v>
      </c>
      <c r="Q172" s="6">
        <f t="shared" si="30"/>
        <v>539.56856783457488</v>
      </c>
      <c r="R172" s="6">
        <f t="shared" si="23"/>
        <v>3272.4684420446938</v>
      </c>
      <c r="S172" s="4">
        <f t="shared" si="24"/>
        <v>29367.272727272724</v>
      </c>
      <c r="T172" s="4">
        <f t="shared" si="25"/>
        <v>4793.833333333333</v>
      </c>
      <c r="U172" s="4">
        <f t="shared" si="26"/>
        <v>1390.2116666666666</v>
      </c>
      <c r="V172" s="4">
        <f t="shared" ca="1" si="27"/>
        <v>49</v>
      </c>
      <c r="W172" s="20">
        <f t="shared" ca="1" si="32"/>
        <v>26438.85982389417</v>
      </c>
      <c r="X172" s="4">
        <f t="shared" si="28"/>
        <v>2002.8499999999985</v>
      </c>
      <c r="Y172" s="13">
        <f t="shared" si="29"/>
        <v>0.12400012382367499</v>
      </c>
    </row>
    <row r="173" spans="1:25" x14ac:dyDescent="0.3">
      <c r="A173" s="12" t="s">
        <v>388</v>
      </c>
      <c r="B173" s="7">
        <v>44343</v>
      </c>
      <c r="C173" s="4" t="s">
        <v>389</v>
      </c>
      <c r="D173" s="4" t="s">
        <v>46</v>
      </c>
      <c r="E173" s="4">
        <v>24895</v>
      </c>
      <c r="F173" s="4">
        <v>6.3</v>
      </c>
      <c r="G173" s="4">
        <v>36</v>
      </c>
      <c r="H173" s="4" t="s">
        <v>26</v>
      </c>
      <c r="I173" s="4" t="s">
        <v>57</v>
      </c>
      <c r="J173" s="4" t="s">
        <v>37</v>
      </c>
      <c r="K173" s="4">
        <v>103493</v>
      </c>
      <c r="L173" s="4" t="s">
        <v>29</v>
      </c>
      <c r="M173" s="4">
        <v>0.38</v>
      </c>
      <c r="N173" s="4">
        <v>0.88</v>
      </c>
      <c r="O173" s="4">
        <v>1971.07</v>
      </c>
      <c r="P173" s="4">
        <v>0</v>
      </c>
      <c r="Q173" s="6">
        <f t="shared" si="30"/>
        <v>760.74273466058753</v>
      </c>
      <c r="R173" s="6">
        <f t="shared" si="23"/>
        <v>2491.7384477811502</v>
      </c>
      <c r="S173" s="4">
        <f t="shared" si="24"/>
        <v>28289.772727272728</v>
      </c>
      <c r="T173" s="4">
        <f t="shared" si="25"/>
        <v>8624.4166666666661</v>
      </c>
      <c r="U173" s="4">
        <f t="shared" si="26"/>
        <v>3277.2783333333332</v>
      </c>
      <c r="V173" s="4">
        <f t="shared" ca="1" si="27"/>
        <v>57</v>
      </c>
      <c r="W173" s="20">
        <f t="shared" ca="1" si="32"/>
        <v>43362.335875653487</v>
      </c>
      <c r="X173" s="4">
        <f t="shared" si="28"/>
        <v>-22923.93</v>
      </c>
      <c r="Y173" s="13">
        <f t="shared" si="29"/>
        <v>-0.92082466358706572</v>
      </c>
    </row>
    <row r="174" spans="1:25" x14ac:dyDescent="0.3">
      <c r="A174" s="12" t="s">
        <v>390</v>
      </c>
      <c r="B174" s="7">
        <v>45060</v>
      </c>
      <c r="C174" s="4" t="s">
        <v>391</v>
      </c>
      <c r="D174" s="4" t="s">
        <v>76</v>
      </c>
      <c r="E174" s="4">
        <v>10155</v>
      </c>
      <c r="F174" s="4">
        <v>21</v>
      </c>
      <c r="G174" s="4">
        <v>60</v>
      </c>
      <c r="H174" s="4" t="s">
        <v>81</v>
      </c>
      <c r="I174" s="4" t="s">
        <v>84</v>
      </c>
      <c r="J174" s="4" t="s">
        <v>21</v>
      </c>
      <c r="K174" s="4">
        <v>82198</v>
      </c>
      <c r="L174" s="4" t="s">
        <v>29</v>
      </c>
      <c r="M174" s="4">
        <v>0.32</v>
      </c>
      <c r="N174" s="4">
        <v>0.78</v>
      </c>
      <c r="O174" s="4">
        <v>3338.92</v>
      </c>
      <c r="P174" s="4">
        <v>989.42</v>
      </c>
      <c r="Q174" s="6">
        <f t="shared" si="30"/>
        <v>274.72686882702294</v>
      </c>
      <c r="R174" s="6">
        <f t="shared" si="23"/>
        <v>6328.6121296213751</v>
      </c>
      <c r="S174" s="4">
        <f t="shared" si="24"/>
        <v>13019.23076923077</v>
      </c>
      <c r="T174" s="4">
        <f t="shared" si="25"/>
        <v>6849.833333333333</v>
      </c>
      <c r="U174" s="4">
        <f t="shared" si="26"/>
        <v>2191.9466666666667</v>
      </c>
      <c r="V174" s="4">
        <f t="shared" ca="1" si="27"/>
        <v>34</v>
      </c>
      <c r="W174" s="20">
        <v>0</v>
      </c>
      <c r="X174" s="4">
        <f t="shared" si="28"/>
        <v>-5826.66</v>
      </c>
      <c r="Y174" s="13">
        <f t="shared" si="29"/>
        <v>-0.57377252584933525</v>
      </c>
    </row>
    <row r="175" spans="1:25" x14ac:dyDescent="0.3">
      <c r="A175" s="12" t="s">
        <v>392</v>
      </c>
      <c r="B175" s="7">
        <v>44685</v>
      </c>
      <c r="C175" s="4" t="s">
        <v>393</v>
      </c>
      <c r="D175" s="4" t="s">
        <v>50</v>
      </c>
      <c r="E175" s="4">
        <v>32883</v>
      </c>
      <c r="F175" s="4">
        <v>20.3</v>
      </c>
      <c r="G175" s="4">
        <v>60</v>
      </c>
      <c r="H175" s="4" t="s">
        <v>81</v>
      </c>
      <c r="I175" s="4" t="s">
        <v>73</v>
      </c>
      <c r="J175" s="4" t="s">
        <v>32</v>
      </c>
      <c r="K175" s="4">
        <v>144100</v>
      </c>
      <c r="L175" s="4" t="s">
        <v>22</v>
      </c>
      <c r="M175" s="4">
        <v>0.19</v>
      </c>
      <c r="N175" s="4">
        <v>0.65</v>
      </c>
      <c r="O175" s="4">
        <v>7504.97</v>
      </c>
      <c r="P175" s="4">
        <v>9677.33</v>
      </c>
      <c r="Q175" s="6">
        <f t="shared" si="30"/>
        <v>876.69644161522069</v>
      </c>
      <c r="R175" s="6">
        <f t="shared" si="23"/>
        <v>19718.786496913242</v>
      </c>
      <c r="S175" s="4">
        <f t="shared" si="24"/>
        <v>50589.230769230766</v>
      </c>
      <c r="T175" s="4">
        <f t="shared" si="25"/>
        <v>12008.333333333334</v>
      </c>
      <c r="U175" s="4">
        <f t="shared" si="26"/>
        <v>2281.5833333333335</v>
      </c>
      <c r="V175" s="4">
        <f t="shared" ca="1" si="27"/>
        <v>46</v>
      </c>
      <c r="W175" s="20">
        <v>0</v>
      </c>
      <c r="X175" s="4">
        <f t="shared" si="28"/>
        <v>-15700.7</v>
      </c>
      <c r="Y175" s="13">
        <f t="shared" si="29"/>
        <v>-0.47747164188182345</v>
      </c>
    </row>
    <row r="176" spans="1:25" x14ac:dyDescent="0.3">
      <c r="A176" s="12" t="s">
        <v>394</v>
      </c>
      <c r="B176" s="7">
        <v>45125</v>
      </c>
      <c r="C176" s="4" t="s">
        <v>395</v>
      </c>
      <c r="D176" s="4" t="s">
        <v>25</v>
      </c>
      <c r="E176" s="4">
        <v>2828</v>
      </c>
      <c r="F176" s="4">
        <v>19.7</v>
      </c>
      <c r="G176" s="4">
        <v>36</v>
      </c>
      <c r="H176" s="4" t="s">
        <v>26</v>
      </c>
      <c r="I176" s="4" t="s">
        <v>27</v>
      </c>
      <c r="J176" s="4" t="s">
        <v>28</v>
      </c>
      <c r="K176" s="4">
        <v>129534</v>
      </c>
      <c r="L176" s="4" t="s">
        <v>29</v>
      </c>
      <c r="M176" s="4">
        <v>0.18</v>
      </c>
      <c r="N176" s="4">
        <v>0.59</v>
      </c>
      <c r="O176" s="4">
        <v>938.87</v>
      </c>
      <c r="P176" s="4">
        <v>0</v>
      </c>
      <c r="Q176" s="6">
        <f t="shared" si="30"/>
        <v>104.66683043780874</v>
      </c>
      <c r="R176" s="6">
        <f t="shared" si="23"/>
        <v>940.00589576111452</v>
      </c>
      <c r="S176" s="4">
        <f t="shared" si="24"/>
        <v>4793.2203389830511</v>
      </c>
      <c r="T176" s="4">
        <f t="shared" si="25"/>
        <v>10794.5</v>
      </c>
      <c r="U176" s="4">
        <f t="shared" si="26"/>
        <v>1943.01</v>
      </c>
      <c r="V176" s="4">
        <f t="shared" ca="1" si="27"/>
        <v>32</v>
      </c>
      <c r="W176" s="20">
        <f t="shared" ref="W176:W204" ca="1" si="33">V176*Q176</f>
        <v>3349.3385740098797</v>
      </c>
      <c r="X176" s="4">
        <f t="shared" si="28"/>
        <v>-1889.13</v>
      </c>
      <c r="Y176" s="13">
        <f t="shared" si="29"/>
        <v>-0.66800919377652057</v>
      </c>
    </row>
    <row r="177" spans="1:25" x14ac:dyDescent="0.3">
      <c r="A177" s="12" t="s">
        <v>396</v>
      </c>
      <c r="B177" s="7">
        <v>44747</v>
      </c>
      <c r="C177" s="4" t="s">
        <v>397</v>
      </c>
      <c r="D177" s="4" t="s">
        <v>18</v>
      </c>
      <c r="E177" s="4">
        <v>33123</v>
      </c>
      <c r="F177" s="4">
        <v>11</v>
      </c>
      <c r="G177" s="4">
        <v>36</v>
      </c>
      <c r="H177" s="4" t="s">
        <v>19</v>
      </c>
      <c r="I177" s="4" t="s">
        <v>57</v>
      </c>
      <c r="J177" s="4" t="s">
        <v>37</v>
      </c>
      <c r="K177" s="4">
        <v>73395</v>
      </c>
      <c r="L177" s="4" t="s">
        <v>29</v>
      </c>
      <c r="M177" s="4">
        <v>0.22</v>
      </c>
      <c r="N177" s="4">
        <v>0.75</v>
      </c>
      <c r="O177" s="4">
        <v>36766.53</v>
      </c>
      <c r="P177" s="4">
        <v>0</v>
      </c>
      <c r="Q177" s="6">
        <f t="shared" si="30"/>
        <v>1084.4045270664585</v>
      </c>
      <c r="R177" s="6">
        <f t="shared" si="23"/>
        <v>5915.5629743925092</v>
      </c>
      <c r="S177" s="4">
        <f t="shared" si="24"/>
        <v>44164</v>
      </c>
      <c r="T177" s="4">
        <f t="shared" si="25"/>
        <v>6116.25</v>
      </c>
      <c r="U177" s="4">
        <f t="shared" si="26"/>
        <v>1345.575</v>
      </c>
      <c r="V177" s="4">
        <f t="shared" ca="1" si="27"/>
        <v>44</v>
      </c>
      <c r="W177" s="20">
        <f t="shared" ca="1" si="33"/>
        <v>47713.799190924175</v>
      </c>
      <c r="X177" s="4">
        <f t="shared" si="28"/>
        <v>3643.5299999999988</v>
      </c>
      <c r="Y177" s="13">
        <f t="shared" si="29"/>
        <v>0.10999999999999996</v>
      </c>
    </row>
    <row r="178" spans="1:25" x14ac:dyDescent="0.3">
      <c r="A178" s="12" t="s">
        <v>398</v>
      </c>
      <c r="B178" s="7">
        <v>44534</v>
      </c>
      <c r="C178" s="4" t="s">
        <v>399</v>
      </c>
      <c r="D178" s="4" t="s">
        <v>56</v>
      </c>
      <c r="E178" s="4">
        <v>38573</v>
      </c>
      <c r="F178" s="4">
        <v>8.5</v>
      </c>
      <c r="G178" s="4">
        <v>36</v>
      </c>
      <c r="H178" s="4" t="s">
        <v>19</v>
      </c>
      <c r="I178" s="4" t="s">
        <v>57</v>
      </c>
      <c r="J178" s="4" t="s">
        <v>32</v>
      </c>
      <c r="K178" s="4">
        <v>54031</v>
      </c>
      <c r="L178" s="4" t="s">
        <v>33</v>
      </c>
      <c r="M178" s="4">
        <v>0.46</v>
      </c>
      <c r="N178" s="4">
        <v>0.76</v>
      </c>
      <c r="O178" s="4">
        <v>41851.699999999997</v>
      </c>
      <c r="P178" s="4">
        <v>0</v>
      </c>
      <c r="Q178" s="6">
        <f t="shared" si="30"/>
        <v>1217.6546210388794</v>
      </c>
      <c r="R178" s="6">
        <f t="shared" si="23"/>
        <v>5262.5663573996571</v>
      </c>
      <c r="S178" s="4">
        <f t="shared" si="24"/>
        <v>50753.947368421053</v>
      </c>
      <c r="T178" s="4">
        <f t="shared" si="25"/>
        <v>4502.583333333333</v>
      </c>
      <c r="U178" s="4">
        <f t="shared" si="26"/>
        <v>2071.1883333333335</v>
      </c>
      <c r="V178" s="4">
        <f t="shared" ca="1" si="27"/>
        <v>51</v>
      </c>
      <c r="W178" s="20">
        <f t="shared" ca="1" si="33"/>
        <v>62100.385672982855</v>
      </c>
      <c r="X178" s="4">
        <f t="shared" si="28"/>
        <v>3278.6999999999971</v>
      </c>
      <c r="Y178" s="13">
        <f t="shared" si="29"/>
        <v>8.4999870375651293E-2</v>
      </c>
    </row>
    <row r="179" spans="1:25" x14ac:dyDescent="0.3">
      <c r="A179" s="12" t="s">
        <v>400</v>
      </c>
      <c r="B179" s="7">
        <v>45068</v>
      </c>
      <c r="C179" s="4" t="s">
        <v>401</v>
      </c>
      <c r="D179" s="4" t="s">
        <v>50</v>
      </c>
      <c r="E179" s="4">
        <v>1806</v>
      </c>
      <c r="F179" s="4">
        <v>17.8</v>
      </c>
      <c r="G179" s="4">
        <v>60</v>
      </c>
      <c r="H179" s="4" t="s">
        <v>19</v>
      </c>
      <c r="I179" s="4" t="s">
        <v>36</v>
      </c>
      <c r="J179" s="4" t="s">
        <v>21</v>
      </c>
      <c r="K179" s="4">
        <v>105542</v>
      </c>
      <c r="L179" s="4" t="s">
        <v>33</v>
      </c>
      <c r="M179" s="4">
        <v>0.32</v>
      </c>
      <c r="N179" s="4">
        <v>0.59</v>
      </c>
      <c r="O179" s="4">
        <v>2127.4699999999998</v>
      </c>
      <c r="P179" s="4">
        <v>0</v>
      </c>
      <c r="Q179" s="6">
        <f t="shared" si="30"/>
        <v>45.664264545103372</v>
      </c>
      <c r="R179" s="6">
        <f t="shared" si="23"/>
        <v>933.85587270620226</v>
      </c>
      <c r="S179" s="4">
        <f t="shared" si="24"/>
        <v>3061.0169491525426</v>
      </c>
      <c r="T179" s="4">
        <f t="shared" si="25"/>
        <v>8795.1666666666661</v>
      </c>
      <c r="U179" s="4">
        <f t="shared" si="26"/>
        <v>2814.4533333333334</v>
      </c>
      <c r="V179" s="4">
        <f t="shared" ca="1" si="27"/>
        <v>33</v>
      </c>
      <c r="W179" s="20">
        <f t="shared" ca="1" si="33"/>
        <v>1506.9207299884113</v>
      </c>
      <c r="X179" s="4">
        <f t="shared" si="28"/>
        <v>321.4699999999998</v>
      </c>
      <c r="Y179" s="13">
        <f t="shared" si="29"/>
        <v>0.17800110741971195</v>
      </c>
    </row>
    <row r="180" spans="1:25" x14ac:dyDescent="0.3">
      <c r="A180" s="12" t="s">
        <v>402</v>
      </c>
      <c r="B180" s="7">
        <v>44837</v>
      </c>
      <c r="C180" s="4" t="s">
        <v>403</v>
      </c>
      <c r="D180" s="4" t="s">
        <v>65</v>
      </c>
      <c r="E180" s="4">
        <v>30757</v>
      </c>
      <c r="F180" s="4">
        <v>14.9</v>
      </c>
      <c r="G180" s="4">
        <v>36</v>
      </c>
      <c r="H180" s="4" t="s">
        <v>19</v>
      </c>
      <c r="I180" s="4" t="s">
        <v>73</v>
      </c>
      <c r="J180" s="4" t="s">
        <v>47</v>
      </c>
      <c r="K180" s="4">
        <v>67701</v>
      </c>
      <c r="L180" s="4" t="s">
        <v>33</v>
      </c>
      <c r="M180" s="4">
        <v>0.39</v>
      </c>
      <c r="N180" s="4">
        <v>0.88</v>
      </c>
      <c r="O180" s="4">
        <v>35339.79</v>
      </c>
      <c r="P180" s="4">
        <v>0</v>
      </c>
      <c r="Q180" s="6">
        <f t="shared" si="30"/>
        <v>1064.6959416340383</v>
      </c>
      <c r="R180" s="6">
        <f t="shared" si="23"/>
        <v>7572.0538988253757</v>
      </c>
      <c r="S180" s="4">
        <f t="shared" si="24"/>
        <v>34951.13636363636</v>
      </c>
      <c r="T180" s="4">
        <f t="shared" si="25"/>
        <v>5641.75</v>
      </c>
      <c r="U180" s="4">
        <f t="shared" si="26"/>
        <v>2200.2825000000003</v>
      </c>
      <c r="V180" s="4">
        <f t="shared" ca="1" si="27"/>
        <v>41</v>
      </c>
      <c r="W180" s="20">
        <f t="shared" ca="1" si="33"/>
        <v>43652.533606995567</v>
      </c>
      <c r="X180" s="4">
        <f t="shared" si="28"/>
        <v>4582.7900000000009</v>
      </c>
      <c r="Y180" s="13">
        <f t="shared" si="29"/>
        <v>0.14899990246122838</v>
      </c>
    </row>
    <row r="181" spans="1:25" x14ac:dyDescent="0.3">
      <c r="A181" s="12" t="s">
        <v>404</v>
      </c>
      <c r="B181" s="7">
        <v>44669</v>
      </c>
      <c r="C181" s="4" t="s">
        <v>405</v>
      </c>
      <c r="D181" s="4" t="s">
        <v>56</v>
      </c>
      <c r="E181" s="4">
        <v>35636</v>
      </c>
      <c r="F181" s="4">
        <v>8.6</v>
      </c>
      <c r="G181" s="4">
        <v>36</v>
      </c>
      <c r="H181" s="4" t="s">
        <v>26</v>
      </c>
      <c r="I181" s="4" t="s">
        <v>36</v>
      </c>
      <c r="J181" s="4" t="s">
        <v>21</v>
      </c>
      <c r="K181" s="4">
        <v>142599</v>
      </c>
      <c r="L181" s="4" t="s">
        <v>33</v>
      </c>
      <c r="M181" s="4">
        <v>0.24</v>
      </c>
      <c r="N181" s="4">
        <v>0.54</v>
      </c>
      <c r="O181" s="4">
        <v>13449.63</v>
      </c>
      <c r="P181" s="4">
        <v>0</v>
      </c>
      <c r="Q181" s="6">
        <f t="shared" si="30"/>
        <v>1126.5927498911476</v>
      </c>
      <c r="R181" s="6">
        <f t="shared" si="23"/>
        <v>4921.3389960813147</v>
      </c>
      <c r="S181" s="4">
        <f t="shared" si="24"/>
        <v>65992.592592592584</v>
      </c>
      <c r="T181" s="4">
        <f t="shared" si="25"/>
        <v>11883.25</v>
      </c>
      <c r="U181" s="4">
        <f t="shared" si="26"/>
        <v>2851.98</v>
      </c>
      <c r="V181" s="4">
        <f t="shared" ca="1" si="27"/>
        <v>47</v>
      </c>
      <c r="W181" s="20">
        <f t="shared" ca="1" si="33"/>
        <v>52949.859244883941</v>
      </c>
      <c r="X181" s="4">
        <f t="shared" si="28"/>
        <v>-22186.370000000003</v>
      </c>
      <c r="Y181" s="13">
        <f t="shared" si="29"/>
        <v>-0.62258306207206204</v>
      </c>
    </row>
    <row r="182" spans="1:25" x14ac:dyDescent="0.3">
      <c r="A182" s="12" t="s">
        <v>406</v>
      </c>
      <c r="B182" s="7">
        <v>44347</v>
      </c>
      <c r="C182" s="4" t="s">
        <v>407</v>
      </c>
      <c r="D182" s="4" t="s">
        <v>46</v>
      </c>
      <c r="E182" s="4">
        <v>15561</v>
      </c>
      <c r="F182" s="4">
        <v>18.7</v>
      </c>
      <c r="G182" s="4">
        <v>36</v>
      </c>
      <c r="H182" s="4" t="s">
        <v>19</v>
      </c>
      <c r="I182" s="4" t="s">
        <v>20</v>
      </c>
      <c r="J182" s="4" t="s">
        <v>21</v>
      </c>
      <c r="K182" s="4">
        <v>55939</v>
      </c>
      <c r="L182" s="4" t="s">
        <v>33</v>
      </c>
      <c r="M182" s="4">
        <v>0.26</v>
      </c>
      <c r="N182" s="4">
        <v>0.66</v>
      </c>
      <c r="O182" s="4">
        <v>18470.91</v>
      </c>
      <c r="P182" s="4">
        <v>0</v>
      </c>
      <c r="Q182" s="6">
        <f t="shared" si="30"/>
        <v>568.04680902874043</v>
      </c>
      <c r="R182" s="6">
        <f t="shared" si="23"/>
        <v>4888.6851250346554</v>
      </c>
      <c r="S182" s="4">
        <f t="shared" si="24"/>
        <v>23577.272727272728</v>
      </c>
      <c r="T182" s="4">
        <f t="shared" si="25"/>
        <v>4661.583333333333</v>
      </c>
      <c r="U182" s="4">
        <f t="shared" si="26"/>
        <v>1212.0116666666665</v>
      </c>
      <c r="V182" s="4">
        <f t="shared" ca="1" si="27"/>
        <v>57</v>
      </c>
      <c r="W182" s="20">
        <f t="shared" ca="1" si="33"/>
        <v>32378.668114638203</v>
      </c>
      <c r="X182" s="4">
        <f t="shared" si="28"/>
        <v>2909.91</v>
      </c>
      <c r="Y182" s="13">
        <f t="shared" si="29"/>
        <v>0.18700019278966645</v>
      </c>
    </row>
    <row r="183" spans="1:25" x14ac:dyDescent="0.3">
      <c r="A183" s="12" t="s">
        <v>408</v>
      </c>
      <c r="B183" s="7">
        <v>44459</v>
      </c>
      <c r="C183" s="4" t="s">
        <v>409</v>
      </c>
      <c r="D183" s="4" t="s">
        <v>25</v>
      </c>
      <c r="E183" s="4">
        <v>25262</v>
      </c>
      <c r="F183" s="4">
        <v>24.8</v>
      </c>
      <c r="G183" s="4">
        <v>36</v>
      </c>
      <c r="H183" s="4" t="s">
        <v>19</v>
      </c>
      <c r="I183" s="4" t="s">
        <v>20</v>
      </c>
      <c r="J183" s="4" t="s">
        <v>32</v>
      </c>
      <c r="K183" s="4">
        <v>79145</v>
      </c>
      <c r="L183" s="4" t="s">
        <v>22</v>
      </c>
      <c r="M183" s="4">
        <v>0.15</v>
      </c>
      <c r="N183" s="4">
        <v>0.81</v>
      </c>
      <c r="O183" s="4">
        <v>31526.98</v>
      </c>
      <c r="P183" s="4">
        <v>0</v>
      </c>
      <c r="Q183" s="6">
        <f t="shared" si="30"/>
        <v>1001.7425021232947</v>
      </c>
      <c r="R183" s="6">
        <f t="shared" si="23"/>
        <v>10800.730076438609</v>
      </c>
      <c r="S183" s="4">
        <f t="shared" si="24"/>
        <v>31187.654320987651</v>
      </c>
      <c r="T183" s="4">
        <f t="shared" si="25"/>
        <v>6595.416666666667</v>
      </c>
      <c r="U183" s="4">
        <f t="shared" si="26"/>
        <v>989.3125</v>
      </c>
      <c r="V183" s="4">
        <f t="shared" ca="1" si="27"/>
        <v>53</v>
      </c>
      <c r="W183" s="20">
        <f t="shared" ca="1" si="33"/>
        <v>53092.352612534618</v>
      </c>
      <c r="X183" s="4">
        <f t="shared" si="28"/>
        <v>6264.98</v>
      </c>
      <c r="Y183" s="13">
        <f t="shared" si="29"/>
        <v>0.24800015834059058</v>
      </c>
    </row>
    <row r="184" spans="1:25" x14ac:dyDescent="0.3">
      <c r="A184" s="12" t="s">
        <v>410</v>
      </c>
      <c r="B184" s="7">
        <v>44340</v>
      </c>
      <c r="C184" s="4" t="s">
        <v>411</v>
      </c>
      <c r="D184" s="4" t="s">
        <v>18</v>
      </c>
      <c r="E184" s="4">
        <v>15899</v>
      </c>
      <c r="F184" s="4">
        <v>19.899999999999999</v>
      </c>
      <c r="G184" s="4">
        <v>60</v>
      </c>
      <c r="H184" s="4" t="s">
        <v>315</v>
      </c>
      <c r="I184" s="4" t="s">
        <v>84</v>
      </c>
      <c r="J184" s="4" t="s">
        <v>37</v>
      </c>
      <c r="K184" s="4">
        <v>50324</v>
      </c>
      <c r="L184" s="4" t="s">
        <v>22</v>
      </c>
      <c r="M184" s="4">
        <v>0.17</v>
      </c>
      <c r="N184" s="4">
        <v>0.62</v>
      </c>
      <c r="O184" s="4">
        <v>0</v>
      </c>
      <c r="P184" s="4">
        <v>0</v>
      </c>
      <c r="Q184" s="6">
        <f t="shared" si="30"/>
        <v>420.34210091614051</v>
      </c>
      <c r="R184" s="6">
        <f t="shared" si="23"/>
        <v>9321.5260549684317</v>
      </c>
      <c r="S184" s="4">
        <f t="shared" si="24"/>
        <v>25643.548387096773</v>
      </c>
      <c r="T184" s="4">
        <f t="shared" si="25"/>
        <v>4193.666666666667</v>
      </c>
      <c r="U184" s="4">
        <f t="shared" si="26"/>
        <v>712.9233333333334</v>
      </c>
      <c r="V184" s="4">
        <f t="shared" ca="1" si="27"/>
        <v>57</v>
      </c>
      <c r="W184" s="20">
        <f t="shared" ca="1" si="33"/>
        <v>23959.49975222001</v>
      </c>
      <c r="X184" s="4">
        <f t="shared" si="28"/>
        <v>-15899</v>
      </c>
      <c r="Y184" s="13">
        <f t="shared" si="29"/>
        <v>-1</v>
      </c>
    </row>
    <row r="185" spans="1:25" x14ac:dyDescent="0.3">
      <c r="A185" s="12" t="s">
        <v>412</v>
      </c>
      <c r="B185" s="7">
        <v>44542</v>
      </c>
      <c r="C185" s="4" t="s">
        <v>413</v>
      </c>
      <c r="D185" s="4" t="s">
        <v>72</v>
      </c>
      <c r="E185" s="4">
        <v>16934</v>
      </c>
      <c r="F185" s="4">
        <v>19.8</v>
      </c>
      <c r="G185" s="4">
        <v>60</v>
      </c>
      <c r="H185" s="4" t="s">
        <v>19</v>
      </c>
      <c r="I185" s="4" t="s">
        <v>27</v>
      </c>
      <c r="J185" s="4" t="s">
        <v>32</v>
      </c>
      <c r="K185" s="4">
        <v>52867</v>
      </c>
      <c r="L185" s="4" t="s">
        <v>22</v>
      </c>
      <c r="M185" s="4">
        <v>0.43</v>
      </c>
      <c r="N185" s="4">
        <v>0.87</v>
      </c>
      <c r="O185" s="4">
        <v>20286.93</v>
      </c>
      <c r="P185" s="4">
        <v>0</v>
      </c>
      <c r="Q185" s="6">
        <f t="shared" si="30"/>
        <v>446.76504141025913</v>
      </c>
      <c r="R185" s="6">
        <f t="shared" si="23"/>
        <v>9871.902484615548</v>
      </c>
      <c r="S185" s="4">
        <f t="shared" si="24"/>
        <v>19464.367816091955</v>
      </c>
      <c r="T185" s="4">
        <f t="shared" si="25"/>
        <v>4405.583333333333</v>
      </c>
      <c r="U185" s="4">
        <f t="shared" si="26"/>
        <v>1894.4008333333331</v>
      </c>
      <c r="V185" s="4">
        <f t="shared" ca="1" si="27"/>
        <v>51</v>
      </c>
      <c r="W185" s="20">
        <f t="shared" ca="1" si="33"/>
        <v>22785.017111923215</v>
      </c>
      <c r="X185" s="4">
        <f t="shared" si="28"/>
        <v>3352.9300000000003</v>
      </c>
      <c r="Y185" s="13">
        <f t="shared" si="29"/>
        <v>0.19799988189441362</v>
      </c>
    </row>
    <row r="186" spans="1:25" x14ac:dyDescent="0.3">
      <c r="A186" s="12" t="s">
        <v>414</v>
      </c>
      <c r="B186" s="7">
        <v>44820</v>
      </c>
      <c r="C186" s="4" t="s">
        <v>415</v>
      </c>
      <c r="D186" s="4" t="s">
        <v>65</v>
      </c>
      <c r="E186" s="4">
        <v>39197</v>
      </c>
      <c r="F186" s="4">
        <v>24</v>
      </c>
      <c r="G186" s="4">
        <v>36</v>
      </c>
      <c r="H186" s="4" t="s">
        <v>19</v>
      </c>
      <c r="I186" s="4" t="s">
        <v>20</v>
      </c>
      <c r="J186" s="4" t="s">
        <v>47</v>
      </c>
      <c r="K186" s="4">
        <v>30203</v>
      </c>
      <c r="L186" s="4" t="s">
        <v>33</v>
      </c>
      <c r="M186" s="4">
        <v>0.33</v>
      </c>
      <c r="N186" s="4">
        <v>0.83</v>
      </c>
      <c r="O186" s="4">
        <v>48604.28</v>
      </c>
      <c r="P186" s="4">
        <v>0</v>
      </c>
      <c r="Q186" s="6">
        <f t="shared" si="30"/>
        <v>1537.8101232758943</v>
      </c>
      <c r="R186" s="6">
        <f t="shared" si="23"/>
        <v>16164.164437932195</v>
      </c>
      <c r="S186" s="4">
        <f t="shared" si="24"/>
        <v>47225.301204819276</v>
      </c>
      <c r="T186" s="4">
        <f t="shared" si="25"/>
        <v>2516.9166666666665</v>
      </c>
      <c r="U186" s="4">
        <f t="shared" si="26"/>
        <v>830.58249999999998</v>
      </c>
      <c r="V186" s="4">
        <f t="shared" ca="1" si="27"/>
        <v>42</v>
      </c>
      <c r="W186" s="20">
        <f t="shared" ca="1" si="33"/>
        <v>64588.025177587559</v>
      </c>
      <c r="X186" s="4">
        <f t="shared" si="28"/>
        <v>9407.2799999999988</v>
      </c>
      <c r="Y186" s="13">
        <f t="shared" si="29"/>
        <v>0.23999999999999996</v>
      </c>
    </row>
    <row r="187" spans="1:25" x14ac:dyDescent="0.3">
      <c r="A187" s="12" t="s">
        <v>416</v>
      </c>
      <c r="B187" s="7">
        <v>45213</v>
      </c>
      <c r="C187" s="4" t="s">
        <v>417</v>
      </c>
      <c r="D187" s="4" t="s">
        <v>53</v>
      </c>
      <c r="E187" s="4">
        <v>37332</v>
      </c>
      <c r="F187" s="4">
        <v>9.1</v>
      </c>
      <c r="G187" s="4">
        <v>36</v>
      </c>
      <c r="H187" s="4" t="s">
        <v>19</v>
      </c>
      <c r="I187" s="4" t="s">
        <v>57</v>
      </c>
      <c r="J187" s="4" t="s">
        <v>32</v>
      </c>
      <c r="K187" s="4">
        <v>46544</v>
      </c>
      <c r="L187" s="4" t="s">
        <v>33</v>
      </c>
      <c r="M187" s="4">
        <v>0.24</v>
      </c>
      <c r="N187" s="4">
        <v>0.86</v>
      </c>
      <c r="O187" s="4">
        <v>40729.21</v>
      </c>
      <c r="P187" s="4">
        <v>0</v>
      </c>
      <c r="Q187" s="6">
        <f t="shared" si="30"/>
        <v>1188.8858616095354</v>
      </c>
      <c r="R187" s="6">
        <f t="shared" si="23"/>
        <v>5467.8910179432714</v>
      </c>
      <c r="S187" s="4">
        <f t="shared" si="24"/>
        <v>43409.302325581397</v>
      </c>
      <c r="T187" s="4">
        <f t="shared" si="25"/>
        <v>3878.6666666666665</v>
      </c>
      <c r="U187" s="4">
        <f t="shared" si="26"/>
        <v>930.87999999999988</v>
      </c>
      <c r="V187" s="4">
        <f t="shared" ca="1" si="27"/>
        <v>29</v>
      </c>
      <c r="W187" s="20">
        <f t="shared" ca="1" si="33"/>
        <v>34477.689986676523</v>
      </c>
      <c r="X187" s="4">
        <f t="shared" si="28"/>
        <v>3397.2099999999991</v>
      </c>
      <c r="Y187" s="13">
        <f t="shared" si="29"/>
        <v>9.0999946426658068E-2</v>
      </c>
    </row>
    <row r="188" spans="1:25" x14ac:dyDescent="0.3">
      <c r="A188" s="12" t="s">
        <v>418</v>
      </c>
      <c r="B188" s="7">
        <v>45077</v>
      </c>
      <c r="C188" s="4" t="s">
        <v>419</v>
      </c>
      <c r="D188" s="4" t="s">
        <v>46</v>
      </c>
      <c r="E188" s="4">
        <v>35157</v>
      </c>
      <c r="F188" s="4">
        <v>16.3</v>
      </c>
      <c r="G188" s="4">
        <v>60</v>
      </c>
      <c r="H188" s="4" t="s">
        <v>26</v>
      </c>
      <c r="I188" s="4" t="s">
        <v>84</v>
      </c>
      <c r="J188" s="4" t="s">
        <v>28</v>
      </c>
      <c r="K188" s="4">
        <v>45899</v>
      </c>
      <c r="L188" s="4" t="s">
        <v>33</v>
      </c>
      <c r="M188" s="4">
        <v>0.42</v>
      </c>
      <c r="N188" s="4">
        <v>0.55000000000000004</v>
      </c>
      <c r="O188" s="4">
        <v>12505.08</v>
      </c>
      <c r="P188" s="4">
        <v>0</v>
      </c>
      <c r="Q188" s="6">
        <f t="shared" si="30"/>
        <v>860.56405325835942</v>
      </c>
      <c r="R188" s="6">
        <f t="shared" si="23"/>
        <v>16476.843195501562</v>
      </c>
      <c r="S188" s="4">
        <f t="shared" si="24"/>
        <v>63921.818181818177</v>
      </c>
      <c r="T188" s="4">
        <f t="shared" si="25"/>
        <v>3824.9166666666665</v>
      </c>
      <c r="U188" s="4">
        <f t="shared" si="26"/>
        <v>1606.4649999999999</v>
      </c>
      <c r="V188" s="4">
        <f t="shared" ca="1" si="27"/>
        <v>33</v>
      </c>
      <c r="W188" s="20">
        <f t="shared" ca="1" si="33"/>
        <v>28398.613757525862</v>
      </c>
      <c r="X188" s="4">
        <f t="shared" si="28"/>
        <v>-22651.919999999998</v>
      </c>
      <c r="Y188" s="13">
        <f t="shared" si="29"/>
        <v>-0.64430753477259151</v>
      </c>
    </row>
    <row r="189" spans="1:25" x14ac:dyDescent="0.3">
      <c r="A189" s="12" t="s">
        <v>420</v>
      </c>
      <c r="B189" s="7">
        <v>44198</v>
      </c>
      <c r="C189" s="4" t="s">
        <v>421</v>
      </c>
      <c r="D189" s="4" t="s">
        <v>72</v>
      </c>
      <c r="E189" s="4">
        <v>12593</v>
      </c>
      <c r="F189" s="4">
        <v>24.6</v>
      </c>
      <c r="G189" s="4">
        <v>60</v>
      </c>
      <c r="H189" s="4" t="s">
        <v>26</v>
      </c>
      <c r="I189" s="4" t="s">
        <v>73</v>
      </c>
      <c r="J189" s="4" t="s">
        <v>21</v>
      </c>
      <c r="K189" s="4">
        <v>59063</v>
      </c>
      <c r="L189" s="4" t="s">
        <v>22</v>
      </c>
      <c r="M189" s="4">
        <v>0.2</v>
      </c>
      <c r="N189" s="4">
        <v>0.56000000000000005</v>
      </c>
      <c r="O189" s="4">
        <v>3295.91</v>
      </c>
      <c r="P189" s="4">
        <v>0</v>
      </c>
      <c r="Q189" s="6">
        <f t="shared" si="30"/>
        <v>366.67392656399369</v>
      </c>
      <c r="R189" s="6">
        <f t="shared" si="23"/>
        <v>9407.435593839622</v>
      </c>
      <c r="S189" s="4">
        <f t="shared" si="24"/>
        <v>22487.499999999996</v>
      </c>
      <c r="T189" s="4">
        <f t="shared" si="25"/>
        <v>4921.916666666667</v>
      </c>
      <c r="U189" s="4">
        <f t="shared" si="26"/>
        <v>984.38333333333344</v>
      </c>
      <c r="V189" s="4">
        <f t="shared" ca="1" si="27"/>
        <v>62</v>
      </c>
      <c r="W189" s="20">
        <f t="shared" ca="1" si="33"/>
        <v>22733.783446967609</v>
      </c>
      <c r="X189" s="4">
        <f t="shared" si="28"/>
        <v>-9297.09</v>
      </c>
      <c r="Y189" s="13">
        <f t="shared" si="29"/>
        <v>-0.73827443817994121</v>
      </c>
    </row>
    <row r="190" spans="1:25" x14ac:dyDescent="0.3">
      <c r="A190" s="12" t="s">
        <v>422</v>
      </c>
      <c r="B190" s="7">
        <v>45093</v>
      </c>
      <c r="C190" s="4" t="s">
        <v>423</v>
      </c>
      <c r="D190" s="4" t="s">
        <v>40</v>
      </c>
      <c r="E190" s="4">
        <v>18320</v>
      </c>
      <c r="F190" s="4">
        <v>8.3000000000000007</v>
      </c>
      <c r="G190" s="4">
        <v>36</v>
      </c>
      <c r="H190" s="4" t="s">
        <v>19</v>
      </c>
      <c r="I190" s="4" t="s">
        <v>27</v>
      </c>
      <c r="J190" s="4" t="s">
        <v>37</v>
      </c>
      <c r="K190" s="4">
        <v>120880</v>
      </c>
      <c r="L190" s="4" t="s">
        <v>33</v>
      </c>
      <c r="M190" s="4">
        <v>0.49</v>
      </c>
      <c r="N190" s="4">
        <v>0.63</v>
      </c>
      <c r="O190" s="4">
        <v>19840.560000000001</v>
      </c>
      <c r="P190" s="4">
        <v>0</v>
      </c>
      <c r="Q190" s="6">
        <f t="shared" si="30"/>
        <v>576.62100645435839</v>
      </c>
      <c r="R190" s="6">
        <f t="shared" si="23"/>
        <v>2438.3562323569022</v>
      </c>
      <c r="S190" s="4">
        <f t="shared" si="24"/>
        <v>29079.365079365078</v>
      </c>
      <c r="T190" s="4">
        <f t="shared" si="25"/>
        <v>10073.333333333334</v>
      </c>
      <c r="U190" s="4">
        <f t="shared" si="26"/>
        <v>4935.9333333333334</v>
      </c>
      <c r="V190" s="4">
        <f t="shared" ca="1" si="27"/>
        <v>33</v>
      </c>
      <c r="W190" s="20">
        <f t="shared" ca="1" si="33"/>
        <v>19028.493212993828</v>
      </c>
      <c r="X190" s="4">
        <f t="shared" si="28"/>
        <v>1520.5600000000013</v>
      </c>
      <c r="Y190" s="13">
        <f t="shared" si="29"/>
        <v>8.3000000000000074E-2</v>
      </c>
    </row>
    <row r="191" spans="1:25" x14ac:dyDescent="0.3">
      <c r="A191" s="12" t="s">
        <v>424</v>
      </c>
      <c r="B191" s="7">
        <v>44450</v>
      </c>
      <c r="C191" s="4" t="s">
        <v>425</v>
      </c>
      <c r="D191" s="4" t="s">
        <v>18</v>
      </c>
      <c r="E191" s="4">
        <v>28376</v>
      </c>
      <c r="F191" s="4">
        <v>19</v>
      </c>
      <c r="G191" s="4">
        <v>60</v>
      </c>
      <c r="H191" s="4" t="s">
        <v>19</v>
      </c>
      <c r="I191" s="4" t="s">
        <v>57</v>
      </c>
      <c r="J191" s="4" t="s">
        <v>47</v>
      </c>
      <c r="K191" s="4">
        <v>33748</v>
      </c>
      <c r="L191" s="4" t="s">
        <v>22</v>
      </c>
      <c r="M191" s="4">
        <v>0.24</v>
      </c>
      <c r="N191" s="4">
        <v>0.73</v>
      </c>
      <c r="O191" s="4">
        <v>33767.440000000002</v>
      </c>
      <c r="P191" s="4">
        <v>0</v>
      </c>
      <c r="Q191" s="6">
        <f t="shared" si="30"/>
        <v>736.08907921154696</v>
      </c>
      <c r="R191" s="6">
        <f t="shared" si="23"/>
        <v>15789.344752692821</v>
      </c>
      <c r="S191" s="4">
        <f t="shared" si="24"/>
        <v>38871.232876712333</v>
      </c>
      <c r="T191" s="4">
        <f t="shared" si="25"/>
        <v>2812.3333333333335</v>
      </c>
      <c r="U191" s="4">
        <f t="shared" si="26"/>
        <v>674.96</v>
      </c>
      <c r="V191" s="4">
        <f t="shared" ca="1" si="27"/>
        <v>54</v>
      </c>
      <c r="W191" s="20">
        <f t="shared" ca="1" si="33"/>
        <v>39748.810277423538</v>
      </c>
      <c r="X191" s="4">
        <f t="shared" si="28"/>
        <v>5391.4400000000023</v>
      </c>
      <c r="Y191" s="13">
        <f t="shared" si="29"/>
        <v>0.19000000000000009</v>
      </c>
    </row>
    <row r="192" spans="1:25" x14ac:dyDescent="0.3">
      <c r="A192" s="12" t="s">
        <v>426</v>
      </c>
      <c r="B192" s="7">
        <v>44649</v>
      </c>
      <c r="C192" s="4" t="s">
        <v>427</v>
      </c>
      <c r="D192" s="4" t="s">
        <v>76</v>
      </c>
      <c r="E192" s="4">
        <v>15199</v>
      </c>
      <c r="F192" s="4">
        <v>16.7</v>
      </c>
      <c r="G192" s="4">
        <v>60</v>
      </c>
      <c r="H192" s="4" t="s">
        <v>26</v>
      </c>
      <c r="I192" s="4" t="s">
        <v>57</v>
      </c>
      <c r="J192" s="4" t="s">
        <v>21</v>
      </c>
      <c r="K192" s="4">
        <v>135022</v>
      </c>
      <c r="L192" s="4" t="s">
        <v>33</v>
      </c>
      <c r="M192" s="4">
        <v>0.23</v>
      </c>
      <c r="N192" s="4">
        <v>0.84</v>
      </c>
      <c r="O192" s="4">
        <v>3413</v>
      </c>
      <c r="P192" s="4">
        <v>0</v>
      </c>
      <c r="Q192" s="6">
        <f t="shared" si="30"/>
        <v>375.28690634015214</v>
      </c>
      <c r="R192" s="6">
        <f t="shared" si="23"/>
        <v>7318.2143804091284</v>
      </c>
      <c r="S192" s="4">
        <f t="shared" si="24"/>
        <v>18094.047619047618</v>
      </c>
      <c r="T192" s="4">
        <f t="shared" si="25"/>
        <v>11251.833333333334</v>
      </c>
      <c r="U192" s="4">
        <f t="shared" si="26"/>
        <v>2587.9216666666671</v>
      </c>
      <c r="V192" s="4">
        <f t="shared" ca="1" si="27"/>
        <v>47</v>
      </c>
      <c r="W192" s="20">
        <f t="shared" ca="1" si="33"/>
        <v>17638.48459798715</v>
      </c>
      <c r="X192" s="4">
        <f t="shared" si="28"/>
        <v>-11786</v>
      </c>
      <c r="Y192" s="13">
        <f t="shared" si="29"/>
        <v>-0.77544575301006646</v>
      </c>
    </row>
    <row r="193" spans="1:25" x14ac:dyDescent="0.3">
      <c r="A193" s="12" t="s">
        <v>428</v>
      </c>
      <c r="B193" s="7">
        <v>45257</v>
      </c>
      <c r="C193" s="4" t="s">
        <v>429</v>
      </c>
      <c r="D193" s="4" t="s">
        <v>53</v>
      </c>
      <c r="E193" s="4">
        <v>16876</v>
      </c>
      <c r="F193" s="4">
        <v>16.7</v>
      </c>
      <c r="G193" s="4">
        <v>36</v>
      </c>
      <c r="H193" s="4" t="s">
        <v>26</v>
      </c>
      <c r="I193" s="4" t="s">
        <v>41</v>
      </c>
      <c r="J193" s="4" t="s">
        <v>32</v>
      </c>
      <c r="K193" s="4">
        <v>147269</v>
      </c>
      <c r="L193" s="4" t="s">
        <v>29</v>
      </c>
      <c r="M193" s="4">
        <v>0.22</v>
      </c>
      <c r="N193" s="4">
        <v>0.88</v>
      </c>
      <c r="O193" s="4">
        <v>3698.91</v>
      </c>
      <c r="P193" s="4">
        <v>0</v>
      </c>
      <c r="Q193" s="6">
        <f t="shared" si="30"/>
        <v>599.15877385867054</v>
      </c>
      <c r="R193" s="6">
        <f t="shared" si="23"/>
        <v>4693.7158589121391</v>
      </c>
      <c r="S193" s="4">
        <f t="shared" si="24"/>
        <v>19177.272727272728</v>
      </c>
      <c r="T193" s="4">
        <f t="shared" si="25"/>
        <v>12272.416666666666</v>
      </c>
      <c r="U193" s="4">
        <f t="shared" si="26"/>
        <v>2699.9316666666664</v>
      </c>
      <c r="V193" s="4">
        <f t="shared" ca="1" si="27"/>
        <v>27</v>
      </c>
      <c r="W193" s="20">
        <f t="shared" ca="1" si="33"/>
        <v>16177.286894184104</v>
      </c>
      <c r="X193" s="4">
        <f t="shared" si="28"/>
        <v>-13177.09</v>
      </c>
      <c r="Y193" s="13">
        <f t="shared" si="29"/>
        <v>-0.78081832187722211</v>
      </c>
    </row>
    <row r="194" spans="1:25" x14ac:dyDescent="0.3">
      <c r="A194" s="12" t="s">
        <v>430</v>
      </c>
      <c r="B194" s="7">
        <v>45211</v>
      </c>
      <c r="C194" s="4" t="s">
        <v>431</v>
      </c>
      <c r="D194" s="4" t="s">
        <v>25</v>
      </c>
      <c r="E194" s="4">
        <v>9245</v>
      </c>
      <c r="F194" s="4">
        <v>19</v>
      </c>
      <c r="G194" s="4">
        <v>60</v>
      </c>
      <c r="H194" s="4" t="s">
        <v>60</v>
      </c>
      <c r="I194" s="4" t="s">
        <v>20</v>
      </c>
      <c r="J194" s="4" t="s">
        <v>28</v>
      </c>
      <c r="K194" s="4">
        <v>96629</v>
      </c>
      <c r="L194" s="4" t="s">
        <v>22</v>
      </c>
      <c r="M194" s="4">
        <v>0.15</v>
      </c>
      <c r="N194" s="4">
        <v>0.82</v>
      </c>
      <c r="O194" s="4">
        <v>0</v>
      </c>
      <c r="P194" s="4">
        <v>0</v>
      </c>
      <c r="Q194" s="6">
        <f t="shared" si="30"/>
        <v>239.82039530979532</v>
      </c>
      <c r="R194" s="6">
        <f t="shared" ref="R194:R257" si="34">(Q194*G194)-E194</f>
        <v>5144.2237185877184</v>
      </c>
      <c r="S194" s="4">
        <f t="shared" ref="S194:S257" si="35">E194 / N194</f>
        <v>11274.39024390244</v>
      </c>
      <c r="T194" s="4">
        <f t="shared" ref="T194:T257" si="36">K194/12</f>
        <v>8052.416666666667</v>
      </c>
      <c r="U194" s="4">
        <f t="shared" ref="U194:U257" si="37">M194*T194</f>
        <v>1207.8625</v>
      </c>
      <c r="V194" s="4">
        <f t="shared" ref="V194:V257" ca="1" si="38">DATEDIF(B194, TODAY(), "m")</f>
        <v>29</v>
      </c>
      <c r="W194" s="20">
        <f t="shared" ca="1" si="33"/>
        <v>6954.7914639840637</v>
      </c>
      <c r="X194" s="4">
        <f t="shared" ref="X194:X257" si="39">(O194 + P194) - E194</f>
        <v>-9245</v>
      </c>
      <c r="Y194" s="13">
        <f t="shared" ref="Y194:Y257" si="40">(X194/E194)</f>
        <v>-1</v>
      </c>
    </row>
    <row r="195" spans="1:25" x14ac:dyDescent="0.3">
      <c r="A195" s="12" t="s">
        <v>432</v>
      </c>
      <c r="B195" s="7">
        <v>44205</v>
      </c>
      <c r="C195" s="4" t="s">
        <v>433</v>
      </c>
      <c r="D195" s="4" t="s">
        <v>18</v>
      </c>
      <c r="E195" s="4">
        <v>8214</v>
      </c>
      <c r="F195" s="4">
        <v>23.6</v>
      </c>
      <c r="G195" s="4">
        <v>60</v>
      </c>
      <c r="H195" s="4" t="s">
        <v>26</v>
      </c>
      <c r="I195" s="4" t="s">
        <v>73</v>
      </c>
      <c r="J195" s="4" t="s">
        <v>32</v>
      </c>
      <c r="K195" s="4">
        <v>110764</v>
      </c>
      <c r="L195" s="4" t="s">
        <v>29</v>
      </c>
      <c r="M195" s="4">
        <v>0.14000000000000001</v>
      </c>
      <c r="N195" s="4">
        <v>0.92</v>
      </c>
      <c r="O195" s="4">
        <v>2776.51</v>
      </c>
      <c r="P195" s="4">
        <v>0</v>
      </c>
      <c r="Q195" s="6">
        <f t="shared" ref="Q195:Q258" si="41">PMT(F195/100/12, G195, -E195)</f>
        <v>234.39684190530539</v>
      </c>
      <c r="R195" s="6">
        <f t="shared" si="34"/>
        <v>5849.8105143183238</v>
      </c>
      <c r="S195" s="4">
        <f t="shared" si="35"/>
        <v>8928.2608695652161</v>
      </c>
      <c r="T195" s="4">
        <f t="shared" si="36"/>
        <v>9230.3333333333339</v>
      </c>
      <c r="U195" s="4">
        <f t="shared" si="37"/>
        <v>1292.2466666666669</v>
      </c>
      <c r="V195" s="4">
        <f t="shared" ca="1" si="38"/>
        <v>62</v>
      </c>
      <c r="W195" s="20">
        <f t="shared" ca="1" si="33"/>
        <v>14532.604198128935</v>
      </c>
      <c r="X195" s="4">
        <f t="shared" si="39"/>
        <v>-5437.49</v>
      </c>
      <c r="Y195" s="13">
        <f t="shared" si="40"/>
        <v>-0.66197832968103232</v>
      </c>
    </row>
    <row r="196" spans="1:25" x14ac:dyDescent="0.3">
      <c r="A196" s="12" t="s">
        <v>434</v>
      </c>
      <c r="B196" s="7">
        <v>45012</v>
      </c>
      <c r="C196" s="4" t="s">
        <v>435</v>
      </c>
      <c r="D196" s="4" t="s">
        <v>56</v>
      </c>
      <c r="E196" s="4">
        <v>1726</v>
      </c>
      <c r="F196" s="4">
        <v>20.7</v>
      </c>
      <c r="G196" s="4">
        <v>36</v>
      </c>
      <c r="H196" s="4" t="s">
        <v>26</v>
      </c>
      <c r="I196" s="4" t="s">
        <v>84</v>
      </c>
      <c r="J196" s="4" t="s">
        <v>21</v>
      </c>
      <c r="K196" s="4">
        <v>50884</v>
      </c>
      <c r="L196" s="4" t="s">
        <v>22</v>
      </c>
      <c r="M196" s="4">
        <v>0.36</v>
      </c>
      <c r="N196" s="4">
        <v>0.83</v>
      </c>
      <c r="O196" s="4">
        <v>470.61</v>
      </c>
      <c r="P196" s="4">
        <v>0</v>
      </c>
      <c r="Q196" s="6">
        <f t="shared" si="41"/>
        <v>64.761611191041581</v>
      </c>
      <c r="R196" s="6">
        <f t="shared" si="34"/>
        <v>605.41800287749675</v>
      </c>
      <c r="S196" s="4">
        <f t="shared" si="35"/>
        <v>2079.5180722891569</v>
      </c>
      <c r="T196" s="4">
        <f t="shared" si="36"/>
        <v>4240.333333333333</v>
      </c>
      <c r="U196" s="4">
        <f t="shared" si="37"/>
        <v>1526.5199999999998</v>
      </c>
      <c r="V196" s="4">
        <f t="shared" ca="1" si="38"/>
        <v>35</v>
      </c>
      <c r="W196" s="20">
        <f t="shared" ca="1" si="33"/>
        <v>2266.6563916864552</v>
      </c>
      <c r="X196" s="4">
        <f t="shared" si="39"/>
        <v>-1255.3899999999999</v>
      </c>
      <c r="Y196" s="13">
        <f t="shared" si="40"/>
        <v>-0.72734067207415987</v>
      </c>
    </row>
    <row r="197" spans="1:25" x14ac:dyDescent="0.3">
      <c r="A197" s="12" t="s">
        <v>436</v>
      </c>
      <c r="B197" s="7">
        <v>44404</v>
      </c>
      <c r="C197" s="4" t="s">
        <v>437</v>
      </c>
      <c r="D197" s="4" t="s">
        <v>50</v>
      </c>
      <c r="E197" s="4">
        <v>12362</v>
      </c>
      <c r="F197" s="4">
        <v>6.1</v>
      </c>
      <c r="G197" s="4">
        <v>36</v>
      </c>
      <c r="H197" s="4" t="s">
        <v>19</v>
      </c>
      <c r="I197" s="4" t="s">
        <v>20</v>
      </c>
      <c r="J197" s="4" t="s">
        <v>47</v>
      </c>
      <c r="K197" s="4">
        <v>55183</v>
      </c>
      <c r="L197" s="4" t="s">
        <v>33</v>
      </c>
      <c r="M197" s="4">
        <v>0.45</v>
      </c>
      <c r="N197" s="4">
        <v>0.64</v>
      </c>
      <c r="O197" s="4">
        <v>13116.08</v>
      </c>
      <c r="P197" s="4">
        <v>0</v>
      </c>
      <c r="Q197" s="6">
        <f t="shared" si="41"/>
        <v>376.63636939617999</v>
      </c>
      <c r="R197" s="6">
        <f t="shared" si="34"/>
        <v>1196.9092982624788</v>
      </c>
      <c r="S197" s="4">
        <f t="shared" si="35"/>
        <v>19315.625</v>
      </c>
      <c r="T197" s="4">
        <f t="shared" si="36"/>
        <v>4598.583333333333</v>
      </c>
      <c r="U197" s="4">
        <f t="shared" si="37"/>
        <v>2069.3624999999997</v>
      </c>
      <c r="V197" s="4">
        <f t="shared" ca="1" si="38"/>
        <v>55</v>
      </c>
      <c r="W197" s="20">
        <f t="shared" ca="1" si="33"/>
        <v>20715.000316789898</v>
      </c>
      <c r="X197" s="4">
        <f t="shared" si="39"/>
        <v>754.07999999999993</v>
      </c>
      <c r="Y197" s="13">
        <f t="shared" si="40"/>
        <v>6.099983821388124E-2</v>
      </c>
    </row>
    <row r="198" spans="1:25" x14ac:dyDescent="0.3">
      <c r="A198" s="12" t="s">
        <v>438</v>
      </c>
      <c r="B198" s="7">
        <v>44600</v>
      </c>
      <c r="C198" s="4" t="s">
        <v>439</v>
      </c>
      <c r="D198" s="4" t="s">
        <v>56</v>
      </c>
      <c r="E198" s="4">
        <v>19297</v>
      </c>
      <c r="F198" s="4">
        <v>22.1</v>
      </c>
      <c r="G198" s="4">
        <v>60</v>
      </c>
      <c r="H198" s="4" t="s">
        <v>19</v>
      </c>
      <c r="I198" s="4" t="s">
        <v>57</v>
      </c>
      <c r="J198" s="4" t="s">
        <v>37</v>
      </c>
      <c r="K198" s="4">
        <v>111570</v>
      </c>
      <c r="L198" s="4" t="s">
        <v>33</v>
      </c>
      <c r="M198" s="4">
        <v>0.42</v>
      </c>
      <c r="N198" s="4">
        <v>0.62</v>
      </c>
      <c r="O198" s="4">
        <v>23561.64</v>
      </c>
      <c r="P198" s="4">
        <v>0</v>
      </c>
      <c r="Q198" s="6">
        <f t="shared" si="41"/>
        <v>534.05988931955187</v>
      </c>
      <c r="R198" s="6">
        <f t="shared" si="34"/>
        <v>12746.593359173112</v>
      </c>
      <c r="S198" s="4">
        <f t="shared" si="35"/>
        <v>31124.193548387098</v>
      </c>
      <c r="T198" s="4">
        <f t="shared" si="36"/>
        <v>9297.5</v>
      </c>
      <c r="U198" s="4">
        <f t="shared" si="37"/>
        <v>3904.95</v>
      </c>
      <c r="V198" s="4">
        <f t="shared" ca="1" si="38"/>
        <v>49</v>
      </c>
      <c r="W198" s="20">
        <f t="shared" ca="1" si="33"/>
        <v>26168.934576658041</v>
      </c>
      <c r="X198" s="4">
        <f t="shared" si="39"/>
        <v>4264.6399999999994</v>
      </c>
      <c r="Y198" s="13">
        <f t="shared" si="40"/>
        <v>0.22100015546457996</v>
      </c>
    </row>
    <row r="199" spans="1:25" x14ac:dyDescent="0.3">
      <c r="A199" s="12" t="s">
        <v>440</v>
      </c>
      <c r="B199" s="7">
        <v>44348</v>
      </c>
      <c r="C199" s="4" t="s">
        <v>441</v>
      </c>
      <c r="D199" s="4" t="s">
        <v>56</v>
      </c>
      <c r="E199" s="4">
        <v>31448</v>
      </c>
      <c r="F199" s="4">
        <v>9.5</v>
      </c>
      <c r="G199" s="4">
        <v>36</v>
      </c>
      <c r="H199" s="4" t="s">
        <v>19</v>
      </c>
      <c r="I199" s="4" t="s">
        <v>73</v>
      </c>
      <c r="J199" s="4" t="s">
        <v>21</v>
      </c>
      <c r="K199" s="4">
        <v>101246</v>
      </c>
      <c r="L199" s="4" t="s">
        <v>29</v>
      </c>
      <c r="M199" s="4">
        <v>0.16</v>
      </c>
      <c r="N199" s="4">
        <v>0.81</v>
      </c>
      <c r="O199" s="4">
        <v>34435.56</v>
      </c>
      <c r="P199" s="4">
        <v>0</v>
      </c>
      <c r="Q199" s="6">
        <f t="shared" si="41"/>
        <v>1007.3722034481025</v>
      </c>
      <c r="R199" s="6">
        <f t="shared" si="34"/>
        <v>4817.399324131693</v>
      </c>
      <c r="S199" s="4">
        <f t="shared" si="35"/>
        <v>38824.691358024691</v>
      </c>
      <c r="T199" s="4">
        <f t="shared" si="36"/>
        <v>8437.1666666666661</v>
      </c>
      <c r="U199" s="4">
        <f t="shared" si="37"/>
        <v>1349.9466666666665</v>
      </c>
      <c r="V199" s="4">
        <f t="shared" ca="1" si="38"/>
        <v>57</v>
      </c>
      <c r="W199" s="20">
        <f t="shared" ca="1" si="33"/>
        <v>57420.215596541842</v>
      </c>
      <c r="X199" s="4">
        <f t="shared" si="39"/>
        <v>2987.5599999999977</v>
      </c>
      <c r="Y199" s="13">
        <f t="shared" si="40"/>
        <v>9.4999999999999932E-2</v>
      </c>
    </row>
    <row r="200" spans="1:25" x14ac:dyDescent="0.3">
      <c r="A200" s="12" t="s">
        <v>442</v>
      </c>
      <c r="B200" s="7">
        <v>44250</v>
      </c>
      <c r="C200" s="4" t="s">
        <v>443</v>
      </c>
      <c r="D200" s="4" t="s">
        <v>40</v>
      </c>
      <c r="E200" s="4">
        <v>27172</v>
      </c>
      <c r="F200" s="4">
        <v>12.5</v>
      </c>
      <c r="G200" s="4">
        <v>60</v>
      </c>
      <c r="H200" s="4" t="s">
        <v>26</v>
      </c>
      <c r="I200" s="4" t="s">
        <v>73</v>
      </c>
      <c r="J200" s="4" t="s">
        <v>47</v>
      </c>
      <c r="K200" s="4">
        <v>138036</v>
      </c>
      <c r="L200" s="4" t="s">
        <v>33</v>
      </c>
      <c r="M200" s="4">
        <v>0.32</v>
      </c>
      <c r="N200" s="4">
        <v>0.59</v>
      </c>
      <c r="O200" s="4">
        <v>11741.28</v>
      </c>
      <c r="P200" s="4">
        <v>0</v>
      </c>
      <c r="Q200" s="6">
        <f t="shared" si="41"/>
        <v>611.31397746099924</v>
      </c>
      <c r="R200" s="6">
        <f t="shared" si="34"/>
        <v>9506.8386476599553</v>
      </c>
      <c r="S200" s="4">
        <f t="shared" si="35"/>
        <v>46054.237288135599</v>
      </c>
      <c r="T200" s="4">
        <f t="shared" si="36"/>
        <v>11503</v>
      </c>
      <c r="U200" s="4">
        <f t="shared" si="37"/>
        <v>3680.96</v>
      </c>
      <c r="V200" s="4">
        <f t="shared" ca="1" si="38"/>
        <v>60</v>
      </c>
      <c r="W200" s="20">
        <f t="shared" ca="1" si="33"/>
        <v>36678.838647659955</v>
      </c>
      <c r="X200" s="4">
        <f t="shared" si="39"/>
        <v>-15430.72</v>
      </c>
      <c r="Y200" s="13">
        <f t="shared" si="40"/>
        <v>-0.56789047548947447</v>
      </c>
    </row>
    <row r="201" spans="1:25" x14ac:dyDescent="0.3">
      <c r="A201" s="12" t="s">
        <v>444</v>
      </c>
      <c r="B201" s="7">
        <v>44824</v>
      </c>
      <c r="C201" s="4" t="s">
        <v>445</v>
      </c>
      <c r="D201" s="4" t="s">
        <v>65</v>
      </c>
      <c r="E201" s="4">
        <v>8657</v>
      </c>
      <c r="F201" s="4">
        <v>14.2</v>
      </c>
      <c r="G201" s="4">
        <v>36</v>
      </c>
      <c r="H201" s="4" t="s">
        <v>26</v>
      </c>
      <c r="I201" s="4" t="s">
        <v>73</v>
      </c>
      <c r="J201" s="4" t="s">
        <v>21</v>
      </c>
      <c r="K201" s="4">
        <v>49259</v>
      </c>
      <c r="L201" s="4" t="s">
        <v>22</v>
      </c>
      <c r="M201" s="4">
        <v>0.14000000000000001</v>
      </c>
      <c r="N201" s="4">
        <v>0.54</v>
      </c>
      <c r="O201" s="4">
        <v>3840.38</v>
      </c>
      <c r="P201" s="4">
        <v>0</v>
      </c>
      <c r="Q201" s="6">
        <f t="shared" si="41"/>
        <v>296.71736178048707</v>
      </c>
      <c r="R201" s="6">
        <f t="shared" si="34"/>
        <v>2024.825024097534</v>
      </c>
      <c r="S201" s="4">
        <f t="shared" si="35"/>
        <v>16031.48148148148</v>
      </c>
      <c r="T201" s="4">
        <f t="shared" si="36"/>
        <v>4104.916666666667</v>
      </c>
      <c r="U201" s="4">
        <f t="shared" si="37"/>
        <v>574.68833333333339</v>
      </c>
      <c r="V201" s="4">
        <f t="shared" ca="1" si="38"/>
        <v>41</v>
      </c>
      <c r="W201" s="20">
        <f t="shared" ca="1" si="33"/>
        <v>12165.411832999969</v>
      </c>
      <c r="X201" s="4">
        <f t="shared" si="39"/>
        <v>-4816.62</v>
      </c>
      <c r="Y201" s="13">
        <f t="shared" si="40"/>
        <v>-0.55638442878595351</v>
      </c>
    </row>
    <row r="202" spans="1:25" x14ac:dyDescent="0.3">
      <c r="A202" s="12" t="s">
        <v>446</v>
      </c>
      <c r="B202" s="7">
        <v>44783</v>
      </c>
      <c r="C202" s="4" t="s">
        <v>447</v>
      </c>
      <c r="D202" s="4" t="s">
        <v>76</v>
      </c>
      <c r="E202" s="4">
        <v>19850</v>
      </c>
      <c r="F202" s="4">
        <v>14.6</v>
      </c>
      <c r="G202" s="4">
        <v>60</v>
      </c>
      <c r="H202" s="4" t="s">
        <v>19</v>
      </c>
      <c r="I202" s="4" t="s">
        <v>57</v>
      </c>
      <c r="J202" s="4" t="s">
        <v>28</v>
      </c>
      <c r="K202" s="4">
        <v>65959</v>
      </c>
      <c r="L202" s="4" t="s">
        <v>33</v>
      </c>
      <c r="M202" s="4">
        <v>0.12</v>
      </c>
      <c r="N202" s="4">
        <v>0.74</v>
      </c>
      <c r="O202" s="4">
        <v>22748.1</v>
      </c>
      <c r="P202" s="4">
        <v>0</v>
      </c>
      <c r="Q202" s="6">
        <f t="shared" si="41"/>
        <v>468.0725596585624</v>
      </c>
      <c r="R202" s="6">
        <f t="shared" si="34"/>
        <v>8234.3535795137432</v>
      </c>
      <c r="S202" s="4">
        <f t="shared" si="35"/>
        <v>26824.324324324323</v>
      </c>
      <c r="T202" s="4">
        <f t="shared" si="36"/>
        <v>5496.583333333333</v>
      </c>
      <c r="U202" s="4">
        <f t="shared" si="37"/>
        <v>659.58999999999992</v>
      </c>
      <c r="V202" s="4">
        <f t="shared" ca="1" si="38"/>
        <v>43</v>
      </c>
      <c r="W202" s="20">
        <f t="shared" ca="1" si="33"/>
        <v>20127.120065318184</v>
      </c>
      <c r="X202" s="4">
        <f t="shared" si="39"/>
        <v>2898.0999999999985</v>
      </c>
      <c r="Y202" s="13">
        <f t="shared" si="40"/>
        <v>0.14599999999999994</v>
      </c>
    </row>
    <row r="203" spans="1:25" x14ac:dyDescent="0.3">
      <c r="A203" s="12" t="s">
        <v>448</v>
      </c>
      <c r="B203" s="7">
        <v>44300</v>
      </c>
      <c r="C203" s="4" t="s">
        <v>449</v>
      </c>
      <c r="D203" s="4" t="s">
        <v>53</v>
      </c>
      <c r="E203" s="4">
        <v>26425</v>
      </c>
      <c r="F203" s="4">
        <v>13.7</v>
      </c>
      <c r="G203" s="4">
        <v>36</v>
      </c>
      <c r="H203" s="4" t="s">
        <v>19</v>
      </c>
      <c r="I203" s="4" t="s">
        <v>73</v>
      </c>
      <c r="J203" s="4" t="s">
        <v>32</v>
      </c>
      <c r="K203" s="4">
        <v>146525</v>
      </c>
      <c r="L203" s="4" t="s">
        <v>33</v>
      </c>
      <c r="M203" s="4">
        <v>0.36</v>
      </c>
      <c r="N203" s="4">
        <v>0.87</v>
      </c>
      <c r="O203" s="4">
        <v>30045.22</v>
      </c>
      <c r="P203" s="4">
        <v>0</v>
      </c>
      <c r="Q203" s="6">
        <f t="shared" si="41"/>
        <v>899.29833636469402</v>
      </c>
      <c r="R203" s="6">
        <f t="shared" si="34"/>
        <v>5949.7401091289867</v>
      </c>
      <c r="S203" s="4">
        <f t="shared" si="35"/>
        <v>30373.563218390806</v>
      </c>
      <c r="T203" s="4">
        <f t="shared" si="36"/>
        <v>12210.416666666666</v>
      </c>
      <c r="U203" s="4">
        <f t="shared" si="37"/>
        <v>4395.75</v>
      </c>
      <c r="V203" s="4">
        <f t="shared" ca="1" si="38"/>
        <v>59</v>
      </c>
      <c r="W203" s="20">
        <f t="shared" ca="1" si="33"/>
        <v>53058.601845516947</v>
      </c>
      <c r="X203" s="4">
        <f t="shared" si="39"/>
        <v>3620.2200000000012</v>
      </c>
      <c r="Y203" s="13">
        <f t="shared" si="40"/>
        <v>0.13699981078524129</v>
      </c>
    </row>
    <row r="204" spans="1:25" x14ac:dyDescent="0.3">
      <c r="A204" s="12" t="s">
        <v>450</v>
      </c>
      <c r="B204" s="7">
        <v>44450</v>
      </c>
      <c r="C204" s="4" t="s">
        <v>451</v>
      </c>
      <c r="D204" s="4" t="s">
        <v>65</v>
      </c>
      <c r="E204" s="4">
        <v>27685</v>
      </c>
      <c r="F204" s="4">
        <v>23.7</v>
      </c>
      <c r="G204" s="4">
        <v>60</v>
      </c>
      <c r="H204" s="4" t="s">
        <v>19</v>
      </c>
      <c r="I204" s="4" t="s">
        <v>73</v>
      </c>
      <c r="J204" s="4" t="s">
        <v>37</v>
      </c>
      <c r="K204" s="4">
        <v>63457</v>
      </c>
      <c r="L204" s="4" t="s">
        <v>22</v>
      </c>
      <c r="M204" s="4">
        <v>0.31</v>
      </c>
      <c r="N204" s="4">
        <v>0.55000000000000004</v>
      </c>
      <c r="O204" s="4">
        <v>34246.339999999997</v>
      </c>
      <c r="P204" s="4">
        <v>0</v>
      </c>
      <c r="Q204" s="6">
        <f t="shared" si="41"/>
        <v>791.62761591621518</v>
      </c>
      <c r="R204" s="6">
        <f t="shared" si="34"/>
        <v>19812.65695497291</v>
      </c>
      <c r="S204" s="4">
        <f t="shared" si="35"/>
        <v>50336.363636363632</v>
      </c>
      <c r="T204" s="4">
        <f t="shared" si="36"/>
        <v>5288.083333333333</v>
      </c>
      <c r="U204" s="4">
        <f t="shared" si="37"/>
        <v>1639.3058333333333</v>
      </c>
      <c r="V204" s="4">
        <f t="shared" ca="1" si="38"/>
        <v>54</v>
      </c>
      <c r="W204" s="20">
        <f t="shared" ca="1" si="33"/>
        <v>42747.891259475618</v>
      </c>
      <c r="X204" s="4">
        <f t="shared" si="39"/>
        <v>6561.3399999999965</v>
      </c>
      <c r="Y204" s="13">
        <f t="shared" si="40"/>
        <v>0.23699981939678513</v>
      </c>
    </row>
    <row r="205" spans="1:25" x14ac:dyDescent="0.3">
      <c r="A205" s="12" t="s">
        <v>452</v>
      </c>
      <c r="B205" s="7">
        <v>44706</v>
      </c>
      <c r="C205" s="4" t="s">
        <v>453</v>
      </c>
      <c r="D205" s="4" t="s">
        <v>18</v>
      </c>
      <c r="E205" s="4">
        <v>25578</v>
      </c>
      <c r="F205" s="4">
        <v>19.100000000000001</v>
      </c>
      <c r="G205" s="4">
        <v>60</v>
      </c>
      <c r="H205" s="4" t="s">
        <v>81</v>
      </c>
      <c r="I205" s="4" t="s">
        <v>27</v>
      </c>
      <c r="J205" s="4" t="s">
        <v>47</v>
      </c>
      <c r="K205" s="4">
        <v>115679</v>
      </c>
      <c r="L205" s="4" t="s">
        <v>29</v>
      </c>
      <c r="M205" s="4">
        <v>0.13</v>
      </c>
      <c r="N205" s="4">
        <v>0.86</v>
      </c>
      <c r="O205" s="4">
        <v>3866.58</v>
      </c>
      <c r="P205" s="4">
        <v>7371.47</v>
      </c>
      <c r="Q205" s="6">
        <f t="shared" si="41"/>
        <v>664.91561186791796</v>
      </c>
      <c r="R205" s="6">
        <f t="shared" si="34"/>
        <v>14316.936712075076</v>
      </c>
      <c r="S205" s="4">
        <f t="shared" si="35"/>
        <v>29741.860465116279</v>
      </c>
      <c r="T205" s="4">
        <f t="shared" si="36"/>
        <v>9639.9166666666661</v>
      </c>
      <c r="U205" s="4">
        <f t="shared" si="37"/>
        <v>1253.1891666666666</v>
      </c>
      <c r="V205" s="4">
        <f t="shared" ca="1" si="38"/>
        <v>45</v>
      </c>
      <c r="W205" s="20">
        <v>0</v>
      </c>
      <c r="X205" s="4">
        <f t="shared" si="39"/>
        <v>-14339.95</v>
      </c>
      <c r="Y205" s="13">
        <f t="shared" si="40"/>
        <v>-0.56063609351786692</v>
      </c>
    </row>
    <row r="206" spans="1:25" x14ac:dyDescent="0.3">
      <c r="A206" s="12" t="s">
        <v>454</v>
      </c>
      <c r="B206" s="7">
        <v>44295</v>
      </c>
      <c r="C206" s="4" t="s">
        <v>455</v>
      </c>
      <c r="D206" s="4" t="s">
        <v>56</v>
      </c>
      <c r="E206" s="4">
        <v>29831</v>
      </c>
      <c r="F206" s="4">
        <v>17.600000000000001</v>
      </c>
      <c r="G206" s="4">
        <v>60</v>
      </c>
      <c r="H206" s="4" t="s">
        <v>26</v>
      </c>
      <c r="I206" s="4" t="s">
        <v>20</v>
      </c>
      <c r="J206" s="4" t="s">
        <v>37</v>
      </c>
      <c r="K206" s="4">
        <v>32103</v>
      </c>
      <c r="L206" s="4" t="s">
        <v>29</v>
      </c>
      <c r="M206" s="4">
        <v>0.11</v>
      </c>
      <c r="N206" s="4">
        <v>0.87</v>
      </c>
      <c r="O206" s="4">
        <v>3320.34</v>
      </c>
      <c r="P206" s="4">
        <v>0</v>
      </c>
      <c r="Q206" s="6">
        <f t="shared" si="41"/>
        <v>751.03511967223619</v>
      </c>
      <c r="R206" s="6">
        <f t="shared" si="34"/>
        <v>15231.107180334169</v>
      </c>
      <c r="S206" s="4">
        <f t="shared" si="35"/>
        <v>34288.505747126437</v>
      </c>
      <c r="T206" s="4">
        <f t="shared" si="36"/>
        <v>2675.25</v>
      </c>
      <c r="U206" s="4">
        <f t="shared" si="37"/>
        <v>294.27749999999997</v>
      </c>
      <c r="V206" s="4">
        <f t="shared" ca="1" si="38"/>
        <v>59</v>
      </c>
      <c r="W206" s="20">
        <f ca="1">V206*Q206</f>
        <v>44311.072060661936</v>
      </c>
      <c r="X206" s="4">
        <f t="shared" si="39"/>
        <v>-26510.66</v>
      </c>
      <c r="Y206" s="13">
        <f t="shared" si="40"/>
        <v>-0.88869498173041461</v>
      </c>
    </row>
    <row r="207" spans="1:25" x14ac:dyDescent="0.3">
      <c r="A207" s="12" t="s">
        <v>456</v>
      </c>
      <c r="B207" s="7">
        <v>44349</v>
      </c>
      <c r="C207" s="4" t="s">
        <v>457</v>
      </c>
      <c r="D207" s="4" t="s">
        <v>40</v>
      </c>
      <c r="E207" s="4">
        <v>8906</v>
      </c>
      <c r="F207" s="4">
        <v>6</v>
      </c>
      <c r="G207" s="4">
        <v>36</v>
      </c>
      <c r="H207" s="4" t="s">
        <v>26</v>
      </c>
      <c r="I207" s="4" t="s">
        <v>27</v>
      </c>
      <c r="J207" s="4" t="s">
        <v>37</v>
      </c>
      <c r="K207" s="4">
        <v>95901</v>
      </c>
      <c r="L207" s="4" t="s">
        <v>33</v>
      </c>
      <c r="M207" s="4">
        <v>0.5</v>
      </c>
      <c r="N207" s="4">
        <v>0.72</v>
      </c>
      <c r="O207" s="4">
        <v>2971.76</v>
      </c>
      <c r="P207" s="4">
        <v>0</v>
      </c>
      <c r="Q207" s="6">
        <f t="shared" si="41"/>
        <v>270.93777494354981</v>
      </c>
      <c r="R207" s="6">
        <f t="shared" si="34"/>
        <v>847.75989796779322</v>
      </c>
      <c r="S207" s="4">
        <f t="shared" si="35"/>
        <v>12369.444444444445</v>
      </c>
      <c r="T207" s="4">
        <f t="shared" si="36"/>
        <v>7991.75</v>
      </c>
      <c r="U207" s="4">
        <f t="shared" si="37"/>
        <v>3995.875</v>
      </c>
      <c r="V207" s="4">
        <f t="shared" ca="1" si="38"/>
        <v>57</v>
      </c>
      <c r="W207" s="20">
        <f ca="1">V207*Q207</f>
        <v>15443.453171782339</v>
      </c>
      <c r="X207" s="4">
        <f t="shared" si="39"/>
        <v>-5934.24</v>
      </c>
      <c r="Y207" s="13">
        <f t="shared" si="40"/>
        <v>-0.66631933527958676</v>
      </c>
    </row>
    <row r="208" spans="1:25" x14ac:dyDescent="0.3">
      <c r="A208" s="12" t="s">
        <v>458</v>
      </c>
      <c r="B208" s="7">
        <v>45110</v>
      </c>
      <c r="C208" s="4" t="s">
        <v>459</v>
      </c>
      <c r="D208" s="4" t="s">
        <v>18</v>
      </c>
      <c r="E208" s="4">
        <v>8287</v>
      </c>
      <c r="F208" s="4">
        <v>23.1</v>
      </c>
      <c r="G208" s="4">
        <v>36</v>
      </c>
      <c r="H208" s="4" t="s">
        <v>26</v>
      </c>
      <c r="I208" s="4" t="s">
        <v>36</v>
      </c>
      <c r="J208" s="4" t="s">
        <v>37</v>
      </c>
      <c r="K208" s="4">
        <v>142314</v>
      </c>
      <c r="L208" s="4" t="s">
        <v>22</v>
      </c>
      <c r="M208" s="4">
        <v>0.11</v>
      </c>
      <c r="N208" s="4">
        <v>0.53</v>
      </c>
      <c r="O208" s="4">
        <v>1537.67</v>
      </c>
      <c r="P208" s="4">
        <v>0</v>
      </c>
      <c r="Q208" s="6">
        <f t="shared" si="41"/>
        <v>321.21954353917488</v>
      </c>
      <c r="R208" s="6">
        <f t="shared" si="34"/>
        <v>3276.9035674102961</v>
      </c>
      <c r="S208" s="4">
        <f t="shared" si="35"/>
        <v>15635.849056603773</v>
      </c>
      <c r="T208" s="4">
        <f t="shared" si="36"/>
        <v>11859.5</v>
      </c>
      <c r="U208" s="4">
        <f t="shared" si="37"/>
        <v>1304.5450000000001</v>
      </c>
      <c r="V208" s="4">
        <f t="shared" ca="1" si="38"/>
        <v>32</v>
      </c>
      <c r="W208" s="20">
        <f ca="1">V208*Q208</f>
        <v>10279.025393253596</v>
      </c>
      <c r="X208" s="4">
        <f t="shared" si="39"/>
        <v>-6749.33</v>
      </c>
      <c r="Y208" s="13">
        <f t="shared" si="40"/>
        <v>-0.81444793049354414</v>
      </c>
    </row>
    <row r="209" spans="1:25" x14ac:dyDescent="0.3">
      <c r="A209" s="12" t="s">
        <v>460</v>
      </c>
      <c r="B209" s="7">
        <v>45074</v>
      </c>
      <c r="C209" s="4" t="s">
        <v>461</v>
      </c>
      <c r="D209" s="4" t="s">
        <v>50</v>
      </c>
      <c r="E209" s="4">
        <v>34660</v>
      </c>
      <c r="F209" s="4">
        <v>23.2</v>
      </c>
      <c r="G209" s="4">
        <v>60</v>
      </c>
      <c r="H209" s="4" t="s">
        <v>81</v>
      </c>
      <c r="I209" s="4" t="s">
        <v>73</v>
      </c>
      <c r="J209" s="4" t="s">
        <v>47</v>
      </c>
      <c r="K209" s="4">
        <v>74535</v>
      </c>
      <c r="L209" s="4" t="s">
        <v>29</v>
      </c>
      <c r="M209" s="4">
        <v>0.28000000000000003</v>
      </c>
      <c r="N209" s="4">
        <v>0.57999999999999996</v>
      </c>
      <c r="O209" s="4">
        <v>3659.1</v>
      </c>
      <c r="P209" s="4">
        <v>4720.7299999999996</v>
      </c>
      <c r="Q209" s="6">
        <f t="shared" si="41"/>
        <v>981.06854300901398</v>
      </c>
      <c r="R209" s="6">
        <f t="shared" si="34"/>
        <v>24204.112580540837</v>
      </c>
      <c r="S209" s="4">
        <f t="shared" si="35"/>
        <v>59758.620689655174</v>
      </c>
      <c r="T209" s="4">
        <f t="shared" si="36"/>
        <v>6211.25</v>
      </c>
      <c r="U209" s="4">
        <f t="shared" si="37"/>
        <v>1739.15</v>
      </c>
      <c r="V209" s="4">
        <f t="shared" ca="1" si="38"/>
        <v>33</v>
      </c>
      <c r="W209" s="20">
        <v>0</v>
      </c>
      <c r="X209" s="4">
        <f t="shared" si="39"/>
        <v>-26280.17</v>
      </c>
      <c r="Y209" s="13">
        <f t="shared" si="40"/>
        <v>-0.75822763993075581</v>
      </c>
    </row>
    <row r="210" spans="1:25" x14ac:dyDescent="0.3">
      <c r="A210" s="12" t="s">
        <v>462</v>
      </c>
      <c r="B210" s="7">
        <v>44534</v>
      </c>
      <c r="C210" s="4" t="s">
        <v>463</v>
      </c>
      <c r="D210" s="4" t="s">
        <v>76</v>
      </c>
      <c r="E210" s="4">
        <v>11222</v>
      </c>
      <c r="F210" s="4">
        <v>20.6</v>
      </c>
      <c r="G210" s="4">
        <v>60</v>
      </c>
      <c r="H210" s="4" t="s">
        <v>26</v>
      </c>
      <c r="I210" s="4" t="s">
        <v>27</v>
      </c>
      <c r="J210" s="4" t="s">
        <v>47</v>
      </c>
      <c r="K210" s="4">
        <v>46103</v>
      </c>
      <c r="L210" s="4" t="s">
        <v>29</v>
      </c>
      <c r="M210" s="4">
        <v>0.3</v>
      </c>
      <c r="N210" s="4">
        <v>0.82</v>
      </c>
      <c r="O210" s="4">
        <v>5048.66</v>
      </c>
      <c r="P210" s="4">
        <v>0</v>
      </c>
      <c r="Q210" s="6">
        <f t="shared" si="41"/>
        <v>301.07320224974114</v>
      </c>
      <c r="R210" s="6">
        <f t="shared" si="34"/>
        <v>6842.3921349844677</v>
      </c>
      <c r="S210" s="4">
        <f t="shared" si="35"/>
        <v>13685.365853658537</v>
      </c>
      <c r="T210" s="4">
        <f t="shared" si="36"/>
        <v>3841.9166666666665</v>
      </c>
      <c r="U210" s="4">
        <f t="shared" si="37"/>
        <v>1152.5749999999998</v>
      </c>
      <c r="V210" s="4">
        <f t="shared" ca="1" si="38"/>
        <v>51</v>
      </c>
      <c r="W210" s="20">
        <f t="shared" ref="W210:W217" ca="1" si="42">V210*Q210</f>
        <v>15354.733314736799</v>
      </c>
      <c r="X210" s="4">
        <f t="shared" si="39"/>
        <v>-6173.34</v>
      </c>
      <c r="Y210" s="13">
        <f t="shared" si="40"/>
        <v>-0.55011049723756911</v>
      </c>
    </row>
    <row r="211" spans="1:25" x14ac:dyDescent="0.3">
      <c r="A211" s="12" t="s">
        <v>464</v>
      </c>
      <c r="B211" s="7">
        <v>45018</v>
      </c>
      <c r="C211" s="4" t="s">
        <v>465</v>
      </c>
      <c r="D211" s="4" t="s">
        <v>53</v>
      </c>
      <c r="E211" s="4">
        <v>38443</v>
      </c>
      <c r="F211" s="4">
        <v>5.0999999999999996</v>
      </c>
      <c r="G211" s="4">
        <v>36</v>
      </c>
      <c r="H211" s="4" t="s">
        <v>26</v>
      </c>
      <c r="I211" s="4" t="s">
        <v>73</v>
      </c>
      <c r="J211" s="4" t="s">
        <v>37</v>
      </c>
      <c r="K211" s="4">
        <v>128046</v>
      </c>
      <c r="L211" s="4" t="s">
        <v>33</v>
      </c>
      <c r="M211" s="4">
        <v>0.15</v>
      </c>
      <c r="N211" s="4">
        <v>0.82</v>
      </c>
      <c r="O211" s="4">
        <v>5847.39</v>
      </c>
      <c r="P211" s="4">
        <v>0</v>
      </c>
      <c r="Q211" s="6">
        <f t="shared" si="41"/>
        <v>1153.8979958090413</v>
      </c>
      <c r="R211" s="6">
        <f t="shared" si="34"/>
        <v>3097.3278491254896</v>
      </c>
      <c r="S211" s="4">
        <f t="shared" si="35"/>
        <v>46881.707317073175</v>
      </c>
      <c r="T211" s="4">
        <f t="shared" si="36"/>
        <v>10670.5</v>
      </c>
      <c r="U211" s="4">
        <f t="shared" si="37"/>
        <v>1600.575</v>
      </c>
      <c r="V211" s="4">
        <f t="shared" ca="1" si="38"/>
        <v>35</v>
      </c>
      <c r="W211" s="20">
        <f t="shared" ca="1" si="42"/>
        <v>40386.429853316447</v>
      </c>
      <c r="X211" s="4">
        <f t="shared" si="39"/>
        <v>-32595.61</v>
      </c>
      <c r="Y211" s="13">
        <f t="shared" si="40"/>
        <v>-0.84789454517077234</v>
      </c>
    </row>
    <row r="212" spans="1:25" x14ac:dyDescent="0.3">
      <c r="A212" s="12" t="s">
        <v>466</v>
      </c>
      <c r="B212" s="7">
        <v>45153</v>
      </c>
      <c r="C212" s="4" t="s">
        <v>467</v>
      </c>
      <c r="D212" s="4" t="s">
        <v>50</v>
      </c>
      <c r="E212" s="4">
        <v>35701</v>
      </c>
      <c r="F212" s="4">
        <v>6.1</v>
      </c>
      <c r="G212" s="4">
        <v>36</v>
      </c>
      <c r="H212" s="4" t="s">
        <v>19</v>
      </c>
      <c r="I212" s="4" t="s">
        <v>84</v>
      </c>
      <c r="J212" s="4" t="s">
        <v>32</v>
      </c>
      <c r="K212" s="4">
        <v>120012</v>
      </c>
      <c r="L212" s="4" t="s">
        <v>22</v>
      </c>
      <c r="M212" s="4">
        <v>0.17</v>
      </c>
      <c r="N212" s="4">
        <v>0.9</v>
      </c>
      <c r="O212" s="4">
        <v>37878.76</v>
      </c>
      <c r="P212" s="4">
        <v>0</v>
      </c>
      <c r="Q212" s="6">
        <f t="shared" si="41"/>
        <v>1087.7119417418721</v>
      </c>
      <c r="R212" s="6">
        <f t="shared" si="34"/>
        <v>3456.6299027073983</v>
      </c>
      <c r="S212" s="4">
        <f t="shared" si="35"/>
        <v>39667.777777777774</v>
      </c>
      <c r="T212" s="4">
        <f t="shared" si="36"/>
        <v>10001</v>
      </c>
      <c r="U212" s="4">
        <f t="shared" si="37"/>
        <v>1700.17</v>
      </c>
      <c r="V212" s="4">
        <f t="shared" ca="1" si="38"/>
        <v>31</v>
      </c>
      <c r="W212" s="20">
        <f t="shared" ca="1" si="42"/>
        <v>33719.070193998035</v>
      </c>
      <c r="X212" s="4">
        <f t="shared" si="39"/>
        <v>2177.760000000002</v>
      </c>
      <c r="Y212" s="13">
        <f t="shared" si="40"/>
        <v>6.0999971989580182E-2</v>
      </c>
    </row>
    <row r="213" spans="1:25" x14ac:dyDescent="0.3">
      <c r="A213" s="12" t="s">
        <v>468</v>
      </c>
      <c r="B213" s="7">
        <v>44357</v>
      </c>
      <c r="C213" s="4" t="s">
        <v>469</v>
      </c>
      <c r="D213" s="4" t="s">
        <v>40</v>
      </c>
      <c r="E213" s="4">
        <v>18764</v>
      </c>
      <c r="F213" s="4">
        <v>9.5</v>
      </c>
      <c r="G213" s="4">
        <v>36</v>
      </c>
      <c r="H213" s="4" t="s">
        <v>19</v>
      </c>
      <c r="I213" s="4" t="s">
        <v>36</v>
      </c>
      <c r="J213" s="4" t="s">
        <v>21</v>
      </c>
      <c r="K213" s="4">
        <v>108278</v>
      </c>
      <c r="L213" s="4" t="s">
        <v>29</v>
      </c>
      <c r="M213" s="4">
        <v>0.24</v>
      </c>
      <c r="N213" s="4">
        <v>0.76</v>
      </c>
      <c r="O213" s="4">
        <v>20546.580000000002</v>
      </c>
      <c r="P213" s="4">
        <v>0</v>
      </c>
      <c r="Q213" s="6">
        <f t="shared" si="41"/>
        <v>601.06626893602754</v>
      </c>
      <c r="R213" s="6">
        <f t="shared" si="34"/>
        <v>2874.3856816969928</v>
      </c>
      <c r="S213" s="4">
        <f t="shared" si="35"/>
        <v>24689.473684210527</v>
      </c>
      <c r="T213" s="4">
        <f t="shared" si="36"/>
        <v>9023.1666666666661</v>
      </c>
      <c r="U213" s="4">
        <f t="shared" si="37"/>
        <v>2165.56</v>
      </c>
      <c r="V213" s="4">
        <f t="shared" ca="1" si="38"/>
        <v>57</v>
      </c>
      <c r="W213" s="20">
        <f t="shared" ca="1" si="42"/>
        <v>34260.777329353572</v>
      </c>
      <c r="X213" s="4">
        <f t="shared" si="39"/>
        <v>1782.5800000000017</v>
      </c>
      <c r="Y213" s="13">
        <f t="shared" si="40"/>
        <v>9.5000000000000098E-2</v>
      </c>
    </row>
    <row r="214" spans="1:25" x14ac:dyDescent="0.3">
      <c r="A214" s="12" t="s">
        <v>470</v>
      </c>
      <c r="B214" s="7">
        <v>44997</v>
      </c>
      <c r="C214" s="4" t="s">
        <v>471</v>
      </c>
      <c r="D214" s="4" t="s">
        <v>76</v>
      </c>
      <c r="E214" s="4">
        <v>18674</v>
      </c>
      <c r="F214" s="4">
        <v>7.6</v>
      </c>
      <c r="G214" s="4">
        <v>36</v>
      </c>
      <c r="H214" s="4" t="s">
        <v>19</v>
      </c>
      <c r="I214" s="4" t="s">
        <v>20</v>
      </c>
      <c r="J214" s="4" t="s">
        <v>37</v>
      </c>
      <c r="K214" s="4">
        <v>42391</v>
      </c>
      <c r="L214" s="4" t="s">
        <v>33</v>
      </c>
      <c r="M214" s="4">
        <v>0.4</v>
      </c>
      <c r="N214" s="4">
        <v>0.56000000000000005</v>
      </c>
      <c r="O214" s="4">
        <v>20093.22</v>
      </c>
      <c r="P214" s="4">
        <v>0</v>
      </c>
      <c r="Q214" s="6">
        <f t="shared" si="41"/>
        <v>581.7355400925336</v>
      </c>
      <c r="R214" s="6">
        <f t="shared" si="34"/>
        <v>2268.479443331209</v>
      </c>
      <c r="S214" s="4">
        <f t="shared" si="35"/>
        <v>33346.428571428565</v>
      </c>
      <c r="T214" s="4">
        <f t="shared" si="36"/>
        <v>3532.5833333333335</v>
      </c>
      <c r="U214" s="4">
        <f t="shared" si="37"/>
        <v>1413.0333333333335</v>
      </c>
      <c r="V214" s="4">
        <f t="shared" ca="1" si="38"/>
        <v>36</v>
      </c>
      <c r="W214" s="20">
        <f t="shared" ca="1" si="42"/>
        <v>20942.479443331209</v>
      </c>
      <c r="X214" s="4">
        <f t="shared" si="39"/>
        <v>1419.2200000000012</v>
      </c>
      <c r="Y214" s="13">
        <f t="shared" si="40"/>
        <v>7.5999785798436387E-2</v>
      </c>
    </row>
    <row r="215" spans="1:25" x14ac:dyDescent="0.3">
      <c r="A215" s="12" t="s">
        <v>472</v>
      </c>
      <c r="B215" s="7">
        <v>44594</v>
      </c>
      <c r="C215" s="4" t="s">
        <v>473</v>
      </c>
      <c r="D215" s="4" t="s">
        <v>18</v>
      </c>
      <c r="E215" s="4">
        <v>19024</v>
      </c>
      <c r="F215" s="4">
        <v>13</v>
      </c>
      <c r="G215" s="4">
        <v>36</v>
      </c>
      <c r="H215" s="4" t="s">
        <v>19</v>
      </c>
      <c r="I215" s="4" t="s">
        <v>57</v>
      </c>
      <c r="J215" s="4" t="s">
        <v>28</v>
      </c>
      <c r="K215" s="4">
        <v>132476</v>
      </c>
      <c r="L215" s="4" t="s">
        <v>33</v>
      </c>
      <c r="M215" s="4">
        <v>0.3</v>
      </c>
      <c r="N215" s="4">
        <v>0.55000000000000004</v>
      </c>
      <c r="O215" s="4">
        <v>21497.119999999999</v>
      </c>
      <c r="P215" s="4">
        <v>0</v>
      </c>
      <c r="Q215" s="6">
        <f t="shared" si="41"/>
        <v>640.9937429106227</v>
      </c>
      <c r="R215" s="6">
        <f t="shared" si="34"/>
        <v>4051.7747447824186</v>
      </c>
      <c r="S215" s="4">
        <f t="shared" si="35"/>
        <v>34589.090909090904</v>
      </c>
      <c r="T215" s="4">
        <f t="shared" si="36"/>
        <v>11039.666666666666</v>
      </c>
      <c r="U215" s="4">
        <f t="shared" si="37"/>
        <v>3311.8999999999996</v>
      </c>
      <c r="V215" s="4">
        <f t="shared" ca="1" si="38"/>
        <v>49</v>
      </c>
      <c r="W215" s="20">
        <f t="shared" ca="1" si="42"/>
        <v>31408.693402620513</v>
      </c>
      <c r="X215" s="4">
        <f t="shared" si="39"/>
        <v>2473.119999999999</v>
      </c>
      <c r="Y215" s="13">
        <f t="shared" si="40"/>
        <v>0.12999999999999995</v>
      </c>
    </row>
    <row r="216" spans="1:25" x14ac:dyDescent="0.3">
      <c r="A216" s="12" t="s">
        <v>474</v>
      </c>
      <c r="B216" s="7">
        <v>45012</v>
      </c>
      <c r="C216" s="4" t="s">
        <v>475</v>
      </c>
      <c r="D216" s="4" t="s">
        <v>56</v>
      </c>
      <c r="E216" s="4">
        <v>24874</v>
      </c>
      <c r="F216" s="4">
        <v>23.5</v>
      </c>
      <c r="G216" s="4">
        <v>36</v>
      </c>
      <c r="H216" s="4" t="s">
        <v>60</v>
      </c>
      <c r="I216" s="4" t="s">
        <v>57</v>
      </c>
      <c r="J216" s="4" t="s">
        <v>37</v>
      </c>
      <c r="K216" s="4">
        <v>58901</v>
      </c>
      <c r="L216" s="4" t="s">
        <v>33</v>
      </c>
      <c r="M216" s="4">
        <v>0.36</v>
      </c>
      <c r="N216" s="4">
        <v>0.82</v>
      </c>
      <c r="O216" s="4">
        <v>0</v>
      </c>
      <c r="P216" s="4">
        <v>0</v>
      </c>
      <c r="Q216" s="6">
        <f t="shared" si="41"/>
        <v>969.3598161753348</v>
      </c>
      <c r="R216" s="6">
        <f t="shared" si="34"/>
        <v>10022.953382312051</v>
      </c>
      <c r="S216" s="4">
        <f t="shared" si="35"/>
        <v>30334.146341463416</v>
      </c>
      <c r="T216" s="4">
        <f t="shared" si="36"/>
        <v>4908.416666666667</v>
      </c>
      <c r="U216" s="4">
        <f t="shared" si="37"/>
        <v>1767.03</v>
      </c>
      <c r="V216" s="4">
        <f t="shared" ca="1" si="38"/>
        <v>35</v>
      </c>
      <c r="W216" s="20">
        <f t="shared" ca="1" si="42"/>
        <v>33927.593566136718</v>
      </c>
      <c r="X216" s="4">
        <f t="shared" si="39"/>
        <v>-24874</v>
      </c>
      <c r="Y216" s="13">
        <f t="shared" si="40"/>
        <v>-1</v>
      </c>
    </row>
    <row r="217" spans="1:25" x14ac:dyDescent="0.3">
      <c r="A217" s="12" t="s">
        <v>476</v>
      </c>
      <c r="B217" s="7">
        <v>44597</v>
      </c>
      <c r="C217" s="4" t="s">
        <v>477</v>
      </c>
      <c r="D217" s="4" t="s">
        <v>56</v>
      </c>
      <c r="E217" s="4">
        <v>33284</v>
      </c>
      <c r="F217" s="4">
        <v>14.4</v>
      </c>
      <c r="G217" s="4">
        <v>60</v>
      </c>
      <c r="H217" s="4" t="s">
        <v>19</v>
      </c>
      <c r="I217" s="4" t="s">
        <v>57</v>
      </c>
      <c r="J217" s="4" t="s">
        <v>47</v>
      </c>
      <c r="K217" s="4">
        <v>127537</v>
      </c>
      <c r="L217" s="4" t="s">
        <v>33</v>
      </c>
      <c r="M217" s="4">
        <v>0.49</v>
      </c>
      <c r="N217" s="4">
        <v>0.57999999999999996</v>
      </c>
      <c r="O217" s="4">
        <v>38076.9</v>
      </c>
      <c r="P217" s="4">
        <v>0</v>
      </c>
      <c r="Q217" s="6">
        <f t="shared" si="41"/>
        <v>781.38002077441536</v>
      </c>
      <c r="R217" s="6">
        <f t="shared" si="34"/>
        <v>13598.801246464922</v>
      </c>
      <c r="S217" s="4">
        <f t="shared" si="35"/>
        <v>57386.206896551725</v>
      </c>
      <c r="T217" s="4">
        <f t="shared" si="36"/>
        <v>10628.083333333334</v>
      </c>
      <c r="U217" s="4">
        <f t="shared" si="37"/>
        <v>5207.7608333333337</v>
      </c>
      <c r="V217" s="4">
        <f t="shared" ca="1" si="38"/>
        <v>49</v>
      </c>
      <c r="W217" s="20">
        <f t="shared" ca="1" si="42"/>
        <v>38287.621017946352</v>
      </c>
      <c r="X217" s="4">
        <f t="shared" si="39"/>
        <v>4792.9000000000015</v>
      </c>
      <c r="Y217" s="13">
        <f t="shared" si="40"/>
        <v>0.14400012017786329</v>
      </c>
    </row>
    <row r="218" spans="1:25" x14ac:dyDescent="0.3">
      <c r="A218" s="12" t="s">
        <v>478</v>
      </c>
      <c r="B218" s="7">
        <v>44836</v>
      </c>
      <c r="C218" s="4" t="s">
        <v>479</v>
      </c>
      <c r="D218" s="4" t="s">
        <v>46</v>
      </c>
      <c r="E218" s="4">
        <v>18602</v>
      </c>
      <c r="F218" s="4">
        <v>5.3</v>
      </c>
      <c r="G218" s="4">
        <v>36</v>
      </c>
      <c r="H218" s="4" t="s">
        <v>81</v>
      </c>
      <c r="I218" s="4" t="s">
        <v>20</v>
      </c>
      <c r="J218" s="4" t="s">
        <v>21</v>
      </c>
      <c r="K218" s="4">
        <v>111159</v>
      </c>
      <c r="L218" s="4" t="s">
        <v>29</v>
      </c>
      <c r="M218" s="4">
        <v>0.41</v>
      </c>
      <c r="N218" s="4">
        <v>0.65</v>
      </c>
      <c r="O218" s="4">
        <v>7046.14</v>
      </c>
      <c r="P218" s="4">
        <v>4694.51</v>
      </c>
      <c r="Q218" s="6">
        <f t="shared" si="41"/>
        <v>560.02764788104548</v>
      </c>
      <c r="R218" s="6">
        <f t="shared" si="34"/>
        <v>1558.9953237176378</v>
      </c>
      <c r="S218" s="4">
        <f t="shared" si="35"/>
        <v>28618.461538461539</v>
      </c>
      <c r="T218" s="4">
        <f t="shared" si="36"/>
        <v>9263.25</v>
      </c>
      <c r="U218" s="4">
        <f t="shared" si="37"/>
        <v>3797.9324999999999</v>
      </c>
      <c r="V218" s="4">
        <f t="shared" ca="1" si="38"/>
        <v>41</v>
      </c>
      <c r="W218" s="20">
        <v>0</v>
      </c>
      <c r="X218" s="4">
        <f t="shared" si="39"/>
        <v>-6861.3499999999985</v>
      </c>
      <c r="Y218" s="13">
        <f t="shared" si="40"/>
        <v>-0.36885012364261899</v>
      </c>
    </row>
    <row r="219" spans="1:25" x14ac:dyDescent="0.3">
      <c r="A219" s="12" t="s">
        <v>480</v>
      </c>
      <c r="B219" s="7">
        <v>45253</v>
      </c>
      <c r="C219" s="4" t="s">
        <v>481</v>
      </c>
      <c r="D219" s="4" t="s">
        <v>56</v>
      </c>
      <c r="E219" s="4">
        <v>38784</v>
      </c>
      <c r="F219" s="4">
        <v>10.7</v>
      </c>
      <c r="G219" s="4">
        <v>60</v>
      </c>
      <c r="H219" s="4" t="s">
        <v>19</v>
      </c>
      <c r="I219" s="4" t="s">
        <v>84</v>
      </c>
      <c r="J219" s="4" t="s">
        <v>28</v>
      </c>
      <c r="K219" s="4">
        <v>97914</v>
      </c>
      <c r="L219" s="4" t="s">
        <v>22</v>
      </c>
      <c r="M219" s="4">
        <v>0.27</v>
      </c>
      <c r="N219" s="4">
        <v>0.72</v>
      </c>
      <c r="O219" s="4">
        <v>42933.89</v>
      </c>
      <c r="P219" s="4">
        <v>0</v>
      </c>
      <c r="Q219" s="6">
        <f t="shared" si="41"/>
        <v>837.46716707278063</v>
      </c>
      <c r="R219" s="6">
        <f t="shared" si="34"/>
        <v>11464.030024366839</v>
      </c>
      <c r="S219" s="4">
        <f t="shared" si="35"/>
        <v>53866.666666666672</v>
      </c>
      <c r="T219" s="4">
        <f t="shared" si="36"/>
        <v>8159.5</v>
      </c>
      <c r="U219" s="4">
        <f t="shared" si="37"/>
        <v>2203.0650000000001</v>
      </c>
      <c r="V219" s="4">
        <f t="shared" ca="1" si="38"/>
        <v>27</v>
      </c>
      <c r="W219" s="20">
        <f ca="1">V219*Q219</f>
        <v>22611.613510965079</v>
      </c>
      <c r="X219" s="4">
        <f t="shared" si="39"/>
        <v>4149.8899999999994</v>
      </c>
      <c r="Y219" s="13">
        <f t="shared" si="40"/>
        <v>0.10700005156765675</v>
      </c>
    </row>
    <row r="220" spans="1:25" x14ac:dyDescent="0.3">
      <c r="A220" s="12" t="s">
        <v>482</v>
      </c>
      <c r="B220" s="7">
        <v>44884</v>
      </c>
      <c r="C220" s="4" t="s">
        <v>483</v>
      </c>
      <c r="D220" s="4" t="s">
        <v>72</v>
      </c>
      <c r="E220" s="4">
        <v>24265</v>
      </c>
      <c r="F220" s="4">
        <v>5.9</v>
      </c>
      <c r="G220" s="4">
        <v>36</v>
      </c>
      <c r="H220" s="4" t="s">
        <v>19</v>
      </c>
      <c r="I220" s="4" t="s">
        <v>20</v>
      </c>
      <c r="J220" s="4" t="s">
        <v>21</v>
      </c>
      <c r="K220" s="4">
        <v>80357</v>
      </c>
      <c r="L220" s="4" t="s">
        <v>33</v>
      </c>
      <c r="M220" s="4">
        <v>0.28000000000000003</v>
      </c>
      <c r="N220" s="4">
        <v>0.51</v>
      </c>
      <c r="O220" s="4">
        <v>25696.639999999999</v>
      </c>
      <c r="P220" s="4">
        <v>0</v>
      </c>
      <c r="Q220" s="6">
        <f t="shared" si="41"/>
        <v>737.08936133764075</v>
      </c>
      <c r="R220" s="6">
        <f t="shared" si="34"/>
        <v>2270.2170081550685</v>
      </c>
      <c r="S220" s="4">
        <f t="shared" si="35"/>
        <v>47578.431372549021</v>
      </c>
      <c r="T220" s="4">
        <f t="shared" si="36"/>
        <v>6696.416666666667</v>
      </c>
      <c r="U220" s="4">
        <f t="shared" si="37"/>
        <v>1874.9966666666669</v>
      </c>
      <c r="V220" s="4">
        <f t="shared" ca="1" si="38"/>
        <v>40</v>
      </c>
      <c r="W220" s="20">
        <f ca="1">V220*Q220</f>
        <v>29483.574453505629</v>
      </c>
      <c r="X220" s="4">
        <f t="shared" si="39"/>
        <v>1431.6399999999994</v>
      </c>
      <c r="Y220" s="13">
        <f t="shared" si="40"/>
        <v>5.9000206058108365E-2</v>
      </c>
    </row>
    <row r="221" spans="1:25" x14ac:dyDescent="0.3">
      <c r="A221" s="12" t="s">
        <v>484</v>
      </c>
      <c r="B221" s="7">
        <v>44656</v>
      </c>
      <c r="C221" s="4" t="s">
        <v>485</v>
      </c>
      <c r="D221" s="4" t="s">
        <v>56</v>
      </c>
      <c r="E221" s="4">
        <v>26931</v>
      </c>
      <c r="F221" s="4">
        <v>5.7</v>
      </c>
      <c r="G221" s="4">
        <v>36</v>
      </c>
      <c r="H221" s="4" t="s">
        <v>81</v>
      </c>
      <c r="I221" s="4" t="s">
        <v>73</v>
      </c>
      <c r="J221" s="4" t="s">
        <v>21</v>
      </c>
      <c r="K221" s="4">
        <v>116908</v>
      </c>
      <c r="L221" s="4" t="s">
        <v>33</v>
      </c>
      <c r="M221" s="4">
        <v>0.35</v>
      </c>
      <c r="N221" s="4">
        <v>0.61</v>
      </c>
      <c r="O221" s="4">
        <v>8489.4699999999993</v>
      </c>
      <c r="P221" s="4">
        <v>8648.65</v>
      </c>
      <c r="Q221" s="6">
        <f t="shared" si="41"/>
        <v>815.63744790207534</v>
      </c>
      <c r="R221" s="6">
        <f t="shared" si="34"/>
        <v>2431.9481244747112</v>
      </c>
      <c r="S221" s="4">
        <f t="shared" si="35"/>
        <v>44149.180327868853</v>
      </c>
      <c r="T221" s="4">
        <f t="shared" si="36"/>
        <v>9742.3333333333339</v>
      </c>
      <c r="U221" s="4">
        <f t="shared" si="37"/>
        <v>3409.8166666666666</v>
      </c>
      <c r="V221" s="4">
        <f t="shared" ca="1" si="38"/>
        <v>47</v>
      </c>
      <c r="W221" s="20">
        <v>0</v>
      </c>
      <c r="X221" s="4">
        <f t="shared" si="39"/>
        <v>-9792.880000000001</v>
      </c>
      <c r="Y221" s="13">
        <f t="shared" si="40"/>
        <v>-0.36362853217481717</v>
      </c>
    </row>
    <row r="222" spans="1:25" x14ac:dyDescent="0.3">
      <c r="A222" s="12" t="s">
        <v>486</v>
      </c>
      <c r="B222" s="7">
        <v>45151</v>
      </c>
      <c r="C222" s="4" t="s">
        <v>487</v>
      </c>
      <c r="D222" s="4" t="s">
        <v>72</v>
      </c>
      <c r="E222" s="4">
        <v>29841</v>
      </c>
      <c r="F222" s="4">
        <v>10.5</v>
      </c>
      <c r="G222" s="4">
        <v>60</v>
      </c>
      <c r="H222" s="4" t="s">
        <v>19</v>
      </c>
      <c r="I222" s="4" t="s">
        <v>27</v>
      </c>
      <c r="J222" s="4" t="s">
        <v>28</v>
      </c>
      <c r="K222" s="4">
        <v>140335</v>
      </c>
      <c r="L222" s="4" t="s">
        <v>29</v>
      </c>
      <c r="M222" s="4">
        <v>0.37</v>
      </c>
      <c r="N222" s="4">
        <v>0.68</v>
      </c>
      <c r="O222" s="4">
        <v>32974.300000000003</v>
      </c>
      <c r="P222" s="4">
        <v>0</v>
      </c>
      <c r="Q222" s="6">
        <f t="shared" si="41"/>
        <v>641.39948118340317</v>
      </c>
      <c r="R222" s="6">
        <f t="shared" si="34"/>
        <v>8642.9688710041883</v>
      </c>
      <c r="S222" s="4">
        <f t="shared" si="35"/>
        <v>43883.823529411762</v>
      </c>
      <c r="T222" s="4">
        <f t="shared" si="36"/>
        <v>11694.583333333334</v>
      </c>
      <c r="U222" s="4">
        <f t="shared" si="37"/>
        <v>4326.9958333333334</v>
      </c>
      <c r="V222" s="4">
        <f t="shared" ca="1" si="38"/>
        <v>31</v>
      </c>
      <c r="W222" s="20">
        <f t="shared" ref="W222:W236" ca="1" si="43">V222*Q222</f>
        <v>19883.3839166855</v>
      </c>
      <c r="X222" s="4">
        <f t="shared" si="39"/>
        <v>3133.3000000000029</v>
      </c>
      <c r="Y222" s="13">
        <f t="shared" si="40"/>
        <v>0.10499983244529348</v>
      </c>
    </row>
    <row r="223" spans="1:25" x14ac:dyDescent="0.3">
      <c r="A223" s="12" t="s">
        <v>488</v>
      </c>
      <c r="B223" s="7">
        <v>44666</v>
      </c>
      <c r="C223" s="4" t="s">
        <v>489</v>
      </c>
      <c r="D223" s="4" t="s">
        <v>25</v>
      </c>
      <c r="E223" s="4">
        <v>30192</v>
      </c>
      <c r="F223" s="4">
        <v>10.5</v>
      </c>
      <c r="G223" s="4">
        <v>60</v>
      </c>
      <c r="H223" s="4" t="s">
        <v>19</v>
      </c>
      <c r="I223" s="4" t="s">
        <v>20</v>
      </c>
      <c r="J223" s="4" t="s">
        <v>37</v>
      </c>
      <c r="K223" s="4">
        <v>68437</v>
      </c>
      <c r="L223" s="4" t="s">
        <v>33</v>
      </c>
      <c r="M223" s="4">
        <v>0.3</v>
      </c>
      <c r="N223" s="4">
        <v>0.63</v>
      </c>
      <c r="O223" s="4">
        <v>33362.160000000003</v>
      </c>
      <c r="P223" s="4">
        <v>0</v>
      </c>
      <c r="Q223" s="6">
        <f t="shared" si="41"/>
        <v>648.94384021612234</v>
      </c>
      <c r="R223" s="6">
        <f t="shared" si="34"/>
        <v>8744.6304129673372</v>
      </c>
      <c r="S223" s="4">
        <f t="shared" si="35"/>
        <v>47923.809523809527</v>
      </c>
      <c r="T223" s="4">
        <f t="shared" si="36"/>
        <v>5703.083333333333</v>
      </c>
      <c r="U223" s="4">
        <f t="shared" si="37"/>
        <v>1710.925</v>
      </c>
      <c r="V223" s="4">
        <f t="shared" ca="1" si="38"/>
        <v>47</v>
      </c>
      <c r="W223" s="20">
        <f t="shared" ca="1" si="43"/>
        <v>30500.360490157749</v>
      </c>
      <c r="X223" s="4">
        <f t="shared" si="39"/>
        <v>3170.1600000000035</v>
      </c>
      <c r="Y223" s="13">
        <f t="shared" si="40"/>
        <v>0.10500000000000012</v>
      </c>
    </row>
    <row r="224" spans="1:25" x14ac:dyDescent="0.3">
      <c r="A224" s="12" t="s">
        <v>490</v>
      </c>
      <c r="B224" s="7">
        <v>45242</v>
      </c>
      <c r="C224" s="4" t="s">
        <v>491</v>
      </c>
      <c r="D224" s="4" t="s">
        <v>72</v>
      </c>
      <c r="E224" s="4">
        <v>16585</v>
      </c>
      <c r="F224" s="4">
        <v>20.7</v>
      </c>
      <c r="G224" s="4">
        <v>36</v>
      </c>
      <c r="H224" s="4" t="s">
        <v>19</v>
      </c>
      <c r="I224" s="4" t="s">
        <v>36</v>
      </c>
      <c r="J224" s="4" t="s">
        <v>37</v>
      </c>
      <c r="K224" s="4">
        <v>65503</v>
      </c>
      <c r="L224" s="4" t="s">
        <v>33</v>
      </c>
      <c r="M224" s="4">
        <v>0.36</v>
      </c>
      <c r="N224" s="4">
        <v>0.56000000000000005</v>
      </c>
      <c r="O224" s="4">
        <v>20018.099999999999</v>
      </c>
      <c r="P224" s="4">
        <v>0</v>
      </c>
      <c r="Q224" s="6">
        <f t="shared" si="41"/>
        <v>622.28929409236662</v>
      </c>
      <c r="R224" s="6">
        <f t="shared" si="34"/>
        <v>5817.4145873251982</v>
      </c>
      <c r="S224" s="4">
        <f t="shared" si="35"/>
        <v>29616.071428571428</v>
      </c>
      <c r="T224" s="4">
        <f t="shared" si="36"/>
        <v>5458.583333333333</v>
      </c>
      <c r="U224" s="4">
        <f t="shared" si="37"/>
        <v>1965.09</v>
      </c>
      <c r="V224" s="4">
        <f t="shared" ca="1" si="38"/>
        <v>28</v>
      </c>
      <c r="W224" s="20">
        <f t="shared" ca="1" si="43"/>
        <v>17424.100234586265</v>
      </c>
      <c r="X224" s="4">
        <f t="shared" si="39"/>
        <v>3433.0999999999985</v>
      </c>
      <c r="Y224" s="13">
        <f t="shared" si="40"/>
        <v>0.20700030147723839</v>
      </c>
    </row>
    <row r="225" spans="1:25" x14ac:dyDescent="0.3">
      <c r="A225" s="12" t="s">
        <v>492</v>
      </c>
      <c r="B225" s="7">
        <v>44946</v>
      </c>
      <c r="C225" s="4" t="s">
        <v>493</v>
      </c>
      <c r="D225" s="4" t="s">
        <v>76</v>
      </c>
      <c r="E225" s="4">
        <v>26559</v>
      </c>
      <c r="F225" s="4">
        <v>24.5</v>
      </c>
      <c r="G225" s="4">
        <v>60</v>
      </c>
      <c r="H225" s="4" t="s">
        <v>26</v>
      </c>
      <c r="I225" s="4" t="s">
        <v>84</v>
      </c>
      <c r="J225" s="4" t="s">
        <v>37</v>
      </c>
      <c r="K225" s="4">
        <v>126282</v>
      </c>
      <c r="L225" s="4" t="s">
        <v>22</v>
      </c>
      <c r="M225" s="4">
        <v>0.11</v>
      </c>
      <c r="N225" s="4">
        <v>0.83</v>
      </c>
      <c r="O225" s="4">
        <v>10442.84</v>
      </c>
      <c r="P225" s="4">
        <v>0</v>
      </c>
      <c r="Q225" s="6">
        <f t="shared" si="41"/>
        <v>771.77575981371535</v>
      </c>
      <c r="R225" s="6">
        <f t="shared" si="34"/>
        <v>19747.545588822919</v>
      </c>
      <c r="S225" s="4">
        <f t="shared" si="35"/>
        <v>31998.795180722893</v>
      </c>
      <c r="T225" s="4">
        <f t="shared" si="36"/>
        <v>10523.5</v>
      </c>
      <c r="U225" s="4">
        <f t="shared" si="37"/>
        <v>1157.585</v>
      </c>
      <c r="V225" s="4">
        <f t="shared" ca="1" si="38"/>
        <v>37</v>
      </c>
      <c r="W225" s="20">
        <f t="shared" ca="1" si="43"/>
        <v>28555.703113107469</v>
      </c>
      <c r="X225" s="4">
        <f t="shared" si="39"/>
        <v>-16116.16</v>
      </c>
      <c r="Y225" s="13">
        <f t="shared" si="40"/>
        <v>-0.60680597914078094</v>
      </c>
    </row>
    <row r="226" spans="1:25" x14ac:dyDescent="0.3">
      <c r="A226" s="12" t="s">
        <v>494</v>
      </c>
      <c r="B226" s="7">
        <v>44234</v>
      </c>
      <c r="C226" s="4" t="s">
        <v>495</v>
      </c>
      <c r="D226" s="4" t="s">
        <v>50</v>
      </c>
      <c r="E226" s="4">
        <v>34742</v>
      </c>
      <c r="F226" s="4">
        <v>12.4</v>
      </c>
      <c r="G226" s="4">
        <v>60</v>
      </c>
      <c r="H226" s="4" t="s">
        <v>19</v>
      </c>
      <c r="I226" s="4" t="s">
        <v>73</v>
      </c>
      <c r="J226" s="4" t="s">
        <v>32</v>
      </c>
      <c r="K226" s="4">
        <v>123459</v>
      </c>
      <c r="L226" s="4" t="s">
        <v>33</v>
      </c>
      <c r="M226" s="4">
        <v>0.27</v>
      </c>
      <c r="N226" s="4">
        <v>0.87</v>
      </c>
      <c r="O226" s="4">
        <v>39050.01</v>
      </c>
      <c r="P226" s="4">
        <v>0</v>
      </c>
      <c r="Q226" s="6">
        <f t="shared" si="41"/>
        <v>779.85743941030387</v>
      </c>
      <c r="R226" s="6">
        <f t="shared" si="34"/>
        <v>12049.446364618234</v>
      </c>
      <c r="S226" s="4">
        <f t="shared" si="35"/>
        <v>39933.333333333336</v>
      </c>
      <c r="T226" s="4">
        <f t="shared" si="36"/>
        <v>10288.25</v>
      </c>
      <c r="U226" s="4">
        <f t="shared" si="37"/>
        <v>2777.8275000000003</v>
      </c>
      <c r="V226" s="4">
        <f t="shared" ca="1" si="38"/>
        <v>61</v>
      </c>
      <c r="W226" s="20">
        <f t="shared" ca="1" si="43"/>
        <v>47571.303804028539</v>
      </c>
      <c r="X226" s="4">
        <f t="shared" si="39"/>
        <v>4308.010000000002</v>
      </c>
      <c r="Y226" s="13">
        <f t="shared" si="40"/>
        <v>0.12400005756720978</v>
      </c>
    </row>
    <row r="227" spans="1:25" x14ac:dyDescent="0.3">
      <c r="A227" s="12" t="s">
        <v>496</v>
      </c>
      <c r="B227" s="7">
        <v>44426</v>
      </c>
      <c r="C227" s="4" t="s">
        <v>497</v>
      </c>
      <c r="D227" s="4" t="s">
        <v>76</v>
      </c>
      <c r="E227" s="4">
        <v>5133</v>
      </c>
      <c r="F227" s="4">
        <v>13.6</v>
      </c>
      <c r="G227" s="4">
        <v>60</v>
      </c>
      <c r="H227" s="4" t="s">
        <v>26</v>
      </c>
      <c r="I227" s="4" t="s">
        <v>57</v>
      </c>
      <c r="J227" s="4" t="s">
        <v>37</v>
      </c>
      <c r="K227" s="4">
        <v>105403</v>
      </c>
      <c r="L227" s="4" t="s">
        <v>29</v>
      </c>
      <c r="M227" s="4">
        <v>0.21</v>
      </c>
      <c r="N227" s="4">
        <v>0.62</v>
      </c>
      <c r="O227" s="4">
        <v>722</v>
      </c>
      <c r="P227" s="4">
        <v>0</v>
      </c>
      <c r="Q227" s="6">
        <f t="shared" si="41"/>
        <v>118.37414894779572</v>
      </c>
      <c r="R227" s="6">
        <f t="shared" si="34"/>
        <v>1969.4489368677432</v>
      </c>
      <c r="S227" s="4">
        <f t="shared" si="35"/>
        <v>8279.032258064517</v>
      </c>
      <c r="T227" s="4">
        <f t="shared" si="36"/>
        <v>8783.5833333333339</v>
      </c>
      <c r="U227" s="4">
        <f t="shared" si="37"/>
        <v>1844.5525</v>
      </c>
      <c r="V227" s="4">
        <f t="shared" ca="1" si="38"/>
        <v>55</v>
      </c>
      <c r="W227" s="20">
        <f t="shared" ca="1" si="43"/>
        <v>6510.5781921287644</v>
      </c>
      <c r="X227" s="4">
        <f t="shared" si="39"/>
        <v>-4411</v>
      </c>
      <c r="Y227" s="13">
        <f t="shared" si="40"/>
        <v>-0.85934151568283657</v>
      </c>
    </row>
    <row r="228" spans="1:25" x14ac:dyDescent="0.3">
      <c r="A228" s="12" t="s">
        <v>498</v>
      </c>
      <c r="B228" s="7">
        <v>44759</v>
      </c>
      <c r="C228" s="4" t="s">
        <v>499</v>
      </c>
      <c r="D228" s="4" t="s">
        <v>50</v>
      </c>
      <c r="E228" s="4">
        <v>15663</v>
      </c>
      <c r="F228" s="4">
        <v>21.9</v>
      </c>
      <c r="G228" s="4">
        <v>60</v>
      </c>
      <c r="H228" s="4" t="s">
        <v>26</v>
      </c>
      <c r="I228" s="4" t="s">
        <v>20</v>
      </c>
      <c r="J228" s="4" t="s">
        <v>28</v>
      </c>
      <c r="K228" s="4">
        <v>71258</v>
      </c>
      <c r="L228" s="4" t="s">
        <v>22</v>
      </c>
      <c r="M228" s="4">
        <v>0.15</v>
      </c>
      <c r="N228" s="4">
        <v>0.85</v>
      </c>
      <c r="O228" s="4">
        <v>2433.83</v>
      </c>
      <c r="P228" s="4">
        <v>0</v>
      </c>
      <c r="Q228" s="6">
        <f t="shared" si="41"/>
        <v>431.70494278859252</v>
      </c>
      <c r="R228" s="6">
        <f t="shared" si="34"/>
        <v>10239.296567315552</v>
      </c>
      <c r="S228" s="4">
        <f t="shared" si="35"/>
        <v>18427.058823529413</v>
      </c>
      <c r="T228" s="4">
        <f t="shared" si="36"/>
        <v>5938.166666666667</v>
      </c>
      <c r="U228" s="4">
        <f t="shared" si="37"/>
        <v>890.72500000000002</v>
      </c>
      <c r="V228" s="4">
        <f t="shared" ca="1" si="38"/>
        <v>44</v>
      </c>
      <c r="W228" s="20">
        <f t="shared" ca="1" si="43"/>
        <v>18995.017482698069</v>
      </c>
      <c r="X228" s="4">
        <f t="shared" si="39"/>
        <v>-13229.17</v>
      </c>
      <c r="Y228" s="13">
        <f t="shared" si="40"/>
        <v>-0.84461278171486942</v>
      </c>
    </row>
    <row r="229" spans="1:25" x14ac:dyDescent="0.3">
      <c r="A229" s="12" t="s">
        <v>500</v>
      </c>
      <c r="B229" s="7">
        <v>44634</v>
      </c>
      <c r="C229" s="4" t="s">
        <v>501</v>
      </c>
      <c r="D229" s="4" t="s">
        <v>46</v>
      </c>
      <c r="E229" s="4">
        <v>22754</v>
      </c>
      <c r="F229" s="4">
        <v>10.4</v>
      </c>
      <c r="G229" s="4">
        <v>36</v>
      </c>
      <c r="H229" s="4" t="s">
        <v>26</v>
      </c>
      <c r="I229" s="4" t="s">
        <v>27</v>
      </c>
      <c r="J229" s="4" t="s">
        <v>32</v>
      </c>
      <c r="K229" s="4">
        <v>63724</v>
      </c>
      <c r="L229" s="4" t="s">
        <v>29</v>
      </c>
      <c r="M229" s="4">
        <v>0.14000000000000001</v>
      </c>
      <c r="N229" s="4">
        <v>0.67</v>
      </c>
      <c r="O229" s="4">
        <v>6475.12</v>
      </c>
      <c r="P229" s="4">
        <v>0</v>
      </c>
      <c r="Q229" s="6">
        <f t="shared" si="41"/>
        <v>738.48814212514208</v>
      </c>
      <c r="R229" s="6">
        <f t="shared" si="34"/>
        <v>3831.5731165051147</v>
      </c>
      <c r="S229" s="4">
        <f t="shared" si="35"/>
        <v>33961.194029850747</v>
      </c>
      <c r="T229" s="4">
        <f t="shared" si="36"/>
        <v>5310.333333333333</v>
      </c>
      <c r="U229" s="4">
        <f t="shared" si="37"/>
        <v>743.44666666666672</v>
      </c>
      <c r="V229" s="4">
        <f t="shared" ca="1" si="38"/>
        <v>48</v>
      </c>
      <c r="W229" s="20">
        <f t="shared" ca="1" si="43"/>
        <v>35447.43082200682</v>
      </c>
      <c r="X229" s="4">
        <f t="shared" si="39"/>
        <v>-16278.880000000001</v>
      </c>
      <c r="Y229" s="13">
        <f t="shared" si="40"/>
        <v>-0.71542937505493542</v>
      </c>
    </row>
    <row r="230" spans="1:25" x14ac:dyDescent="0.3">
      <c r="A230" s="12" t="s">
        <v>502</v>
      </c>
      <c r="B230" s="7">
        <v>44223</v>
      </c>
      <c r="C230" s="4" t="s">
        <v>503</v>
      </c>
      <c r="D230" s="4" t="s">
        <v>25</v>
      </c>
      <c r="E230" s="4">
        <v>4972</v>
      </c>
      <c r="F230" s="4">
        <v>8.1</v>
      </c>
      <c r="G230" s="4">
        <v>60</v>
      </c>
      <c r="H230" s="4" t="s">
        <v>26</v>
      </c>
      <c r="I230" s="4" t="s">
        <v>20</v>
      </c>
      <c r="J230" s="4" t="s">
        <v>37</v>
      </c>
      <c r="K230" s="4">
        <v>94286</v>
      </c>
      <c r="L230" s="4" t="s">
        <v>22</v>
      </c>
      <c r="M230" s="4">
        <v>0.34</v>
      </c>
      <c r="N230" s="4">
        <v>0.73</v>
      </c>
      <c r="O230" s="4">
        <v>633.66</v>
      </c>
      <c r="P230" s="4">
        <v>0</v>
      </c>
      <c r="Q230" s="6">
        <f t="shared" si="41"/>
        <v>101.05235262330987</v>
      </c>
      <c r="R230" s="6">
        <f t="shared" si="34"/>
        <v>1091.1411573985924</v>
      </c>
      <c r="S230" s="4">
        <f t="shared" si="35"/>
        <v>6810.9589041095896</v>
      </c>
      <c r="T230" s="4">
        <f t="shared" si="36"/>
        <v>7857.166666666667</v>
      </c>
      <c r="U230" s="4">
        <f t="shared" si="37"/>
        <v>2671.436666666667</v>
      </c>
      <c r="V230" s="4">
        <f t="shared" ca="1" si="38"/>
        <v>61</v>
      </c>
      <c r="W230" s="20">
        <f t="shared" ca="1" si="43"/>
        <v>6164.1935100219025</v>
      </c>
      <c r="X230" s="4">
        <f t="shared" si="39"/>
        <v>-4338.34</v>
      </c>
      <c r="Y230" s="13">
        <f t="shared" si="40"/>
        <v>-0.87255430410297674</v>
      </c>
    </row>
    <row r="231" spans="1:25" x14ac:dyDescent="0.3">
      <c r="A231" s="12" t="s">
        <v>504</v>
      </c>
      <c r="B231" s="7">
        <v>44422</v>
      </c>
      <c r="C231" s="4" t="s">
        <v>505</v>
      </c>
      <c r="D231" s="4" t="s">
        <v>50</v>
      </c>
      <c r="E231" s="4">
        <v>6295</v>
      </c>
      <c r="F231" s="4">
        <v>22.1</v>
      </c>
      <c r="G231" s="4">
        <v>36</v>
      </c>
      <c r="H231" s="4" t="s">
        <v>19</v>
      </c>
      <c r="I231" s="4" t="s">
        <v>27</v>
      </c>
      <c r="J231" s="4" t="s">
        <v>32</v>
      </c>
      <c r="K231" s="4">
        <v>104842</v>
      </c>
      <c r="L231" s="4" t="s">
        <v>22</v>
      </c>
      <c r="M231" s="4">
        <v>0.31</v>
      </c>
      <c r="N231" s="4">
        <v>0.89</v>
      </c>
      <c r="O231" s="4">
        <v>7686.2</v>
      </c>
      <c r="P231" s="4">
        <v>0</v>
      </c>
      <c r="Q231" s="6">
        <f t="shared" si="41"/>
        <v>240.73468441224782</v>
      </c>
      <c r="R231" s="6">
        <f t="shared" si="34"/>
        <v>2371.4486388409205</v>
      </c>
      <c r="S231" s="4">
        <f t="shared" si="35"/>
        <v>7073.0337078651683</v>
      </c>
      <c r="T231" s="4">
        <f t="shared" si="36"/>
        <v>8736.8333333333339</v>
      </c>
      <c r="U231" s="4">
        <f t="shared" si="37"/>
        <v>2708.4183333333335</v>
      </c>
      <c r="V231" s="4">
        <f t="shared" ca="1" si="38"/>
        <v>55</v>
      </c>
      <c r="W231" s="20">
        <f t="shared" ca="1" si="43"/>
        <v>13240.40764267363</v>
      </c>
      <c r="X231" s="4">
        <f t="shared" si="39"/>
        <v>1391.1999999999998</v>
      </c>
      <c r="Y231" s="13">
        <f t="shared" si="40"/>
        <v>0.2210007942811755</v>
      </c>
    </row>
    <row r="232" spans="1:25" x14ac:dyDescent="0.3">
      <c r="A232" s="12" t="s">
        <v>506</v>
      </c>
      <c r="B232" s="7">
        <v>44994</v>
      </c>
      <c r="C232" s="4" t="s">
        <v>507</v>
      </c>
      <c r="D232" s="4" t="s">
        <v>50</v>
      </c>
      <c r="E232" s="4">
        <v>30125</v>
      </c>
      <c r="F232" s="4">
        <v>5.9</v>
      </c>
      <c r="G232" s="4">
        <v>36</v>
      </c>
      <c r="H232" s="4" t="s">
        <v>19</v>
      </c>
      <c r="I232" s="4" t="s">
        <v>84</v>
      </c>
      <c r="J232" s="4" t="s">
        <v>28</v>
      </c>
      <c r="K232" s="4">
        <v>134927</v>
      </c>
      <c r="L232" s="4" t="s">
        <v>33</v>
      </c>
      <c r="M232" s="4">
        <v>0.2</v>
      </c>
      <c r="N232" s="4">
        <v>0.84</v>
      </c>
      <c r="O232" s="4">
        <v>31902.38</v>
      </c>
      <c r="P232" s="4">
        <v>0</v>
      </c>
      <c r="Q232" s="6">
        <f t="shared" si="41"/>
        <v>915.09651804230066</v>
      </c>
      <c r="R232" s="6">
        <f t="shared" si="34"/>
        <v>2818.4746495228246</v>
      </c>
      <c r="S232" s="4">
        <f t="shared" si="35"/>
        <v>35863.095238095237</v>
      </c>
      <c r="T232" s="4">
        <f t="shared" si="36"/>
        <v>11243.916666666666</v>
      </c>
      <c r="U232" s="4">
        <f t="shared" si="37"/>
        <v>2248.7833333333333</v>
      </c>
      <c r="V232" s="4">
        <f t="shared" ca="1" si="38"/>
        <v>36</v>
      </c>
      <c r="W232" s="20">
        <f t="shared" ca="1" si="43"/>
        <v>32943.474649522825</v>
      </c>
      <c r="X232" s="4">
        <f t="shared" si="39"/>
        <v>1777.380000000001</v>
      </c>
      <c r="Y232" s="13">
        <f t="shared" si="40"/>
        <v>5.9000165975103769E-2</v>
      </c>
    </row>
    <row r="233" spans="1:25" x14ac:dyDescent="0.3">
      <c r="A233" s="12" t="s">
        <v>508</v>
      </c>
      <c r="B233" s="7">
        <v>44480</v>
      </c>
      <c r="C233" s="4" t="s">
        <v>509</v>
      </c>
      <c r="D233" s="4" t="s">
        <v>40</v>
      </c>
      <c r="E233" s="4">
        <v>10903</v>
      </c>
      <c r="F233" s="4">
        <v>17.399999999999999</v>
      </c>
      <c r="G233" s="4">
        <v>36</v>
      </c>
      <c r="H233" s="4" t="s">
        <v>26</v>
      </c>
      <c r="I233" s="4" t="s">
        <v>20</v>
      </c>
      <c r="J233" s="4" t="s">
        <v>37</v>
      </c>
      <c r="K233" s="4">
        <v>44908</v>
      </c>
      <c r="L233" s="4" t="s">
        <v>33</v>
      </c>
      <c r="M233" s="4">
        <v>0.28999999999999998</v>
      </c>
      <c r="N233" s="4">
        <v>0.86</v>
      </c>
      <c r="O233" s="4">
        <v>2043.7</v>
      </c>
      <c r="P233" s="4">
        <v>0</v>
      </c>
      <c r="Q233" s="6">
        <f t="shared" si="41"/>
        <v>390.89565181148356</v>
      </c>
      <c r="R233" s="6">
        <f t="shared" si="34"/>
        <v>3169.2434652134089</v>
      </c>
      <c r="S233" s="4">
        <f t="shared" si="35"/>
        <v>12677.906976744187</v>
      </c>
      <c r="T233" s="4">
        <f t="shared" si="36"/>
        <v>3742.3333333333335</v>
      </c>
      <c r="U233" s="4">
        <f t="shared" si="37"/>
        <v>1085.2766666666666</v>
      </c>
      <c r="V233" s="4">
        <f t="shared" ca="1" si="38"/>
        <v>53</v>
      </c>
      <c r="W233" s="20">
        <f t="shared" ca="1" si="43"/>
        <v>20717.46954600863</v>
      </c>
      <c r="X233" s="4">
        <f t="shared" si="39"/>
        <v>-8859.2999999999993</v>
      </c>
      <c r="Y233" s="13">
        <f t="shared" si="40"/>
        <v>-0.81255617719893602</v>
      </c>
    </row>
    <row r="234" spans="1:25" x14ac:dyDescent="0.3">
      <c r="A234" s="12" t="s">
        <v>510</v>
      </c>
      <c r="B234" s="7">
        <v>45075</v>
      </c>
      <c r="C234" s="4" t="s">
        <v>511</v>
      </c>
      <c r="D234" s="4" t="s">
        <v>65</v>
      </c>
      <c r="E234" s="4">
        <v>4020</v>
      </c>
      <c r="F234" s="4">
        <v>16.2</v>
      </c>
      <c r="G234" s="4">
        <v>36</v>
      </c>
      <c r="H234" s="4" t="s">
        <v>19</v>
      </c>
      <c r="I234" s="4" t="s">
        <v>84</v>
      </c>
      <c r="J234" s="4" t="s">
        <v>47</v>
      </c>
      <c r="K234" s="4">
        <v>122617</v>
      </c>
      <c r="L234" s="4" t="s">
        <v>33</v>
      </c>
      <c r="M234" s="4">
        <v>0.3</v>
      </c>
      <c r="N234" s="4">
        <v>0.56000000000000005</v>
      </c>
      <c r="O234" s="4">
        <v>4671.24</v>
      </c>
      <c r="P234" s="4">
        <v>0</v>
      </c>
      <c r="Q234" s="6">
        <f t="shared" si="41"/>
        <v>141.72853008547028</v>
      </c>
      <c r="R234" s="6">
        <f t="shared" si="34"/>
        <v>1082.2270830769303</v>
      </c>
      <c r="S234" s="4">
        <f t="shared" si="35"/>
        <v>7178.5714285714275</v>
      </c>
      <c r="T234" s="4">
        <f t="shared" si="36"/>
        <v>10218.083333333334</v>
      </c>
      <c r="U234" s="4">
        <f t="shared" si="37"/>
        <v>3065.4250000000002</v>
      </c>
      <c r="V234" s="4">
        <f t="shared" ca="1" si="38"/>
        <v>33</v>
      </c>
      <c r="W234" s="20">
        <f t="shared" ca="1" si="43"/>
        <v>4677.0414928205191</v>
      </c>
      <c r="X234" s="4">
        <f t="shared" si="39"/>
        <v>651.23999999999978</v>
      </c>
      <c r="Y234" s="13">
        <f t="shared" si="40"/>
        <v>0.16199999999999995</v>
      </c>
    </row>
    <row r="235" spans="1:25" x14ac:dyDescent="0.3">
      <c r="A235" s="12" t="s">
        <v>512</v>
      </c>
      <c r="B235" s="7">
        <v>45156</v>
      </c>
      <c r="C235" s="4" t="s">
        <v>513</v>
      </c>
      <c r="D235" s="4" t="s">
        <v>65</v>
      </c>
      <c r="E235" s="4">
        <v>21420</v>
      </c>
      <c r="F235" s="4">
        <v>11.9</v>
      </c>
      <c r="G235" s="4">
        <v>60</v>
      </c>
      <c r="H235" s="4" t="s">
        <v>19</v>
      </c>
      <c r="I235" s="4" t="s">
        <v>20</v>
      </c>
      <c r="J235" s="4" t="s">
        <v>28</v>
      </c>
      <c r="K235" s="4">
        <v>80626</v>
      </c>
      <c r="L235" s="4" t="s">
        <v>29</v>
      </c>
      <c r="M235" s="4">
        <v>0.18</v>
      </c>
      <c r="N235" s="4">
        <v>0.53</v>
      </c>
      <c r="O235" s="4">
        <v>23968.98</v>
      </c>
      <c r="P235" s="4">
        <v>0</v>
      </c>
      <c r="Q235" s="6">
        <f t="shared" si="41"/>
        <v>475.39435367317094</v>
      </c>
      <c r="R235" s="6">
        <f t="shared" si="34"/>
        <v>7103.661220390255</v>
      </c>
      <c r="S235" s="4">
        <f t="shared" si="35"/>
        <v>40415.094339622643</v>
      </c>
      <c r="T235" s="4">
        <f t="shared" si="36"/>
        <v>6718.833333333333</v>
      </c>
      <c r="U235" s="4">
        <f t="shared" si="37"/>
        <v>1209.3899999999999</v>
      </c>
      <c r="V235" s="4">
        <f t="shared" ca="1" si="38"/>
        <v>31</v>
      </c>
      <c r="W235" s="20">
        <f t="shared" ca="1" si="43"/>
        <v>14737.224963868299</v>
      </c>
      <c r="X235" s="4">
        <f t="shared" si="39"/>
        <v>2548.9799999999996</v>
      </c>
      <c r="Y235" s="13">
        <f t="shared" si="40"/>
        <v>0.11899999999999998</v>
      </c>
    </row>
    <row r="236" spans="1:25" x14ac:dyDescent="0.3">
      <c r="A236" s="12" t="s">
        <v>514</v>
      </c>
      <c r="B236" s="7">
        <v>44649</v>
      </c>
      <c r="C236" s="4" t="s">
        <v>515</v>
      </c>
      <c r="D236" s="4" t="s">
        <v>40</v>
      </c>
      <c r="E236" s="4">
        <v>22452</v>
      </c>
      <c r="F236" s="4">
        <v>11.3</v>
      </c>
      <c r="G236" s="4">
        <v>60</v>
      </c>
      <c r="H236" s="4" t="s">
        <v>19</v>
      </c>
      <c r="I236" s="4" t="s">
        <v>36</v>
      </c>
      <c r="J236" s="4" t="s">
        <v>21</v>
      </c>
      <c r="K236" s="4">
        <v>67228</v>
      </c>
      <c r="L236" s="4" t="s">
        <v>33</v>
      </c>
      <c r="M236" s="4">
        <v>0.36</v>
      </c>
      <c r="N236" s="4">
        <v>0.9</v>
      </c>
      <c r="O236" s="4">
        <v>24989.08</v>
      </c>
      <c r="P236" s="4">
        <v>0</v>
      </c>
      <c r="Q236" s="6">
        <f t="shared" si="41"/>
        <v>491.52669678602444</v>
      </c>
      <c r="R236" s="6">
        <f t="shared" si="34"/>
        <v>7039.6018071614671</v>
      </c>
      <c r="S236" s="4">
        <f t="shared" si="35"/>
        <v>24946.666666666664</v>
      </c>
      <c r="T236" s="4">
        <f t="shared" si="36"/>
        <v>5602.333333333333</v>
      </c>
      <c r="U236" s="4">
        <f t="shared" si="37"/>
        <v>2016.84</v>
      </c>
      <c r="V236" s="4">
        <f t="shared" ca="1" si="38"/>
        <v>47</v>
      </c>
      <c r="W236" s="20">
        <f t="shared" ca="1" si="43"/>
        <v>23101.754748943149</v>
      </c>
      <c r="X236" s="4">
        <f t="shared" si="39"/>
        <v>2537.0800000000017</v>
      </c>
      <c r="Y236" s="13">
        <f t="shared" si="40"/>
        <v>0.11300017815784794</v>
      </c>
    </row>
    <row r="237" spans="1:25" x14ac:dyDescent="0.3">
      <c r="A237" s="12" t="s">
        <v>516</v>
      </c>
      <c r="B237" s="7">
        <v>45216</v>
      </c>
      <c r="C237" s="4" t="s">
        <v>517</v>
      </c>
      <c r="D237" s="4" t="s">
        <v>56</v>
      </c>
      <c r="E237" s="4">
        <v>39001</v>
      </c>
      <c r="F237" s="4">
        <v>20.399999999999999</v>
      </c>
      <c r="G237" s="4">
        <v>36</v>
      </c>
      <c r="H237" s="4" t="s">
        <v>81</v>
      </c>
      <c r="I237" s="4" t="s">
        <v>20</v>
      </c>
      <c r="J237" s="4" t="s">
        <v>21</v>
      </c>
      <c r="K237" s="4">
        <v>53386</v>
      </c>
      <c r="L237" s="4" t="s">
        <v>33</v>
      </c>
      <c r="M237" s="4">
        <v>0.41</v>
      </c>
      <c r="N237" s="4">
        <v>0.67</v>
      </c>
      <c r="O237" s="4">
        <v>7661.31</v>
      </c>
      <c r="P237" s="4">
        <v>15157.1</v>
      </c>
      <c r="Q237" s="6">
        <f t="shared" si="41"/>
        <v>1457.3779606876842</v>
      </c>
      <c r="R237" s="6">
        <f t="shared" si="34"/>
        <v>13464.606584756635</v>
      </c>
      <c r="S237" s="4">
        <f t="shared" si="35"/>
        <v>58210.447761194024</v>
      </c>
      <c r="T237" s="4">
        <f t="shared" si="36"/>
        <v>4448.833333333333</v>
      </c>
      <c r="U237" s="4">
        <f t="shared" si="37"/>
        <v>1824.0216666666665</v>
      </c>
      <c r="V237" s="4">
        <f t="shared" ca="1" si="38"/>
        <v>29</v>
      </c>
      <c r="W237" s="20">
        <v>0</v>
      </c>
      <c r="X237" s="4">
        <f t="shared" si="39"/>
        <v>-16182.59</v>
      </c>
      <c r="Y237" s="13">
        <f t="shared" si="40"/>
        <v>-0.4149275659598472</v>
      </c>
    </row>
    <row r="238" spans="1:25" x14ac:dyDescent="0.3">
      <c r="A238" s="12" t="s">
        <v>518</v>
      </c>
      <c r="B238" s="7">
        <v>45012</v>
      </c>
      <c r="C238" s="4" t="s">
        <v>519</v>
      </c>
      <c r="D238" s="4" t="s">
        <v>40</v>
      </c>
      <c r="E238" s="4">
        <v>10516</v>
      </c>
      <c r="F238" s="4">
        <v>6.7</v>
      </c>
      <c r="G238" s="4">
        <v>36</v>
      </c>
      <c r="H238" s="4" t="s">
        <v>19</v>
      </c>
      <c r="I238" s="4" t="s">
        <v>27</v>
      </c>
      <c r="J238" s="4" t="s">
        <v>28</v>
      </c>
      <c r="K238" s="4">
        <v>76754</v>
      </c>
      <c r="L238" s="4" t="s">
        <v>22</v>
      </c>
      <c r="M238" s="4">
        <v>0.42</v>
      </c>
      <c r="N238" s="4">
        <v>0.63</v>
      </c>
      <c r="O238" s="4">
        <v>11220.57</v>
      </c>
      <c r="P238" s="4">
        <v>0</v>
      </c>
      <c r="Q238" s="6">
        <f t="shared" si="41"/>
        <v>323.26307156902504</v>
      </c>
      <c r="R238" s="6">
        <f t="shared" si="34"/>
        <v>1121.4705764849023</v>
      </c>
      <c r="S238" s="4">
        <f t="shared" si="35"/>
        <v>16692.063492063491</v>
      </c>
      <c r="T238" s="4">
        <f t="shared" si="36"/>
        <v>6396.166666666667</v>
      </c>
      <c r="U238" s="4">
        <f t="shared" si="37"/>
        <v>2686.39</v>
      </c>
      <c r="V238" s="4">
        <f t="shared" ca="1" si="38"/>
        <v>35</v>
      </c>
      <c r="W238" s="20">
        <f t="shared" ref="W238:W248" ca="1" si="44">V238*Q238</f>
        <v>11314.207504915876</v>
      </c>
      <c r="X238" s="4">
        <f t="shared" si="39"/>
        <v>704.56999999999971</v>
      </c>
      <c r="Y238" s="13">
        <f t="shared" si="40"/>
        <v>6.699980981361732E-2</v>
      </c>
    </row>
    <row r="239" spans="1:25" x14ac:dyDescent="0.3">
      <c r="A239" s="12" t="s">
        <v>520</v>
      </c>
      <c r="B239" s="7">
        <v>44855</v>
      </c>
      <c r="C239" s="4" t="s">
        <v>521</v>
      </c>
      <c r="D239" s="4" t="s">
        <v>50</v>
      </c>
      <c r="E239" s="4">
        <v>3396</v>
      </c>
      <c r="F239" s="4">
        <v>9.6999999999999993</v>
      </c>
      <c r="G239" s="4">
        <v>36</v>
      </c>
      <c r="H239" s="4" t="s">
        <v>19</v>
      </c>
      <c r="I239" s="4" t="s">
        <v>57</v>
      </c>
      <c r="J239" s="4" t="s">
        <v>21</v>
      </c>
      <c r="K239" s="4">
        <v>140942</v>
      </c>
      <c r="L239" s="4" t="s">
        <v>33</v>
      </c>
      <c r="M239" s="4">
        <v>0.34</v>
      </c>
      <c r="N239" s="4">
        <v>0.83</v>
      </c>
      <c r="O239" s="4">
        <v>3725.41</v>
      </c>
      <c r="P239" s="4">
        <v>0</v>
      </c>
      <c r="Q239" s="6">
        <f t="shared" si="41"/>
        <v>109.1016699386485</v>
      </c>
      <c r="R239" s="6">
        <f t="shared" si="34"/>
        <v>531.66011779134578</v>
      </c>
      <c r="S239" s="4">
        <f t="shared" si="35"/>
        <v>4091.5662650602412</v>
      </c>
      <c r="T239" s="4">
        <f t="shared" si="36"/>
        <v>11745.166666666666</v>
      </c>
      <c r="U239" s="4">
        <f t="shared" si="37"/>
        <v>3993.3566666666666</v>
      </c>
      <c r="V239" s="4">
        <f t="shared" ca="1" si="38"/>
        <v>40</v>
      </c>
      <c r="W239" s="20">
        <f t="shared" ca="1" si="44"/>
        <v>4364.0667975459401</v>
      </c>
      <c r="X239" s="4">
        <f t="shared" si="39"/>
        <v>329.40999999999985</v>
      </c>
      <c r="Y239" s="13">
        <f t="shared" si="40"/>
        <v>9.6999411071849187E-2</v>
      </c>
    </row>
    <row r="240" spans="1:25" x14ac:dyDescent="0.3">
      <c r="A240" s="12" t="s">
        <v>522</v>
      </c>
      <c r="B240" s="7">
        <v>44743</v>
      </c>
      <c r="C240" s="4" t="s">
        <v>523</v>
      </c>
      <c r="D240" s="4" t="s">
        <v>50</v>
      </c>
      <c r="E240" s="4">
        <v>19546</v>
      </c>
      <c r="F240" s="4">
        <v>19.600000000000001</v>
      </c>
      <c r="G240" s="4">
        <v>36</v>
      </c>
      <c r="H240" s="4" t="s">
        <v>26</v>
      </c>
      <c r="I240" s="4" t="s">
        <v>84</v>
      </c>
      <c r="J240" s="4" t="s">
        <v>28</v>
      </c>
      <c r="K240" s="4">
        <v>58302</v>
      </c>
      <c r="L240" s="4" t="s">
        <v>33</v>
      </c>
      <c r="M240" s="4">
        <v>0.3</v>
      </c>
      <c r="N240" s="4">
        <v>0.88</v>
      </c>
      <c r="O240" s="4">
        <v>2381.36</v>
      </c>
      <c r="P240" s="4">
        <v>0</v>
      </c>
      <c r="Q240" s="6">
        <f t="shared" si="41"/>
        <v>722.4218510409595</v>
      </c>
      <c r="R240" s="6">
        <f t="shared" si="34"/>
        <v>6461.1866374745405</v>
      </c>
      <c r="S240" s="4">
        <f t="shared" si="35"/>
        <v>22211.363636363636</v>
      </c>
      <c r="T240" s="4">
        <f t="shared" si="36"/>
        <v>4858.5</v>
      </c>
      <c r="U240" s="4">
        <f t="shared" si="37"/>
        <v>1457.55</v>
      </c>
      <c r="V240" s="4">
        <f t="shared" ca="1" si="38"/>
        <v>44</v>
      </c>
      <c r="W240" s="20">
        <f t="shared" ca="1" si="44"/>
        <v>31786.561445802217</v>
      </c>
      <c r="X240" s="4">
        <f t="shared" si="39"/>
        <v>-17164.64</v>
      </c>
      <c r="Y240" s="13">
        <f t="shared" si="40"/>
        <v>-0.8781663767522766</v>
      </c>
    </row>
    <row r="241" spans="1:25" x14ac:dyDescent="0.3">
      <c r="A241" s="12" t="s">
        <v>524</v>
      </c>
      <c r="B241" s="7">
        <v>45269</v>
      </c>
      <c r="C241" s="4" t="s">
        <v>525</v>
      </c>
      <c r="D241" s="4" t="s">
        <v>40</v>
      </c>
      <c r="E241" s="4">
        <v>20129</v>
      </c>
      <c r="F241" s="4">
        <v>16</v>
      </c>
      <c r="G241" s="4">
        <v>60</v>
      </c>
      <c r="H241" s="4" t="s">
        <v>26</v>
      </c>
      <c r="I241" s="4" t="s">
        <v>73</v>
      </c>
      <c r="J241" s="4" t="s">
        <v>47</v>
      </c>
      <c r="K241" s="4">
        <v>90815</v>
      </c>
      <c r="L241" s="4" t="s">
        <v>33</v>
      </c>
      <c r="M241" s="4">
        <v>0.12</v>
      </c>
      <c r="N241" s="4">
        <v>0.89</v>
      </c>
      <c r="O241" s="4">
        <v>2865.01</v>
      </c>
      <c r="P241" s="4">
        <v>0</v>
      </c>
      <c r="Q241" s="6">
        <f t="shared" si="41"/>
        <v>489.49817169519298</v>
      </c>
      <c r="R241" s="6">
        <f t="shared" si="34"/>
        <v>9240.8903017115772</v>
      </c>
      <c r="S241" s="4">
        <f t="shared" si="35"/>
        <v>22616.853932584268</v>
      </c>
      <c r="T241" s="4">
        <f t="shared" si="36"/>
        <v>7567.916666666667</v>
      </c>
      <c r="U241" s="4">
        <f t="shared" si="37"/>
        <v>908.15</v>
      </c>
      <c r="V241" s="4">
        <f t="shared" ca="1" si="38"/>
        <v>27</v>
      </c>
      <c r="W241" s="20">
        <f t="shared" ca="1" si="44"/>
        <v>13216.45063577021</v>
      </c>
      <c r="X241" s="4">
        <f t="shared" si="39"/>
        <v>-17263.989999999998</v>
      </c>
      <c r="Y241" s="13">
        <f t="shared" si="40"/>
        <v>-0.85766754433901327</v>
      </c>
    </row>
    <row r="242" spans="1:25" x14ac:dyDescent="0.3">
      <c r="A242" s="12" t="s">
        <v>526</v>
      </c>
      <c r="B242" s="7">
        <v>44213</v>
      </c>
      <c r="C242" s="4" t="s">
        <v>527</v>
      </c>
      <c r="D242" s="4" t="s">
        <v>40</v>
      </c>
      <c r="E242" s="4">
        <v>2591</v>
      </c>
      <c r="F242" s="4">
        <v>7.6</v>
      </c>
      <c r="G242" s="4">
        <v>36</v>
      </c>
      <c r="H242" s="4" t="s">
        <v>19</v>
      </c>
      <c r="I242" s="4" t="s">
        <v>20</v>
      </c>
      <c r="J242" s="4" t="s">
        <v>28</v>
      </c>
      <c r="K242" s="4">
        <v>114748</v>
      </c>
      <c r="L242" s="4" t="s">
        <v>33</v>
      </c>
      <c r="M242" s="4">
        <v>0.22</v>
      </c>
      <c r="N242" s="4">
        <v>0.64</v>
      </c>
      <c r="O242" s="4">
        <v>2787.92</v>
      </c>
      <c r="P242" s="4">
        <v>0</v>
      </c>
      <c r="Q242" s="6">
        <f t="shared" si="41"/>
        <v>80.715261024941341</v>
      </c>
      <c r="R242" s="6">
        <f t="shared" si="34"/>
        <v>314.74939689788835</v>
      </c>
      <c r="S242" s="4">
        <f t="shared" si="35"/>
        <v>4048.4375</v>
      </c>
      <c r="T242" s="4">
        <f t="shared" si="36"/>
        <v>9562.3333333333339</v>
      </c>
      <c r="U242" s="4">
        <f t="shared" si="37"/>
        <v>2103.7133333333336</v>
      </c>
      <c r="V242" s="4">
        <f t="shared" ca="1" si="38"/>
        <v>62</v>
      </c>
      <c r="W242" s="20">
        <f t="shared" ca="1" si="44"/>
        <v>5004.3461835463631</v>
      </c>
      <c r="X242" s="4">
        <f t="shared" si="39"/>
        <v>196.92000000000007</v>
      </c>
      <c r="Y242" s="13">
        <f t="shared" si="40"/>
        <v>7.6001543805480534E-2</v>
      </c>
    </row>
    <row r="243" spans="1:25" x14ac:dyDescent="0.3">
      <c r="A243" s="12" t="s">
        <v>528</v>
      </c>
      <c r="B243" s="7">
        <v>44354</v>
      </c>
      <c r="C243" s="4" t="s">
        <v>529</v>
      </c>
      <c r="D243" s="4" t="s">
        <v>56</v>
      </c>
      <c r="E243" s="4">
        <v>12303</v>
      </c>
      <c r="F243" s="4">
        <v>22.6</v>
      </c>
      <c r="G243" s="4">
        <v>60</v>
      </c>
      <c r="H243" s="4" t="s">
        <v>19</v>
      </c>
      <c r="I243" s="4" t="s">
        <v>73</v>
      </c>
      <c r="J243" s="4" t="s">
        <v>37</v>
      </c>
      <c r="K243" s="4">
        <v>93344</v>
      </c>
      <c r="L243" s="4" t="s">
        <v>22</v>
      </c>
      <c r="M243" s="4">
        <v>0.14000000000000001</v>
      </c>
      <c r="N243" s="4">
        <v>0.88</v>
      </c>
      <c r="O243" s="4">
        <v>15083.48</v>
      </c>
      <c r="P243" s="4">
        <v>0</v>
      </c>
      <c r="Q243" s="6">
        <f t="shared" si="41"/>
        <v>344.00579669265647</v>
      </c>
      <c r="R243" s="6">
        <f t="shared" si="34"/>
        <v>8337.3478015593901</v>
      </c>
      <c r="S243" s="4">
        <f t="shared" si="35"/>
        <v>13980.681818181818</v>
      </c>
      <c r="T243" s="4">
        <f t="shared" si="36"/>
        <v>7778.666666666667</v>
      </c>
      <c r="U243" s="4">
        <f t="shared" si="37"/>
        <v>1089.0133333333335</v>
      </c>
      <c r="V243" s="4">
        <f t="shared" ca="1" si="38"/>
        <v>57</v>
      </c>
      <c r="W243" s="20">
        <f t="shared" ca="1" si="44"/>
        <v>19608.33041148142</v>
      </c>
      <c r="X243" s="4">
        <f t="shared" si="39"/>
        <v>2780.4799999999996</v>
      </c>
      <c r="Y243" s="13">
        <f t="shared" si="40"/>
        <v>0.22600016256197672</v>
      </c>
    </row>
    <row r="244" spans="1:25" x14ac:dyDescent="0.3">
      <c r="A244" s="12" t="s">
        <v>530</v>
      </c>
      <c r="B244" s="7">
        <v>44673</v>
      </c>
      <c r="C244" s="4" t="s">
        <v>531</v>
      </c>
      <c r="D244" s="4" t="s">
        <v>76</v>
      </c>
      <c r="E244" s="4">
        <v>31561</v>
      </c>
      <c r="F244" s="4">
        <v>12.9</v>
      </c>
      <c r="G244" s="4">
        <v>36</v>
      </c>
      <c r="H244" s="4" t="s">
        <v>26</v>
      </c>
      <c r="I244" s="4" t="s">
        <v>57</v>
      </c>
      <c r="J244" s="4" t="s">
        <v>37</v>
      </c>
      <c r="K244" s="4">
        <v>65618</v>
      </c>
      <c r="L244" s="4" t="s">
        <v>33</v>
      </c>
      <c r="M244" s="4">
        <v>0.49</v>
      </c>
      <c r="N244" s="4">
        <v>0.52</v>
      </c>
      <c r="O244" s="4">
        <v>12777.42</v>
      </c>
      <c r="P244" s="4">
        <v>0</v>
      </c>
      <c r="Q244" s="6">
        <f t="shared" si="41"/>
        <v>1061.8952815543769</v>
      </c>
      <c r="R244" s="6">
        <f t="shared" si="34"/>
        <v>6667.2301359575649</v>
      </c>
      <c r="S244" s="4">
        <f t="shared" si="35"/>
        <v>60694.230769230766</v>
      </c>
      <c r="T244" s="4">
        <f t="shared" si="36"/>
        <v>5468.166666666667</v>
      </c>
      <c r="U244" s="4">
        <f t="shared" si="37"/>
        <v>2679.4016666666666</v>
      </c>
      <c r="V244" s="4">
        <f t="shared" ca="1" si="38"/>
        <v>46</v>
      </c>
      <c r="W244" s="20">
        <f t="shared" ca="1" si="44"/>
        <v>48847.182951501338</v>
      </c>
      <c r="X244" s="4">
        <f t="shared" si="39"/>
        <v>-18783.580000000002</v>
      </c>
      <c r="Y244" s="13">
        <f t="shared" si="40"/>
        <v>-0.59515161116567916</v>
      </c>
    </row>
    <row r="245" spans="1:25" x14ac:dyDescent="0.3">
      <c r="A245" s="12" t="s">
        <v>532</v>
      </c>
      <c r="B245" s="7">
        <v>45266</v>
      </c>
      <c r="C245" s="4" t="s">
        <v>533</v>
      </c>
      <c r="D245" s="4" t="s">
        <v>25</v>
      </c>
      <c r="E245" s="4">
        <v>7183</v>
      </c>
      <c r="F245" s="4">
        <v>21.6</v>
      </c>
      <c r="G245" s="4">
        <v>36</v>
      </c>
      <c r="H245" s="4" t="s">
        <v>315</v>
      </c>
      <c r="I245" s="4" t="s">
        <v>27</v>
      </c>
      <c r="J245" s="4" t="s">
        <v>32</v>
      </c>
      <c r="K245" s="4">
        <v>141603</v>
      </c>
      <c r="L245" s="4" t="s">
        <v>22</v>
      </c>
      <c r="M245" s="4">
        <v>0.15</v>
      </c>
      <c r="N245" s="4">
        <v>0.52</v>
      </c>
      <c r="O245" s="4">
        <v>0</v>
      </c>
      <c r="P245" s="4">
        <v>0</v>
      </c>
      <c r="Q245" s="6">
        <f t="shared" si="41"/>
        <v>272.83786412316732</v>
      </c>
      <c r="R245" s="6">
        <f t="shared" si="34"/>
        <v>2639.1631084340243</v>
      </c>
      <c r="S245" s="4">
        <f t="shared" si="35"/>
        <v>13813.461538461537</v>
      </c>
      <c r="T245" s="4">
        <f t="shared" si="36"/>
        <v>11800.25</v>
      </c>
      <c r="U245" s="4">
        <f t="shared" si="37"/>
        <v>1770.0374999999999</v>
      </c>
      <c r="V245" s="4">
        <f t="shared" ca="1" si="38"/>
        <v>27</v>
      </c>
      <c r="W245" s="20">
        <f t="shared" ca="1" si="44"/>
        <v>7366.6223313255177</v>
      </c>
      <c r="X245" s="4">
        <f t="shared" si="39"/>
        <v>-7183</v>
      </c>
      <c r="Y245" s="13">
        <f t="shared" si="40"/>
        <v>-1</v>
      </c>
    </row>
    <row r="246" spans="1:25" x14ac:dyDescent="0.3">
      <c r="A246" s="12" t="s">
        <v>534</v>
      </c>
      <c r="B246" s="7">
        <v>44714</v>
      </c>
      <c r="C246" s="4" t="s">
        <v>535</v>
      </c>
      <c r="D246" s="4" t="s">
        <v>18</v>
      </c>
      <c r="E246" s="4">
        <v>27572</v>
      </c>
      <c r="F246" s="4">
        <v>20.8</v>
      </c>
      <c r="G246" s="4">
        <v>36</v>
      </c>
      <c r="H246" s="4" t="s">
        <v>26</v>
      </c>
      <c r="I246" s="4" t="s">
        <v>36</v>
      </c>
      <c r="J246" s="4" t="s">
        <v>21</v>
      </c>
      <c r="K246" s="4">
        <v>106234</v>
      </c>
      <c r="L246" s="4" t="s">
        <v>29</v>
      </c>
      <c r="M246" s="4">
        <v>0.16</v>
      </c>
      <c r="N246" s="4">
        <v>0.78</v>
      </c>
      <c r="O246" s="4">
        <v>3453.07</v>
      </c>
      <c r="P246" s="4">
        <v>0</v>
      </c>
      <c r="Q246" s="6">
        <f t="shared" si="41"/>
        <v>1035.9478059875412</v>
      </c>
      <c r="R246" s="6">
        <f t="shared" si="34"/>
        <v>9722.1210155514855</v>
      </c>
      <c r="S246" s="4">
        <f t="shared" si="35"/>
        <v>35348.717948717946</v>
      </c>
      <c r="T246" s="4">
        <f t="shared" si="36"/>
        <v>8852.8333333333339</v>
      </c>
      <c r="U246" s="4">
        <f t="shared" si="37"/>
        <v>1416.4533333333334</v>
      </c>
      <c r="V246" s="4">
        <f t="shared" ca="1" si="38"/>
        <v>45</v>
      </c>
      <c r="W246" s="20">
        <f t="shared" ca="1" si="44"/>
        <v>46617.651269439353</v>
      </c>
      <c r="X246" s="4">
        <f t="shared" si="39"/>
        <v>-24118.93</v>
      </c>
      <c r="Y246" s="13">
        <f t="shared" si="40"/>
        <v>-0.87476171478311326</v>
      </c>
    </row>
    <row r="247" spans="1:25" x14ac:dyDescent="0.3">
      <c r="A247" s="12" t="s">
        <v>536</v>
      </c>
      <c r="B247" s="7">
        <v>44295</v>
      </c>
      <c r="C247" s="4" t="s">
        <v>537</v>
      </c>
      <c r="D247" s="4" t="s">
        <v>50</v>
      </c>
      <c r="E247" s="4">
        <v>35080</v>
      </c>
      <c r="F247" s="4">
        <v>17.5</v>
      </c>
      <c r="G247" s="4">
        <v>36</v>
      </c>
      <c r="H247" s="4" t="s">
        <v>19</v>
      </c>
      <c r="I247" s="4" t="s">
        <v>57</v>
      </c>
      <c r="J247" s="4" t="s">
        <v>21</v>
      </c>
      <c r="K247" s="4">
        <v>91114</v>
      </c>
      <c r="L247" s="4" t="s">
        <v>33</v>
      </c>
      <c r="M247" s="4">
        <v>0.46</v>
      </c>
      <c r="N247" s="4">
        <v>0.53</v>
      </c>
      <c r="O247" s="4">
        <v>41219</v>
      </c>
      <c r="P247" s="4">
        <v>0</v>
      </c>
      <c r="Q247" s="6">
        <f t="shared" si="41"/>
        <v>1259.4444715106304</v>
      </c>
      <c r="R247" s="6">
        <f t="shared" si="34"/>
        <v>10260.000974382696</v>
      </c>
      <c r="S247" s="4">
        <f t="shared" si="35"/>
        <v>66188.679245283012</v>
      </c>
      <c r="T247" s="4">
        <f t="shared" si="36"/>
        <v>7592.833333333333</v>
      </c>
      <c r="U247" s="4">
        <f t="shared" si="37"/>
        <v>3492.7033333333334</v>
      </c>
      <c r="V247" s="4">
        <f t="shared" ca="1" si="38"/>
        <v>59</v>
      </c>
      <c r="W247" s="20">
        <f t="shared" ca="1" si="44"/>
        <v>74307.22381912719</v>
      </c>
      <c r="X247" s="4">
        <f t="shared" si="39"/>
        <v>6139</v>
      </c>
      <c r="Y247" s="13">
        <f t="shared" si="40"/>
        <v>0.17499999999999999</v>
      </c>
    </row>
    <row r="248" spans="1:25" x14ac:dyDescent="0.3">
      <c r="A248" s="12" t="s">
        <v>538</v>
      </c>
      <c r="B248" s="7">
        <v>45257</v>
      </c>
      <c r="C248" s="4" t="s">
        <v>539</v>
      </c>
      <c r="D248" s="4" t="s">
        <v>25</v>
      </c>
      <c r="E248" s="4">
        <v>21695</v>
      </c>
      <c r="F248" s="4">
        <v>14.9</v>
      </c>
      <c r="G248" s="4">
        <v>60</v>
      </c>
      <c r="H248" s="4" t="s">
        <v>19</v>
      </c>
      <c r="I248" s="4" t="s">
        <v>57</v>
      </c>
      <c r="J248" s="4" t="s">
        <v>28</v>
      </c>
      <c r="K248" s="4">
        <v>147652</v>
      </c>
      <c r="L248" s="4" t="s">
        <v>33</v>
      </c>
      <c r="M248" s="4">
        <v>0.48</v>
      </c>
      <c r="N248" s="4">
        <v>0.65</v>
      </c>
      <c r="O248" s="4">
        <v>24927.56</v>
      </c>
      <c r="P248" s="4">
        <v>0</v>
      </c>
      <c r="Q248" s="6">
        <f t="shared" si="41"/>
        <v>514.98443566146341</v>
      </c>
      <c r="R248" s="6">
        <f t="shared" si="34"/>
        <v>9204.0661396878058</v>
      </c>
      <c r="S248" s="4">
        <f t="shared" si="35"/>
        <v>33376.923076923078</v>
      </c>
      <c r="T248" s="4">
        <f t="shared" si="36"/>
        <v>12304.333333333334</v>
      </c>
      <c r="U248" s="4">
        <f t="shared" si="37"/>
        <v>5906.08</v>
      </c>
      <c r="V248" s="4">
        <f t="shared" ca="1" si="38"/>
        <v>27</v>
      </c>
      <c r="W248" s="20">
        <f t="shared" ca="1" si="44"/>
        <v>13904.579762859512</v>
      </c>
      <c r="X248" s="4">
        <f t="shared" si="39"/>
        <v>3232.5600000000013</v>
      </c>
      <c r="Y248" s="13">
        <f t="shared" si="40"/>
        <v>0.1490002304678498</v>
      </c>
    </row>
    <row r="249" spans="1:25" x14ac:dyDescent="0.3">
      <c r="A249" s="12" t="s">
        <v>540</v>
      </c>
      <c r="B249" s="7">
        <v>44476</v>
      </c>
      <c r="C249" s="4" t="s">
        <v>541</v>
      </c>
      <c r="D249" s="4" t="s">
        <v>40</v>
      </c>
      <c r="E249" s="4">
        <v>8314</v>
      </c>
      <c r="F249" s="4">
        <v>24.6</v>
      </c>
      <c r="G249" s="4">
        <v>60</v>
      </c>
      <c r="H249" s="4" t="s">
        <v>81</v>
      </c>
      <c r="I249" s="4" t="s">
        <v>20</v>
      </c>
      <c r="J249" s="4" t="s">
        <v>21</v>
      </c>
      <c r="K249" s="4">
        <v>100130</v>
      </c>
      <c r="L249" s="4" t="s">
        <v>33</v>
      </c>
      <c r="M249" s="4">
        <v>0.41</v>
      </c>
      <c r="N249" s="4">
        <v>0.8</v>
      </c>
      <c r="O249" s="4">
        <v>902.38</v>
      </c>
      <c r="P249" s="4">
        <v>4096.3</v>
      </c>
      <c r="Q249" s="6">
        <f t="shared" si="41"/>
        <v>242.08107880989783</v>
      </c>
      <c r="R249" s="6">
        <f t="shared" si="34"/>
        <v>6210.8647285938696</v>
      </c>
      <c r="S249" s="4">
        <f t="shared" si="35"/>
        <v>10392.5</v>
      </c>
      <c r="T249" s="4">
        <f t="shared" si="36"/>
        <v>8344.1666666666661</v>
      </c>
      <c r="U249" s="4">
        <f t="shared" si="37"/>
        <v>3421.1083333333327</v>
      </c>
      <c r="V249" s="4">
        <f t="shared" ca="1" si="38"/>
        <v>53</v>
      </c>
      <c r="W249" s="20">
        <v>0</v>
      </c>
      <c r="X249" s="4">
        <f t="shared" si="39"/>
        <v>-3315.3199999999997</v>
      </c>
      <c r="Y249" s="13">
        <f t="shared" si="40"/>
        <v>-0.39876353139283133</v>
      </c>
    </row>
    <row r="250" spans="1:25" x14ac:dyDescent="0.3">
      <c r="A250" s="12" t="s">
        <v>542</v>
      </c>
      <c r="B250" s="7">
        <v>44693</v>
      </c>
      <c r="C250" s="4" t="s">
        <v>543</v>
      </c>
      <c r="D250" s="4" t="s">
        <v>56</v>
      </c>
      <c r="E250" s="4">
        <v>20623</v>
      </c>
      <c r="F250" s="4">
        <v>7.9</v>
      </c>
      <c r="G250" s="4">
        <v>60</v>
      </c>
      <c r="H250" s="4" t="s">
        <v>26</v>
      </c>
      <c r="I250" s="4" t="s">
        <v>73</v>
      </c>
      <c r="J250" s="4" t="s">
        <v>37</v>
      </c>
      <c r="K250" s="4">
        <v>55525</v>
      </c>
      <c r="L250" s="4" t="s">
        <v>22</v>
      </c>
      <c r="M250" s="4">
        <v>0.1</v>
      </c>
      <c r="N250" s="4">
        <v>0.65</v>
      </c>
      <c r="O250" s="4">
        <v>6871.78</v>
      </c>
      <c r="P250" s="4">
        <v>0</v>
      </c>
      <c r="Q250" s="6">
        <f t="shared" si="41"/>
        <v>417.17379296547836</v>
      </c>
      <c r="R250" s="6">
        <f t="shared" si="34"/>
        <v>4407.4275779287018</v>
      </c>
      <c r="S250" s="4">
        <f t="shared" si="35"/>
        <v>31727.692307692305</v>
      </c>
      <c r="T250" s="4">
        <f t="shared" si="36"/>
        <v>4627.083333333333</v>
      </c>
      <c r="U250" s="4">
        <f t="shared" si="37"/>
        <v>462.70833333333331</v>
      </c>
      <c r="V250" s="4">
        <f t="shared" ca="1" si="38"/>
        <v>46</v>
      </c>
      <c r="W250" s="20">
        <f t="shared" ref="W250:W270" ca="1" si="45">V250*Q250</f>
        <v>19189.994476412005</v>
      </c>
      <c r="X250" s="4">
        <f t="shared" si="39"/>
        <v>-13751.220000000001</v>
      </c>
      <c r="Y250" s="13">
        <f t="shared" si="40"/>
        <v>-0.66679047665228153</v>
      </c>
    </row>
    <row r="251" spans="1:25" x14ac:dyDescent="0.3">
      <c r="A251" s="12" t="s">
        <v>544</v>
      </c>
      <c r="B251" s="7">
        <v>44498</v>
      </c>
      <c r="C251" s="4" t="s">
        <v>545</v>
      </c>
      <c r="D251" s="4" t="s">
        <v>72</v>
      </c>
      <c r="E251" s="4">
        <v>3139</v>
      </c>
      <c r="F251" s="4">
        <v>19.5</v>
      </c>
      <c r="G251" s="4">
        <v>36</v>
      </c>
      <c r="H251" s="4" t="s">
        <v>19</v>
      </c>
      <c r="I251" s="4" t="s">
        <v>57</v>
      </c>
      <c r="J251" s="4" t="s">
        <v>47</v>
      </c>
      <c r="K251" s="4">
        <v>109818</v>
      </c>
      <c r="L251" s="4" t="s">
        <v>33</v>
      </c>
      <c r="M251" s="4">
        <v>0.1</v>
      </c>
      <c r="N251" s="4">
        <v>0.57999999999999996</v>
      </c>
      <c r="O251" s="4">
        <v>3751.1</v>
      </c>
      <c r="P251" s="4">
        <v>0</v>
      </c>
      <c r="Q251" s="6">
        <f t="shared" si="41"/>
        <v>115.85832553453454</v>
      </c>
      <c r="R251" s="6">
        <f t="shared" si="34"/>
        <v>1031.8997192432435</v>
      </c>
      <c r="S251" s="4">
        <f t="shared" si="35"/>
        <v>5412.0689655172418</v>
      </c>
      <c r="T251" s="4">
        <f t="shared" si="36"/>
        <v>9151.5</v>
      </c>
      <c r="U251" s="4">
        <f t="shared" si="37"/>
        <v>915.15000000000009</v>
      </c>
      <c r="V251" s="4">
        <f t="shared" ca="1" si="38"/>
        <v>52</v>
      </c>
      <c r="W251" s="20">
        <f t="shared" ca="1" si="45"/>
        <v>6024.6329277957966</v>
      </c>
      <c r="X251" s="4">
        <f t="shared" si="39"/>
        <v>612.09999999999991</v>
      </c>
      <c r="Y251" s="13">
        <f t="shared" si="40"/>
        <v>0.19499840713603056</v>
      </c>
    </row>
    <row r="252" spans="1:25" x14ac:dyDescent="0.3">
      <c r="A252" s="12" t="s">
        <v>546</v>
      </c>
      <c r="B252" s="7">
        <v>44377</v>
      </c>
      <c r="C252" s="4" t="s">
        <v>547</v>
      </c>
      <c r="D252" s="4" t="s">
        <v>56</v>
      </c>
      <c r="E252" s="4">
        <v>32290</v>
      </c>
      <c r="F252" s="4">
        <v>8.8000000000000007</v>
      </c>
      <c r="G252" s="4">
        <v>36</v>
      </c>
      <c r="H252" s="4" t="s">
        <v>19</v>
      </c>
      <c r="I252" s="4" t="s">
        <v>57</v>
      </c>
      <c r="J252" s="4" t="s">
        <v>28</v>
      </c>
      <c r="K252" s="4">
        <v>144589</v>
      </c>
      <c r="L252" s="4" t="s">
        <v>33</v>
      </c>
      <c r="M252" s="4">
        <v>0.25</v>
      </c>
      <c r="N252" s="4">
        <v>0.63</v>
      </c>
      <c r="O252" s="4">
        <v>35131.519999999997</v>
      </c>
      <c r="P252" s="4">
        <v>0</v>
      </c>
      <c r="Q252" s="6">
        <f t="shared" si="41"/>
        <v>1023.810371857243</v>
      </c>
      <c r="R252" s="6">
        <f t="shared" si="34"/>
        <v>4567.173386860748</v>
      </c>
      <c r="S252" s="4">
        <f t="shared" si="35"/>
        <v>51253.968253968254</v>
      </c>
      <c r="T252" s="4">
        <f t="shared" si="36"/>
        <v>12049.083333333334</v>
      </c>
      <c r="U252" s="4">
        <f t="shared" si="37"/>
        <v>3012.2708333333335</v>
      </c>
      <c r="V252" s="4">
        <f t="shared" ca="1" si="38"/>
        <v>56</v>
      </c>
      <c r="W252" s="20">
        <f t="shared" ca="1" si="45"/>
        <v>57333.38082400561</v>
      </c>
      <c r="X252" s="4">
        <f t="shared" si="39"/>
        <v>2841.5199999999968</v>
      </c>
      <c r="Y252" s="13">
        <f t="shared" si="40"/>
        <v>8.7999999999999898E-2</v>
      </c>
    </row>
    <row r="253" spans="1:25" x14ac:dyDescent="0.3">
      <c r="A253" s="12" t="s">
        <v>548</v>
      </c>
      <c r="B253" s="7">
        <v>44803</v>
      </c>
      <c r="C253" s="4" t="s">
        <v>549</v>
      </c>
      <c r="D253" s="4" t="s">
        <v>53</v>
      </c>
      <c r="E253" s="4">
        <v>19088</v>
      </c>
      <c r="F253" s="4">
        <v>11.8</v>
      </c>
      <c r="G253" s="4">
        <v>60</v>
      </c>
      <c r="H253" s="4" t="s">
        <v>26</v>
      </c>
      <c r="I253" s="4" t="s">
        <v>20</v>
      </c>
      <c r="J253" s="4" t="s">
        <v>21</v>
      </c>
      <c r="K253" s="4">
        <v>44334</v>
      </c>
      <c r="L253" s="4" t="s">
        <v>29</v>
      </c>
      <c r="M253" s="4">
        <v>0.16</v>
      </c>
      <c r="N253" s="4">
        <v>0.71</v>
      </c>
      <c r="O253" s="4">
        <v>9337.7000000000007</v>
      </c>
      <c r="P253" s="4">
        <v>0</v>
      </c>
      <c r="Q253" s="6">
        <f t="shared" si="41"/>
        <v>422.67538007147999</v>
      </c>
      <c r="R253" s="6">
        <f t="shared" si="34"/>
        <v>6272.5228042888011</v>
      </c>
      <c r="S253" s="4">
        <f t="shared" si="35"/>
        <v>26884.507042253521</v>
      </c>
      <c r="T253" s="4">
        <f t="shared" si="36"/>
        <v>3694.5</v>
      </c>
      <c r="U253" s="4">
        <f t="shared" si="37"/>
        <v>591.12</v>
      </c>
      <c r="V253" s="4">
        <f t="shared" ca="1" si="38"/>
        <v>42</v>
      </c>
      <c r="W253" s="20">
        <f t="shared" ca="1" si="45"/>
        <v>17752.365963002161</v>
      </c>
      <c r="X253" s="4">
        <f t="shared" si="39"/>
        <v>-9750.2999999999993</v>
      </c>
      <c r="Y253" s="13">
        <f t="shared" si="40"/>
        <v>-0.51080783738474433</v>
      </c>
    </row>
    <row r="254" spans="1:25" x14ac:dyDescent="0.3">
      <c r="A254" s="12" t="s">
        <v>550</v>
      </c>
      <c r="B254" s="7">
        <v>44896</v>
      </c>
      <c r="C254" s="4" t="s">
        <v>551</v>
      </c>
      <c r="D254" s="4" t="s">
        <v>53</v>
      </c>
      <c r="E254" s="4">
        <v>34130</v>
      </c>
      <c r="F254" s="4">
        <v>11.2</v>
      </c>
      <c r="G254" s="4">
        <v>60</v>
      </c>
      <c r="H254" s="4" t="s">
        <v>19</v>
      </c>
      <c r="I254" s="4" t="s">
        <v>57</v>
      </c>
      <c r="J254" s="4" t="s">
        <v>37</v>
      </c>
      <c r="K254" s="4">
        <v>124715</v>
      </c>
      <c r="L254" s="4" t="s">
        <v>22</v>
      </c>
      <c r="M254" s="4">
        <v>0.11</v>
      </c>
      <c r="N254" s="4">
        <v>0.71</v>
      </c>
      <c r="O254" s="4">
        <v>37952.559999999998</v>
      </c>
      <c r="P254" s="4">
        <v>0</v>
      </c>
      <c r="Q254" s="6">
        <f t="shared" si="41"/>
        <v>745.4776208491445</v>
      </c>
      <c r="R254" s="6">
        <f t="shared" si="34"/>
        <v>10598.657250948672</v>
      </c>
      <c r="S254" s="4">
        <f t="shared" si="35"/>
        <v>48070.42253521127</v>
      </c>
      <c r="T254" s="4">
        <f t="shared" si="36"/>
        <v>10392.916666666666</v>
      </c>
      <c r="U254" s="4">
        <f t="shared" si="37"/>
        <v>1143.2208333333333</v>
      </c>
      <c r="V254" s="4">
        <f t="shared" ca="1" si="38"/>
        <v>39</v>
      </c>
      <c r="W254" s="20">
        <f t="shared" ca="1" si="45"/>
        <v>29073.627213116637</v>
      </c>
      <c r="X254" s="4">
        <f t="shared" si="39"/>
        <v>3822.5599999999977</v>
      </c>
      <c r="Y254" s="13">
        <f t="shared" si="40"/>
        <v>0.11199999999999993</v>
      </c>
    </row>
    <row r="255" spans="1:25" x14ac:dyDescent="0.3">
      <c r="A255" s="12" t="s">
        <v>552</v>
      </c>
      <c r="B255" s="7">
        <v>45189</v>
      </c>
      <c r="C255" s="4" t="s">
        <v>553</v>
      </c>
      <c r="D255" s="4" t="s">
        <v>25</v>
      </c>
      <c r="E255" s="4">
        <v>33088</v>
      </c>
      <c r="F255" s="4">
        <v>23.9</v>
      </c>
      <c r="G255" s="4">
        <v>36</v>
      </c>
      <c r="H255" s="4" t="s">
        <v>19</v>
      </c>
      <c r="I255" s="4" t="s">
        <v>41</v>
      </c>
      <c r="J255" s="4" t="s">
        <v>32</v>
      </c>
      <c r="K255" s="4">
        <v>92767</v>
      </c>
      <c r="L255" s="4" t="s">
        <v>22</v>
      </c>
      <c r="M255" s="4">
        <v>0.28999999999999998</v>
      </c>
      <c r="N255" s="4">
        <v>0.85</v>
      </c>
      <c r="O255" s="4">
        <v>40996.03</v>
      </c>
      <c r="P255" s="4">
        <v>0</v>
      </c>
      <c r="Q255" s="6">
        <f t="shared" si="41"/>
        <v>1296.3999585166348</v>
      </c>
      <c r="R255" s="6">
        <f t="shared" si="34"/>
        <v>13582.398506598853</v>
      </c>
      <c r="S255" s="4">
        <f t="shared" si="35"/>
        <v>38927.058823529413</v>
      </c>
      <c r="T255" s="4">
        <f t="shared" si="36"/>
        <v>7730.583333333333</v>
      </c>
      <c r="U255" s="4">
        <f t="shared" si="37"/>
        <v>2241.8691666666664</v>
      </c>
      <c r="V255" s="4">
        <f t="shared" ca="1" si="38"/>
        <v>29</v>
      </c>
      <c r="W255" s="20">
        <f t="shared" ca="1" si="45"/>
        <v>37595.598796982405</v>
      </c>
      <c r="X255" s="4">
        <f t="shared" si="39"/>
        <v>7908.0299999999988</v>
      </c>
      <c r="Y255" s="13">
        <f t="shared" si="40"/>
        <v>0.23899993955512569</v>
      </c>
    </row>
    <row r="256" spans="1:25" x14ac:dyDescent="0.3">
      <c r="A256" s="12" t="s">
        <v>554</v>
      </c>
      <c r="B256" s="7">
        <v>44387</v>
      </c>
      <c r="C256" s="4" t="s">
        <v>555</v>
      </c>
      <c r="D256" s="4" t="s">
        <v>65</v>
      </c>
      <c r="E256" s="4">
        <v>27292</v>
      </c>
      <c r="F256" s="4">
        <v>24.3</v>
      </c>
      <c r="G256" s="4">
        <v>36</v>
      </c>
      <c r="H256" s="4" t="s">
        <v>19</v>
      </c>
      <c r="I256" s="4" t="s">
        <v>57</v>
      </c>
      <c r="J256" s="4" t="s">
        <v>21</v>
      </c>
      <c r="K256" s="4">
        <v>36644</v>
      </c>
      <c r="L256" s="4" t="s">
        <v>29</v>
      </c>
      <c r="M256" s="4">
        <v>0.48</v>
      </c>
      <c r="N256" s="4">
        <v>0.84</v>
      </c>
      <c r="O256" s="4">
        <v>33923.96</v>
      </c>
      <c r="P256" s="4">
        <v>0</v>
      </c>
      <c r="Q256" s="6">
        <f t="shared" si="41"/>
        <v>1075.0466748109111</v>
      </c>
      <c r="R256" s="6">
        <f t="shared" si="34"/>
        <v>11409.680293192796</v>
      </c>
      <c r="S256" s="4">
        <f t="shared" si="35"/>
        <v>32490.476190476191</v>
      </c>
      <c r="T256" s="4">
        <f t="shared" si="36"/>
        <v>3053.6666666666665</v>
      </c>
      <c r="U256" s="4">
        <f t="shared" si="37"/>
        <v>1465.7599999999998</v>
      </c>
      <c r="V256" s="4">
        <f t="shared" ca="1" si="38"/>
        <v>56</v>
      </c>
      <c r="W256" s="20">
        <f t="shared" ca="1" si="45"/>
        <v>60202.613789411022</v>
      </c>
      <c r="X256" s="4">
        <f t="shared" si="39"/>
        <v>6631.9599999999991</v>
      </c>
      <c r="Y256" s="13">
        <f t="shared" si="40"/>
        <v>0.24300014656309538</v>
      </c>
    </row>
    <row r="257" spans="1:25" x14ac:dyDescent="0.3">
      <c r="A257" s="12" t="s">
        <v>556</v>
      </c>
      <c r="B257" s="7">
        <v>44449</v>
      </c>
      <c r="C257" s="4" t="s">
        <v>557</v>
      </c>
      <c r="D257" s="4" t="s">
        <v>53</v>
      </c>
      <c r="E257" s="4">
        <v>21670</v>
      </c>
      <c r="F257" s="4">
        <v>8.6999999999999993</v>
      </c>
      <c r="G257" s="4">
        <v>60</v>
      </c>
      <c r="H257" s="4" t="s">
        <v>19</v>
      </c>
      <c r="I257" s="4" t="s">
        <v>73</v>
      </c>
      <c r="J257" s="4" t="s">
        <v>47</v>
      </c>
      <c r="K257" s="4">
        <v>131154</v>
      </c>
      <c r="L257" s="4" t="s">
        <v>22</v>
      </c>
      <c r="M257" s="4">
        <v>0.23</v>
      </c>
      <c r="N257" s="4">
        <v>0.71</v>
      </c>
      <c r="O257" s="4">
        <v>23555.29</v>
      </c>
      <c r="P257" s="4">
        <v>0</v>
      </c>
      <c r="Q257" s="6">
        <f t="shared" si="41"/>
        <v>446.6849824866166</v>
      </c>
      <c r="R257" s="6">
        <f t="shared" si="34"/>
        <v>5131.0989491969958</v>
      </c>
      <c r="S257" s="4">
        <f t="shared" si="35"/>
        <v>30521.12676056338</v>
      </c>
      <c r="T257" s="4">
        <f t="shared" si="36"/>
        <v>10929.5</v>
      </c>
      <c r="U257" s="4">
        <f t="shared" si="37"/>
        <v>2513.7850000000003</v>
      </c>
      <c r="V257" s="4">
        <f t="shared" ca="1" si="38"/>
        <v>54</v>
      </c>
      <c r="W257" s="20">
        <f t="shared" ca="1" si="45"/>
        <v>24120.989054277296</v>
      </c>
      <c r="X257" s="4">
        <f t="shared" si="39"/>
        <v>1885.2900000000009</v>
      </c>
      <c r="Y257" s="13">
        <f t="shared" si="40"/>
        <v>8.7000000000000036E-2</v>
      </c>
    </row>
    <row r="258" spans="1:25" x14ac:dyDescent="0.3">
      <c r="A258" s="12" t="s">
        <v>558</v>
      </c>
      <c r="B258" s="7">
        <v>45177</v>
      </c>
      <c r="C258" s="4" t="s">
        <v>559</v>
      </c>
      <c r="D258" s="4" t="s">
        <v>53</v>
      </c>
      <c r="E258" s="4">
        <v>4738</v>
      </c>
      <c r="F258" s="4">
        <v>5.4</v>
      </c>
      <c r="G258" s="4">
        <v>36</v>
      </c>
      <c r="H258" s="4" t="s">
        <v>19</v>
      </c>
      <c r="I258" s="4" t="s">
        <v>27</v>
      </c>
      <c r="J258" s="4" t="s">
        <v>47</v>
      </c>
      <c r="K258" s="4">
        <v>143237</v>
      </c>
      <c r="L258" s="4" t="s">
        <v>33</v>
      </c>
      <c r="M258" s="4">
        <v>0.36</v>
      </c>
      <c r="N258" s="4">
        <v>0.88</v>
      </c>
      <c r="O258" s="4">
        <v>4993.8500000000004</v>
      </c>
      <c r="P258" s="4">
        <v>0</v>
      </c>
      <c r="Q258" s="6">
        <f t="shared" si="41"/>
        <v>142.85457735136012</v>
      </c>
      <c r="R258" s="6">
        <f t="shared" ref="R258:R321" si="46">(Q258*G258)-E258</f>
        <v>404.76478464896445</v>
      </c>
      <c r="S258" s="4">
        <f t="shared" ref="S258:S321" si="47">E258 / N258</f>
        <v>5384.090909090909</v>
      </c>
      <c r="T258" s="4">
        <f t="shared" ref="T258:T321" si="48">K258/12</f>
        <v>11936.416666666666</v>
      </c>
      <c r="U258" s="4">
        <f t="shared" ref="U258:U321" si="49">M258*T258</f>
        <v>4297.1099999999997</v>
      </c>
      <c r="V258" s="4">
        <f t="shared" ref="V258:V321" ca="1" si="50">DATEDIF(B258, TODAY(), "m")</f>
        <v>30</v>
      </c>
      <c r="W258" s="20">
        <f t="shared" ca="1" si="45"/>
        <v>4285.6373205408036</v>
      </c>
      <c r="X258" s="4">
        <f t="shared" ref="X258:X321" si="51">(O258 + P258) - E258</f>
        <v>255.85000000000036</v>
      </c>
      <c r="Y258" s="13">
        <f t="shared" ref="Y258:Y321" si="52">(X258/E258)</f>
        <v>5.3999577880962511E-2</v>
      </c>
    </row>
    <row r="259" spans="1:25" x14ac:dyDescent="0.3">
      <c r="A259" s="12" t="s">
        <v>560</v>
      </c>
      <c r="B259" s="7">
        <v>45124</v>
      </c>
      <c r="C259" s="4" t="s">
        <v>561</v>
      </c>
      <c r="D259" s="4" t="s">
        <v>76</v>
      </c>
      <c r="E259" s="4">
        <v>3469</v>
      </c>
      <c r="F259" s="4">
        <v>19.399999999999999</v>
      </c>
      <c r="G259" s="4">
        <v>36</v>
      </c>
      <c r="H259" s="4" t="s">
        <v>26</v>
      </c>
      <c r="I259" s="4" t="s">
        <v>27</v>
      </c>
      <c r="J259" s="4" t="s">
        <v>21</v>
      </c>
      <c r="K259" s="4">
        <v>62933</v>
      </c>
      <c r="L259" s="4" t="s">
        <v>33</v>
      </c>
      <c r="M259" s="4">
        <v>0.36</v>
      </c>
      <c r="N259" s="4">
        <v>0.55000000000000004</v>
      </c>
      <c r="O259" s="4">
        <v>690.49</v>
      </c>
      <c r="P259" s="4">
        <v>0</v>
      </c>
      <c r="Q259" s="6">
        <f t="shared" ref="Q259:Q322" si="53">PMT(F259/100/12, G259, -E259)</f>
        <v>127.86239217588184</v>
      </c>
      <c r="R259" s="6">
        <f t="shared" si="46"/>
        <v>1134.0461183317457</v>
      </c>
      <c r="S259" s="4">
        <f t="shared" si="47"/>
        <v>6307.272727272727</v>
      </c>
      <c r="T259" s="4">
        <f t="shared" si="48"/>
        <v>5244.416666666667</v>
      </c>
      <c r="U259" s="4">
        <f t="shared" si="49"/>
        <v>1887.99</v>
      </c>
      <c r="V259" s="4">
        <f t="shared" ca="1" si="50"/>
        <v>32</v>
      </c>
      <c r="W259" s="20">
        <f t="shared" ca="1" si="45"/>
        <v>4091.5965496282188</v>
      </c>
      <c r="X259" s="4">
        <f t="shared" si="51"/>
        <v>-2778.51</v>
      </c>
      <c r="Y259" s="13">
        <f t="shared" si="52"/>
        <v>-0.80095416546555209</v>
      </c>
    </row>
    <row r="260" spans="1:25" x14ac:dyDescent="0.3">
      <c r="A260" s="12" t="s">
        <v>562</v>
      </c>
      <c r="B260" s="7">
        <v>44324</v>
      </c>
      <c r="C260" s="4" t="s">
        <v>563</v>
      </c>
      <c r="D260" s="4" t="s">
        <v>72</v>
      </c>
      <c r="E260" s="4">
        <v>23534</v>
      </c>
      <c r="F260" s="4">
        <v>13.4</v>
      </c>
      <c r="G260" s="4">
        <v>60</v>
      </c>
      <c r="H260" s="4" t="s">
        <v>19</v>
      </c>
      <c r="I260" s="4" t="s">
        <v>57</v>
      </c>
      <c r="J260" s="4" t="s">
        <v>21</v>
      </c>
      <c r="K260" s="4">
        <v>73469</v>
      </c>
      <c r="L260" s="4" t="s">
        <v>29</v>
      </c>
      <c r="M260" s="4">
        <v>0.2</v>
      </c>
      <c r="N260" s="4">
        <v>0.61</v>
      </c>
      <c r="O260" s="4">
        <v>26687.56</v>
      </c>
      <c r="P260" s="4">
        <v>0</v>
      </c>
      <c r="Q260" s="6">
        <f t="shared" si="53"/>
        <v>540.30206000163241</v>
      </c>
      <c r="R260" s="6">
        <f t="shared" si="46"/>
        <v>8884.1236000979443</v>
      </c>
      <c r="S260" s="4">
        <f t="shared" si="47"/>
        <v>38580.327868852459</v>
      </c>
      <c r="T260" s="4">
        <f t="shared" si="48"/>
        <v>6122.416666666667</v>
      </c>
      <c r="U260" s="4">
        <f t="shared" si="49"/>
        <v>1224.4833333333333</v>
      </c>
      <c r="V260" s="4">
        <f t="shared" ca="1" si="50"/>
        <v>58</v>
      </c>
      <c r="W260" s="20">
        <f t="shared" ca="1" si="45"/>
        <v>31337.519480094681</v>
      </c>
      <c r="X260" s="4">
        <f t="shared" si="51"/>
        <v>3153.5600000000013</v>
      </c>
      <c r="Y260" s="13">
        <f t="shared" si="52"/>
        <v>0.13400016996685651</v>
      </c>
    </row>
    <row r="261" spans="1:25" x14ac:dyDescent="0.3">
      <c r="A261" s="12" t="s">
        <v>564</v>
      </c>
      <c r="B261" s="7">
        <v>44214</v>
      </c>
      <c r="C261" s="4" t="s">
        <v>565</v>
      </c>
      <c r="D261" s="4" t="s">
        <v>76</v>
      </c>
      <c r="E261" s="4">
        <v>10017</v>
      </c>
      <c r="F261" s="4">
        <v>6.8</v>
      </c>
      <c r="G261" s="4">
        <v>36</v>
      </c>
      <c r="H261" s="4" t="s">
        <v>19</v>
      </c>
      <c r="I261" s="4" t="s">
        <v>73</v>
      </c>
      <c r="J261" s="4" t="s">
        <v>37</v>
      </c>
      <c r="K261" s="4">
        <v>63687</v>
      </c>
      <c r="L261" s="4" t="s">
        <v>22</v>
      </c>
      <c r="M261" s="4">
        <v>0.36</v>
      </c>
      <c r="N261" s="4">
        <v>0.87</v>
      </c>
      <c r="O261" s="4">
        <v>10698.16</v>
      </c>
      <c r="P261" s="4">
        <v>0</v>
      </c>
      <c r="Q261" s="6">
        <f t="shared" si="53"/>
        <v>308.38071672728285</v>
      </c>
      <c r="R261" s="6">
        <f t="shared" si="46"/>
        <v>1084.7058021821831</v>
      </c>
      <c r="S261" s="4">
        <f t="shared" si="47"/>
        <v>11513.793103448275</v>
      </c>
      <c r="T261" s="4">
        <f t="shared" si="48"/>
        <v>5307.25</v>
      </c>
      <c r="U261" s="4">
        <f t="shared" si="49"/>
        <v>1910.61</v>
      </c>
      <c r="V261" s="4">
        <f t="shared" ca="1" si="50"/>
        <v>62</v>
      </c>
      <c r="W261" s="20">
        <f t="shared" ca="1" si="45"/>
        <v>19119.604437091537</v>
      </c>
      <c r="X261" s="4">
        <f t="shared" si="51"/>
        <v>681.15999999999985</v>
      </c>
      <c r="Y261" s="13">
        <f t="shared" si="52"/>
        <v>6.8000399321154023E-2</v>
      </c>
    </row>
    <row r="262" spans="1:25" x14ac:dyDescent="0.3">
      <c r="A262" s="12" t="s">
        <v>566</v>
      </c>
      <c r="B262" s="7">
        <v>44762</v>
      </c>
      <c r="C262" s="4" t="s">
        <v>567</v>
      </c>
      <c r="D262" s="4" t="s">
        <v>72</v>
      </c>
      <c r="E262" s="4">
        <v>3808</v>
      </c>
      <c r="F262" s="4">
        <v>18.7</v>
      </c>
      <c r="G262" s="4">
        <v>60</v>
      </c>
      <c r="H262" s="4" t="s">
        <v>19</v>
      </c>
      <c r="I262" s="4" t="s">
        <v>84</v>
      </c>
      <c r="J262" s="4" t="s">
        <v>21</v>
      </c>
      <c r="K262" s="4">
        <v>136609</v>
      </c>
      <c r="L262" s="4" t="s">
        <v>22</v>
      </c>
      <c r="M262" s="4">
        <v>0.18</v>
      </c>
      <c r="N262" s="4">
        <v>0.67</v>
      </c>
      <c r="O262" s="4">
        <v>4520.1000000000004</v>
      </c>
      <c r="P262" s="4">
        <v>0</v>
      </c>
      <c r="Q262" s="6">
        <f t="shared" si="53"/>
        <v>98.154090956726051</v>
      </c>
      <c r="R262" s="6">
        <f t="shared" si="46"/>
        <v>2081.2454574035628</v>
      </c>
      <c r="S262" s="4">
        <f t="shared" si="47"/>
        <v>5683.5820895522384</v>
      </c>
      <c r="T262" s="4">
        <f t="shared" si="48"/>
        <v>11384.083333333334</v>
      </c>
      <c r="U262" s="4">
        <f t="shared" si="49"/>
        <v>2049.1350000000002</v>
      </c>
      <c r="V262" s="4">
        <f t="shared" ca="1" si="50"/>
        <v>43</v>
      </c>
      <c r="W262" s="20">
        <f t="shared" ca="1" si="45"/>
        <v>4220.6259111392201</v>
      </c>
      <c r="X262" s="4">
        <f t="shared" si="51"/>
        <v>712.10000000000036</v>
      </c>
      <c r="Y262" s="13">
        <f t="shared" si="52"/>
        <v>0.18700105042016815</v>
      </c>
    </row>
    <row r="263" spans="1:25" x14ac:dyDescent="0.3">
      <c r="A263" s="12" t="s">
        <v>568</v>
      </c>
      <c r="B263" s="7">
        <v>44766</v>
      </c>
      <c r="C263" s="4" t="s">
        <v>569</v>
      </c>
      <c r="D263" s="4" t="s">
        <v>46</v>
      </c>
      <c r="E263" s="4">
        <v>13713</v>
      </c>
      <c r="F263" s="4">
        <v>15.9</v>
      </c>
      <c r="G263" s="4">
        <v>36</v>
      </c>
      <c r="H263" s="4" t="s">
        <v>19</v>
      </c>
      <c r="I263" s="4" t="s">
        <v>20</v>
      </c>
      <c r="J263" s="4" t="s">
        <v>32</v>
      </c>
      <c r="K263" s="4">
        <v>82656</v>
      </c>
      <c r="L263" s="4" t="s">
        <v>22</v>
      </c>
      <c r="M263" s="4">
        <v>0.15</v>
      </c>
      <c r="N263" s="4">
        <v>0.94</v>
      </c>
      <c r="O263" s="4">
        <v>15893.37</v>
      </c>
      <c r="P263" s="4">
        <v>0</v>
      </c>
      <c r="Q263" s="6">
        <f t="shared" si="53"/>
        <v>481.43165381165738</v>
      </c>
      <c r="R263" s="6">
        <f t="shared" si="46"/>
        <v>3618.5395372196654</v>
      </c>
      <c r="S263" s="4">
        <f t="shared" si="47"/>
        <v>14588.297872340427</v>
      </c>
      <c r="T263" s="4">
        <f t="shared" si="48"/>
        <v>6888</v>
      </c>
      <c r="U263" s="4">
        <f t="shared" si="49"/>
        <v>1033.2</v>
      </c>
      <c r="V263" s="4">
        <f t="shared" ca="1" si="50"/>
        <v>43</v>
      </c>
      <c r="W263" s="20">
        <f t="shared" ca="1" si="45"/>
        <v>20701.561113901269</v>
      </c>
      <c r="X263" s="4">
        <f t="shared" si="51"/>
        <v>2180.3700000000008</v>
      </c>
      <c r="Y263" s="13">
        <f t="shared" si="52"/>
        <v>0.15900021877050979</v>
      </c>
    </row>
    <row r="264" spans="1:25" x14ac:dyDescent="0.3">
      <c r="A264" s="12" t="s">
        <v>570</v>
      </c>
      <c r="B264" s="7">
        <v>44882</v>
      </c>
      <c r="C264" s="4" t="s">
        <v>571</v>
      </c>
      <c r="D264" s="4" t="s">
        <v>18</v>
      </c>
      <c r="E264" s="4">
        <v>3719</v>
      </c>
      <c r="F264" s="4">
        <v>24.6</v>
      </c>
      <c r="G264" s="4">
        <v>60</v>
      </c>
      <c r="H264" s="4" t="s">
        <v>19</v>
      </c>
      <c r="I264" s="4" t="s">
        <v>57</v>
      </c>
      <c r="J264" s="4" t="s">
        <v>37</v>
      </c>
      <c r="K264" s="4">
        <v>47375</v>
      </c>
      <c r="L264" s="4" t="s">
        <v>29</v>
      </c>
      <c r="M264" s="4">
        <v>0.38</v>
      </c>
      <c r="N264" s="4">
        <v>0.71</v>
      </c>
      <c r="O264" s="4">
        <v>4633.87</v>
      </c>
      <c r="P264" s="4">
        <v>0</v>
      </c>
      <c r="Q264" s="6">
        <f t="shared" si="53"/>
        <v>108.28717008588045</v>
      </c>
      <c r="R264" s="6">
        <f t="shared" si="46"/>
        <v>2778.2302051528268</v>
      </c>
      <c r="S264" s="4">
        <f t="shared" si="47"/>
        <v>5238.0281690140846</v>
      </c>
      <c r="T264" s="4">
        <f t="shared" si="48"/>
        <v>3947.9166666666665</v>
      </c>
      <c r="U264" s="4">
        <f t="shared" si="49"/>
        <v>1500.2083333333333</v>
      </c>
      <c r="V264" s="4">
        <f t="shared" ca="1" si="50"/>
        <v>40</v>
      </c>
      <c r="W264" s="20">
        <f t="shared" ca="1" si="45"/>
        <v>4331.4868034352176</v>
      </c>
      <c r="X264" s="4">
        <f t="shared" si="51"/>
        <v>914.86999999999989</v>
      </c>
      <c r="Y264" s="13">
        <f t="shared" si="52"/>
        <v>0.24599892444205429</v>
      </c>
    </row>
    <row r="265" spans="1:25" x14ac:dyDescent="0.3">
      <c r="A265" s="12" t="s">
        <v>572</v>
      </c>
      <c r="B265" s="7">
        <v>44822</v>
      </c>
      <c r="C265" s="4" t="s">
        <v>573</v>
      </c>
      <c r="D265" s="4" t="s">
        <v>50</v>
      </c>
      <c r="E265" s="4">
        <v>23890</v>
      </c>
      <c r="F265" s="4">
        <v>9.5</v>
      </c>
      <c r="G265" s="4">
        <v>36</v>
      </c>
      <c r="H265" s="4" t="s">
        <v>19</v>
      </c>
      <c r="I265" s="4" t="s">
        <v>20</v>
      </c>
      <c r="J265" s="4" t="s">
        <v>28</v>
      </c>
      <c r="K265" s="4">
        <v>144019</v>
      </c>
      <c r="L265" s="4" t="s">
        <v>33</v>
      </c>
      <c r="M265" s="4">
        <v>0.15</v>
      </c>
      <c r="N265" s="4">
        <v>0.86</v>
      </c>
      <c r="O265" s="4">
        <v>26159.55</v>
      </c>
      <c r="P265" s="4">
        <v>0</v>
      </c>
      <c r="Q265" s="6">
        <f t="shared" si="53"/>
        <v>765.26716930727446</v>
      </c>
      <c r="R265" s="6">
        <f t="shared" si="46"/>
        <v>3659.61809506188</v>
      </c>
      <c r="S265" s="4">
        <f t="shared" si="47"/>
        <v>27779.069767441862</v>
      </c>
      <c r="T265" s="4">
        <f t="shared" si="48"/>
        <v>12001.583333333334</v>
      </c>
      <c r="U265" s="4">
        <f t="shared" si="49"/>
        <v>1800.2375</v>
      </c>
      <c r="V265" s="4">
        <f t="shared" ca="1" si="50"/>
        <v>42</v>
      </c>
      <c r="W265" s="20">
        <f t="shared" ca="1" si="45"/>
        <v>32141.221110905528</v>
      </c>
      <c r="X265" s="4">
        <f t="shared" si="51"/>
        <v>2269.5499999999993</v>
      </c>
      <c r="Y265" s="13">
        <f t="shared" si="52"/>
        <v>9.4999999999999973E-2</v>
      </c>
    </row>
    <row r="266" spans="1:25" x14ac:dyDescent="0.3">
      <c r="A266" s="12" t="s">
        <v>574</v>
      </c>
      <c r="B266" s="7">
        <v>45050</v>
      </c>
      <c r="C266" s="4" t="s">
        <v>575</v>
      </c>
      <c r="D266" s="4" t="s">
        <v>53</v>
      </c>
      <c r="E266" s="4">
        <v>12700</v>
      </c>
      <c r="F266" s="4">
        <v>13.1</v>
      </c>
      <c r="G266" s="4">
        <v>60</v>
      </c>
      <c r="H266" s="4" t="s">
        <v>26</v>
      </c>
      <c r="I266" s="4" t="s">
        <v>57</v>
      </c>
      <c r="J266" s="4" t="s">
        <v>32</v>
      </c>
      <c r="K266" s="4">
        <v>95206</v>
      </c>
      <c r="L266" s="4" t="s">
        <v>29</v>
      </c>
      <c r="M266" s="4">
        <v>0.5</v>
      </c>
      <c r="N266" s="4">
        <v>0.68</v>
      </c>
      <c r="O266" s="4">
        <v>1313.12</v>
      </c>
      <c r="P266" s="4">
        <v>0</v>
      </c>
      <c r="Q266" s="6">
        <f t="shared" si="53"/>
        <v>289.61456917498623</v>
      </c>
      <c r="R266" s="6">
        <f t="shared" si="46"/>
        <v>4676.874150499174</v>
      </c>
      <c r="S266" s="4">
        <f t="shared" si="47"/>
        <v>18676.470588235294</v>
      </c>
      <c r="T266" s="4">
        <f t="shared" si="48"/>
        <v>7933.833333333333</v>
      </c>
      <c r="U266" s="4">
        <f t="shared" si="49"/>
        <v>3966.9166666666665</v>
      </c>
      <c r="V266" s="4">
        <f t="shared" ca="1" si="50"/>
        <v>34</v>
      </c>
      <c r="W266" s="20">
        <f t="shared" ca="1" si="45"/>
        <v>9846.8953519495317</v>
      </c>
      <c r="X266" s="4">
        <f t="shared" si="51"/>
        <v>-11386.880000000001</v>
      </c>
      <c r="Y266" s="13">
        <f t="shared" si="52"/>
        <v>-0.89660472440944894</v>
      </c>
    </row>
    <row r="267" spans="1:25" x14ac:dyDescent="0.3">
      <c r="A267" s="12" t="s">
        <v>576</v>
      </c>
      <c r="B267" s="7">
        <v>45158</v>
      </c>
      <c r="C267" s="4" t="s">
        <v>577</v>
      </c>
      <c r="D267" s="4" t="s">
        <v>50</v>
      </c>
      <c r="E267" s="4">
        <v>37509</v>
      </c>
      <c r="F267" s="4">
        <v>15.9</v>
      </c>
      <c r="G267" s="4">
        <v>60</v>
      </c>
      <c r="H267" s="4" t="s">
        <v>19</v>
      </c>
      <c r="I267" s="4" t="s">
        <v>57</v>
      </c>
      <c r="J267" s="4" t="s">
        <v>37</v>
      </c>
      <c r="K267" s="4">
        <v>126462</v>
      </c>
      <c r="L267" s="4" t="s">
        <v>33</v>
      </c>
      <c r="M267" s="4">
        <v>0.17</v>
      </c>
      <c r="N267" s="4">
        <v>0.69</v>
      </c>
      <c r="O267" s="4">
        <v>43472.93</v>
      </c>
      <c r="P267" s="4">
        <v>0</v>
      </c>
      <c r="Q267" s="6">
        <f t="shared" si="53"/>
        <v>910.15422875821082</v>
      </c>
      <c r="R267" s="6">
        <f t="shared" si="46"/>
        <v>17100.25372549265</v>
      </c>
      <c r="S267" s="4">
        <f t="shared" si="47"/>
        <v>54360.869565217392</v>
      </c>
      <c r="T267" s="4">
        <f t="shared" si="48"/>
        <v>10538.5</v>
      </c>
      <c r="U267" s="4">
        <f t="shared" si="49"/>
        <v>1791.5450000000001</v>
      </c>
      <c r="V267" s="4">
        <f t="shared" ca="1" si="50"/>
        <v>30</v>
      </c>
      <c r="W267" s="20">
        <f t="shared" ca="1" si="45"/>
        <v>27304.626862746325</v>
      </c>
      <c r="X267" s="4">
        <f t="shared" si="51"/>
        <v>5963.93</v>
      </c>
      <c r="Y267" s="13">
        <f t="shared" si="52"/>
        <v>0.15899997333973181</v>
      </c>
    </row>
    <row r="268" spans="1:25" x14ac:dyDescent="0.3">
      <c r="A268" s="12" t="s">
        <v>578</v>
      </c>
      <c r="B268" s="7">
        <v>44351</v>
      </c>
      <c r="C268" s="4" t="s">
        <v>579</v>
      </c>
      <c r="D268" s="4" t="s">
        <v>53</v>
      </c>
      <c r="E268" s="4">
        <v>37766</v>
      </c>
      <c r="F268" s="4">
        <v>20.8</v>
      </c>
      <c r="G268" s="4">
        <v>60</v>
      </c>
      <c r="H268" s="4" t="s">
        <v>19</v>
      </c>
      <c r="I268" s="4" t="s">
        <v>27</v>
      </c>
      <c r="J268" s="4" t="s">
        <v>37</v>
      </c>
      <c r="K268" s="4">
        <v>66607</v>
      </c>
      <c r="L268" s="4" t="s">
        <v>29</v>
      </c>
      <c r="M268" s="4">
        <v>0.34</v>
      </c>
      <c r="N268" s="4">
        <v>0.67</v>
      </c>
      <c r="O268" s="4">
        <v>45621.33</v>
      </c>
      <c r="P268" s="4">
        <v>0</v>
      </c>
      <c r="Q268" s="6">
        <f t="shared" si="53"/>
        <v>1017.4529113913117</v>
      </c>
      <c r="R268" s="6">
        <f t="shared" si="46"/>
        <v>23281.174683478697</v>
      </c>
      <c r="S268" s="4">
        <f t="shared" si="47"/>
        <v>56367.164179104475</v>
      </c>
      <c r="T268" s="4">
        <f t="shared" si="48"/>
        <v>5550.583333333333</v>
      </c>
      <c r="U268" s="4">
        <f t="shared" si="49"/>
        <v>1887.1983333333333</v>
      </c>
      <c r="V268" s="4">
        <f t="shared" ca="1" si="50"/>
        <v>57</v>
      </c>
      <c r="W268" s="20">
        <f t="shared" ca="1" si="45"/>
        <v>57994.815949304764</v>
      </c>
      <c r="X268" s="4">
        <f t="shared" si="51"/>
        <v>7855.3300000000017</v>
      </c>
      <c r="Y268" s="13">
        <f t="shared" si="52"/>
        <v>0.20800005295768687</v>
      </c>
    </row>
    <row r="269" spans="1:25" x14ac:dyDescent="0.3">
      <c r="A269" s="12" t="s">
        <v>580</v>
      </c>
      <c r="B269" s="7">
        <v>44686</v>
      </c>
      <c r="C269" s="4" t="s">
        <v>581</v>
      </c>
      <c r="D269" s="4" t="s">
        <v>76</v>
      </c>
      <c r="E269" s="4">
        <v>27705</v>
      </c>
      <c r="F269" s="4">
        <v>16</v>
      </c>
      <c r="G269" s="4">
        <v>60</v>
      </c>
      <c r="H269" s="4" t="s">
        <v>19</v>
      </c>
      <c r="I269" s="4" t="s">
        <v>20</v>
      </c>
      <c r="J269" s="4" t="s">
        <v>47</v>
      </c>
      <c r="K269" s="4">
        <v>113178</v>
      </c>
      <c r="L269" s="4" t="s">
        <v>33</v>
      </c>
      <c r="M269" s="4">
        <v>0.26</v>
      </c>
      <c r="N269" s="4">
        <v>0.82</v>
      </c>
      <c r="O269" s="4">
        <v>32137.8</v>
      </c>
      <c r="P269" s="4">
        <v>0</v>
      </c>
      <c r="Q269" s="6">
        <f t="shared" si="53"/>
        <v>673.73177240872974</v>
      </c>
      <c r="R269" s="6">
        <f t="shared" si="46"/>
        <v>12718.906344523784</v>
      </c>
      <c r="S269" s="4">
        <f t="shared" si="47"/>
        <v>33786.585365853658</v>
      </c>
      <c r="T269" s="4">
        <f t="shared" si="48"/>
        <v>9431.5</v>
      </c>
      <c r="U269" s="4">
        <f t="shared" si="49"/>
        <v>2452.19</v>
      </c>
      <c r="V269" s="4">
        <f t="shared" ca="1" si="50"/>
        <v>46</v>
      </c>
      <c r="W269" s="20">
        <f t="shared" ca="1" si="45"/>
        <v>30991.661530801568</v>
      </c>
      <c r="X269" s="4">
        <f t="shared" si="51"/>
        <v>4432.7999999999993</v>
      </c>
      <c r="Y269" s="13">
        <f t="shared" si="52"/>
        <v>0.15999999999999998</v>
      </c>
    </row>
    <row r="270" spans="1:25" x14ac:dyDescent="0.3">
      <c r="A270" s="12" t="s">
        <v>582</v>
      </c>
      <c r="B270" s="7">
        <v>44981</v>
      </c>
      <c r="C270" s="4" t="s">
        <v>583</v>
      </c>
      <c r="D270" s="4" t="s">
        <v>18</v>
      </c>
      <c r="E270" s="4">
        <v>19787</v>
      </c>
      <c r="F270" s="4">
        <v>17.3</v>
      </c>
      <c r="G270" s="4">
        <v>36</v>
      </c>
      <c r="H270" s="4" t="s">
        <v>19</v>
      </c>
      <c r="I270" s="4" t="s">
        <v>73</v>
      </c>
      <c r="J270" s="4" t="s">
        <v>37</v>
      </c>
      <c r="K270" s="4">
        <v>53993</v>
      </c>
      <c r="L270" s="4" t="s">
        <v>22</v>
      </c>
      <c r="M270" s="4">
        <v>0.15</v>
      </c>
      <c r="N270" s="4">
        <v>0.75</v>
      </c>
      <c r="O270" s="4">
        <v>23210.15</v>
      </c>
      <c r="P270" s="4">
        <v>0</v>
      </c>
      <c r="Q270" s="6">
        <f t="shared" si="53"/>
        <v>708.41835843282468</v>
      </c>
      <c r="R270" s="6">
        <f t="shared" si="46"/>
        <v>5716.0609035816888</v>
      </c>
      <c r="S270" s="4">
        <f t="shared" si="47"/>
        <v>26382.666666666668</v>
      </c>
      <c r="T270" s="4">
        <f t="shared" si="48"/>
        <v>4499.416666666667</v>
      </c>
      <c r="U270" s="4">
        <f t="shared" si="49"/>
        <v>674.91250000000002</v>
      </c>
      <c r="V270" s="4">
        <f t="shared" ca="1" si="50"/>
        <v>36</v>
      </c>
      <c r="W270" s="20">
        <f t="shared" ca="1" si="45"/>
        <v>25503.060903581689</v>
      </c>
      <c r="X270" s="4">
        <f t="shared" si="51"/>
        <v>3423.1500000000015</v>
      </c>
      <c r="Y270" s="13">
        <f t="shared" si="52"/>
        <v>0.17299994946176789</v>
      </c>
    </row>
    <row r="271" spans="1:25" x14ac:dyDescent="0.3">
      <c r="A271" s="12" t="s">
        <v>584</v>
      </c>
      <c r="B271" s="7">
        <v>44442</v>
      </c>
      <c r="C271" s="4" t="s">
        <v>585</v>
      </c>
      <c r="D271" s="4" t="s">
        <v>76</v>
      </c>
      <c r="E271" s="4">
        <v>27588</v>
      </c>
      <c r="F271" s="4">
        <v>9.5</v>
      </c>
      <c r="G271" s="4">
        <v>36</v>
      </c>
      <c r="H271" s="4" t="s">
        <v>81</v>
      </c>
      <c r="I271" s="4" t="s">
        <v>73</v>
      </c>
      <c r="J271" s="4" t="s">
        <v>32</v>
      </c>
      <c r="K271" s="4">
        <v>74386</v>
      </c>
      <c r="L271" s="4" t="s">
        <v>22</v>
      </c>
      <c r="M271" s="4">
        <v>0.11</v>
      </c>
      <c r="N271" s="4">
        <v>0.92</v>
      </c>
      <c r="O271" s="4">
        <v>7479.55</v>
      </c>
      <c r="P271" s="4">
        <v>6127.76</v>
      </c>
      <c r="Q271" s="6">
        <f t="shared" si="53"/>
        <v>883.72501744868521</v>
      </c>
      <c r="R271" s="6">
        <f t="shared" si="46"/>
        <v>4226.1006281526679</v>
      </c>
      <c r="S271" s="4">
        <f t="shared" si="47"/>
        <v>29986.956521739128</v>
      </c>
      <c r="T271" s="4">
        <f t="shared" si="48"/>
        <v>6198.833333333333</v>
      </c>
      <c r="U271" s="4">
        <f t="shared" si="49"/>
        <v>681.87166666666667</v>
      </c>
      <c r="V271" s="4">
        <f t="shared" ca="1" si="50"/>
        <v>54</v>
      </c>
      <c r="W271" s="20">
        <v>0</v>
      </c>
      <c r="X271" s="4">
        <f t="shared" si="51"/>
        <v>-13980.689999999999</v>
      </c>
      <c r="Y271" s="13">
        <f t="shared" si="52"/>
        <v>-0.50676707264027832</v>
      </c>
    </row>
    <row r="272" spans="1:25" x14ac:dyDescent="0.3">
      <c r="A272" s="12" t="s">
        <v>586</v>
      </c>
      <c r="B272" s="7">
        <v>45259</v>
      </c>
      <c r="C272" s="4" t="s">
        <v>587</v>
      </c>
      <c r="D272" s="4" t="s">
        <v>76</v>
      </c>
      <c r="E272" s="4">
        <v>27123</v>
      </c>
      <c r="F272" s="4">
        <v>21.9</v>
      </c>
      <c r="G272" s="4">
        <v>60</v>
      </c>
      <c r="H272" s="4" t="s">
        <v>19</v>
      </c>
      <c r="I272" s="4" t="s">
        <v>73</v>
      </c>
      <c r="J272" s="4" t="s">
        <v>21</v>
      </c>
      <c r="K272" s="4">
        <v>76287</v>
      </c>
      <c r="L272" s="4" t="s">
        <v>22</v>
      </c>
      <c r="M272" s="4">
        <v>0.35</v>
      </c>
      <c r="N272" s="4">
        <v>0.61</v>
      </c>
      <c r="O272" s="4">
        <v>33062.94</v>
      </c>
      <c r="P272" s="4">
        <v>0</v>
      </c>
      <c r="Q272" s="6">
        <f t="shared" si="53"/>
        <v>747.56644086413814</v>
      </c>
      <c r="R272" s="6">
        <f t="shared" si="46"/>
        <v>17730.986451848286</v>
      </c>
      <c r="S272" s="4">
        <f t="shared" si="47"/>
        <v>44463.934426229513</v>
      </c>
      <c r="T272" s="4">
        <f t="shared" si="48"/>
        <v>6357.25</v>
      </c>
      <c r="U272" s="4">
        <f t="shared" si="49"/>
        <v>2225.0374999999999</v>
      </c>
      <c r="V272" s="4">
        <f t="shared" ca="1" si="50"/>
        <v>27</v>
      </c>
      <c r="W272" s="20">
        <f ca="1">V272*Q272</f>
        <v>20184.293903331731</v>
      </c>
      <c r="X272" s="4">
        <f t="shared" si="51"/>
        <v>5939.9400000000023</v>
      </c>
      <c r="Y272" s="13">
        <f t="shared" si="52"/>
        <v>0.21900011060723379</v>
      </c>
    </row>
    <row r="273" spans="1:25" x14ac:dyDescent="0.3">
      <c r="A273" s="12" t="s">
        <v>588</v>
      </c>
      <c r="B273" s="7">
        <v>44955</v>
      </c>
      <c r="C273" s="4" t="s">
        <v>589</v>
      </c>
      <c r="D273" s="4" t="s">
        <v>72</v>
      </c>
      <c r="E273" s="4">
        <v>34062</v>
      </c>
      <c r="F273" s="4">
        <v>13.6</v>
      </c>
      <c r="G273" s="4">
        <v>36</v>
      </c>
      <c r="H273" s="4" t="s">
        <v>81</v>
      </c>
      <c r="I273" s="4" t="s">
        <v>27</v>
      </c>
      <c r="J273" s="4" t="s">
        <v>32</v>
      </c>
      <c r="K273" s="4">
        <v>116724</v>
      </c>
      <c r="L273" s="4" t="s">
        <v>29</v>
      </c>
      <c r="M273" s="4">
        <v>0.42</v>
      </c>
      <c r="N273" s="4">
        <v>0.55000000000000004</v>
      </c>
      <c r="O273" s="4">
        <v>12667.87</v>
      </c>
      <c r="P273" s="4">
        <v>12334.49</v>
      </c>
      <c r="Q273" s="6">
        <f t="shared" si="53"/>
        <v>1157.5519483002608</v>
      </c>
      <c r="R273" s="6">
        <f t="shared" si="46"/>
        <v>7609.8701388093905</v>
      </c>
      <c r="S273" s="4">
        <f t="shared" si="47"/>
        <v>61930.909090909088</v>
      </c>
      <c r="T273" s="4">
        <f t="shared" si="48"/>
        <v>9727</v>
      </c>
      <c r="U273" s="4">
        <f t="shared" si="49"/>
        <v>4085.3399999999997</v>
      </c>
      <c r="V273" s="4">
        <f t="shared" ca="1" si="50"/>
        <v>37</v>
      </c>
      <c r="W273" s="20">
        <v>0</v>
      </c>
      <c r="X273" s="4">
        <f t="shared" si="51"/>
        <v>-9059.64</v>
      </c>
      <c r="Y273" s="13">
        <f t="shared" si="52"/>
        <v>-0.26597498678879689</v>
      </c>
    </row>
    <row r="274" spans="1:25" x14ac:dyDescent="0.3">
      <c r="A274" s="12" t="s">
        <v>590</v>
      </c>
      <c r="B274" s="7">
        <v>44734</v>
      </c>
      <c r="C274" s="4" t="s">
        <v>591</v>
      </c>
      <c r="D274" s="4" t="s">
        <v>65</v>
      </c>
      <c r="E274" s="4">
        <v>11177</v>
      </c>
      <c r="F274" s="4">
        <v>7.8</v>
      </c>
      <c r="G274" s="4">
        <v>36</v>
      </c>
      <c r="H274" s="4" t="s">
        <v>19</v>
      </c>
      <c r="I274" s="4" t="s">
        <v>57</v>
      </c>
      <c r="J274" s="4" t="s">
        <v>28</v>
      </c>
      <c r="K274" s="4">
        <v>128132</v>
      </c>
      <c r="L274" s="4" t="s">
        <v>29</v>
      </c>
      <c r="M274" s="4">
        <v>0.44</v>
      </c>
      <c r="N274" s="4">
        <v>0.68</v>
      </c>
      <c r="O274" s="4">
        <v>12048.81</v>
      </c>
      <c r="P274" s="4">
        <v>0</v>
      </c>
      <c r="Q274" s="6">
        <f t="shared" si="53"/>
        <v>349.21623904122123</v>
      </c>
      <c r="R274" s="6">
        <f t="shared" si="46"/>
        <v>1394.7846054839647</v>
      </c>
      <c r="S274" s="4">
        <f t="shared" si="47"/>
        <v>16436.764705882353</v>
      </c>
      <c r="T274" s="4">
        <f t="shared" si="48"/>
        <v>10677.666666666666</v>
      </c>
      <c r="U274" s="4">
        <f t="shared" si="49"/>
        <v>4698.1733333333332</v>
      </c>
      <c r="V274" s="4">
        <f t="shared" ca="1" si="50"/>
        <v>44</v>
      </c>
      <c r="W274" s="20">
        <f t="shared" ref="W274:W288" ca="1" si="54">V274*Q274</f>
        <v>15365.514517813734</v>
      </c>
      <c r="X274" s="4">
        <f t="shared" si="51"/>
        <v>871.80999999999949</v>
      </c>
      <c r="Y274" s="13">
        <f t="shared" si="52"/>
        <v>7.8000357877784685E-2</v>
      </c>
    </row>
    <row r="275" spans="1:25" x14ac:dyDescent="0.3">
      <c r="A275" s="12" t="s">
        <v>592</v>
      </c>
      <c r="B275" s="7">
        <v>45117</v>
      </c>
      <c r="C275" s="4" t="s">
        <v>593</v>
      </c>
      <c r="D275" s="4" t="s">
        <v>56</v>
      </c>
      <c r="E275" s="4">
        <v>22727</v>
      </c>
      <c r="F275" s="4">
        <v>18.3</v>
      </c>
      <c r="G275" s="4">
        <v>36</v>
      </c>
      <c r="H275" s="4" t="s">
        <v>26</v>
      </c>
      <c r="I275" s="4" t="s">
        <v>36</v>
      </c>
      <c r="J275" s="4" t="s">
        <v>37</v>
      </c>
      <c r="K275" s="4">
        <v>123308</v>
      </c>
      <c r="L275" s="4" t="s">
        <v>29</v>
      </c>
      <c r="M275" s="4">
        <v>0.28999999999999998</v>
      </c>
      <c r="N275" s="4">
        <v>0.78</v>
      </c>
      <c r="O275" s="4">
        <v>9155.07</v>
      </c>
      <c r="P275" s="4">
        <v>0</v>
      </c>
      <c r="Q275" s="6">
        <f t="shared" si="53"/>
        <v>825.05983195489102</v>
      </c>
      <c r="R275" s="6">
        <f t="shared" si="46"/>
        <v>6975.153950376076</v>
      </c>
      <c r="S275" s="4">
        <f t="shared" si="47"/>
        <v>29137.179487179485</v>
      </c>
      <c r="T275" s="4">
        <f t="shared" si="48"/>
        <v>10275.666666666666</v>
      </c>
      <c r="U275" s="4">
        <f t="shared" si="49"/>
        <v>2979.9433333333332</v>
      </c>
      <c r="V275" s="4">
        <f t="shared" ca="1" si="50"/>
        <v>32</v>
      </c>
      <c r="W275" s="20">
        <f t="shared" ca="1" si="54"/>
        <v>26401.914622556513</v>
      </c>
      <c r="X275" s="4">
        <f t="shared" si="51"/>
        <v>-13571.93</v>
      </c>
      <c r="Y275" s="13">
        <f t="shared" si="52"/>
        <v>-0.5971720860650328</v>
      </c>
    </row>
    <row r="276" spans="1:25" x14ac:dyDescent="0.3">
      <c r="A276" s="12" t="s">
        <v>594</v>
      </c>
      <c r="B276" s="7">
        <v>44604</v>
      </c>
      <c r="C276" s="4" t="s">
        <v>595</v>
      </c>
      <c r="D276" s="4" t="s">
        <v>25</v>
      </c>
      <c r="E276" s="4">
        <v>31220</v>
      </c>
      <c r="F276" s="4">
        <v>9.3000000000000007</v>
      </c>
      <c r="G276" s="4">
        <v>36</v>
      </c>
      <c r="H276" s="4" t="s">
        <v>19</v>
      </c>
      <c r="I276" s="4" t="s">
        <v>73</v>
      </c>
      <c r="J276" s="4" t="s">
        <v>37</v>
      </c>
      <c r="K276" s="4">
        <v>126393</v>
      </c>
      <c r="L276" s="4" t="s">
        <v>22</v>
      </c>
      <c r="M276" s="4">
        <v>0.41</v>
      </c>
      <c r="N276" s="4">
        <v>0.89</v>
      </c>
      <c r="O276" s="4">
        <v>34123.46</v>
      </c>
      <c r="P276" s="4">
        <v>0</v>
      </c>
      <c r="Q276" s="6">
        <f t="shared" si="53"/>
        <v>997.15245067565832</v>
      </c>
      <c r="R276" s="6">
        <f t="shared" si="46"/>
        <v>4677.4882243237007</v>
      </c>
      <c r="S276" s="4">
        <f t="shared" si="47"/>
        <v>35078.651685393255</v>
      </c>
      <c r="T276" s="4">
        <f t="shared" si="48"/>
        <v>10532.75</v>
      </c>
      <c r="U276" s="4">
        <f t="shared" si="49"/>
        <v>4318.4274999999998</v>
      </c>
      <c r="V276" s="4">
        <f t="shared" ca="1" si="50"/>
        <v>49</v>
      </c>
      <c r="W276" s="20">
        <f t="shared" ca="1" si="54"/>
        <v>48860.470083107255</v>
      </c>
      <c r="X276" s="4">
        <f t="shared" si="51"/>
        <v>2903.4599999999991</v>
      </c>
      <c r="Y276" s="13">
        <f t="shared" si="52"/>
        <v>9.2999999999999972E-2</v>
      </c>
    </row>
    <row r="277" spans="1:25" x14ac:dyDescent="0.3">
      <c r="A277" s="12" t="s">
        <v>596</v>
      </c>
      <c r="B277" s="7">
        <v>44721</v>
      </c>
      <c r="C277" s="4" t="s">
        <v>597</v>
      </c>
      <c r="D277" s="4" t="s">
        <v>50</v>
      </c>
      <c r="E277" s="4">
        <v>10882</v>
      </c>
      <c r="F277" s="4">
        <v>7</v>
      </c>
      <c r="G277" s="4">
        <v>36</v>
      </c>
      <c r="H277" s="4" t="s">
        <v>26</v>
      </c>
      <c r="I277" s="4" t="s">
        <v>73</v>
      </c>
      <c r="J277" s="4" t="s">
        <v>37</v>
      </c>
      <c r="K277" s="4">
        <v>106312</v>
      </c>
      <c r="L277" s="4" t="s">
        <v>33</v>
      </c>
      <c r="M277" s="4">
        <v>0.37</v>
      </c>
      <c r="N277" s="4">
        <v>0.66</v>
      </c>
      <c r="O277" s="4">
        <v>3592.5</v>
      </c>
      <c r="P277" s="4">
        <v>0</v>
      </c>
      <c r="Q277" s="6">
        <f t="shared" si="53"/>
        <v>336.00456808897746</v>
      </c>
      <c r="R277" s="6">
        <f t="shared" si="46"/>
        <v>1214.1644512031889</v>
      </c>
      <c r="S277" s="4">
        <f t="shared" si="47"/>
        <v>16487.878787878788</v>
      </c>
      <c r="T277" s="4">
        <f t="shared" si="48"/>
        <v>8859.3333333333339</v>
      </c>
      <c r="U277" s="4">
        <f t="shared" si="49"/>
        <v>3277.9533333333334</v>
      </c>
      <c r="V277" s="4">
        <f t="shared" ca="1" si="50"/>
        <v>45</v>
      </c>
      <c r="W277" s="20">
        <f t="shared" ca="1" si="54"/>
        <v>15120.205564003985</v>
      </c>
      <c r="X277" s="4">
        <f t="shared" si="51"/>
        <v>-7289.5</v>
      </c>
      <c r="Y277" s="13">
        <f t="shared" si="52"/>
        <v>-0.66986767138393677</v>
      </c>
    </row>
    <row r="278" spans="1:25" x14ac:dyDescent="0.3">
      <c r="A278" s="12" t="s">
        <v>598</v>
      </c>
      <c r="B278" s="7">
        <v>45024</v>
      </c>
      <c r="C278" s="4" t="s">
        <v>599</v>
      </c>
      <c r="D278" s="4" t="s">
        <v>46</v>
      </c>
      <c r="E278" s="4">
        <v>2136</v>
      </c>
      <c r="F278" s="4">
        <v>22.2</v>
      </c>
      <c r="G278" s="4">
        <v>60</v>
      </c>
      <c r="H278" s="4" t="s">
        <v>19</v>
      </c>
      <c r="I278" s="4" t="s">
        <v>84</v>
      </c>
      <c r="J278" s="4" t="s">
        <v>37</v>
      </c>
      <c r="K278" s="4">
        <v>128371</v>
      </c>
      <c r="L278" s="4" t="s">
        <v>22</v>
      </c>
      <c r="M278" s="4">
        <v>0.39</v>
      </c>
      <c r="N278" s="4">
        <v>0.79</v>
      </c>
      <c r="O278" s="4">
        <v>2610.19</v>
      </c>
      <c r="P278" s="4">
        <v>0</v>
      </c>
      <c r="Q278" s="6">
        <f t="shared" si="53"/>
        <v>59.237144497353171</v>
      </c>
      <c r="R278" s="6">
        <f t="shared" si="46"/>
        <v>1418.2286698411904</v>
      </c>
      <c r="S278" s="4">
        <f t="shared" si="47"/>
        <v>2703.7974683544303</v>
      </c>
      <c r="T278" s="4">
        <f t="shared" si="48"/>
        <v>10697.583333333334</v>
      </c>
      <c r="U278" s="4">
        <f t="shared" si="49"/>
        <v>4172.0575000000008</v>
      </c>
      <c r="V278" s="4">
        <f t="shared" ca="1" si="50"/>
        <v>35</v>
      </c>
      <c r="W278" s="20">
        <f t="shared" ca="1" si="54"/>
        <v>2073.3000574073608</v>
      </c>
      <c r="X278" s="4">
        <f t="shared" si="51"/>
        <v>474.19000000000005</v>
      </c>
      <c r="Y278" s="13">
        <f t="shared" si="52"/>
        <v>0.221999063670412</v>
      </c>
    </row>
    <row r="279" spans="1:25" x14ac:dyDescent="0.3">
      <c r="A279" s="12" t="s">
        <v>600</v>
      </c>
      <c r="B279" s="7">
        <v>45099</v>
      </c>
      <c r="C279" s="4" t="s">
        <v>601</v>
      </c>
      <c r="D279" s="4" t="s">
        <v>53</v>
      </c>
      <c r="E279" s="4">
        <v>35832</v>
      </c>
      <c r="F279" s="4">
        <v>14.2</v>
      </c>
      <c r="G279" s="4">
        <v>60</v>
      </c>
      <c r="H279" s="4" t="s">
        <v>19</v>
      </c>
      <c r="I279" s="4" t="s">
        <v>57</v>
      </c>
      <c r="J279" s="4" t="s">
        <v>47</v>
      </c>
      <c r="K279" s="4">
        <v>105324</v>
      </c>
      <c r="L279" s="4" t="s">
        <v>22</v>
      </c>
      <c r="M279" s="4">
        <v>0.3</v>
      </c>
      <c r="N279" s="4">
        <v>0.66</v>
      </c>
      <c r="O279" s="4">
        <v>40920.14</v>
      </c>
      <c r="P279" s="4">
        <v>0</v>
      </c>
      <c r="Q279" s="6">
        <f t="shared" si="53"/>
        <v>837.46794994431514</v>
      </c>
      <c r="R279" s="6">
        <f t="shared" si="46"/>
        <v>14416.076996658907</v>
      </c>
      <c r="S279" s="4">
        <f t="shared" si="47"/>
        <v>54290.909090909088</v>
      </c>
      <c r="T279" s="4">
        <f t="shared" si="48"/>
        <v>8777</v>
      </c>
      <c r="U279" s="4">
        <f t="shared" si="49"/>
        <v>2633.1</v>
      </c>
      <c r="V279" s="4">
        <f t="shared" ca="1" si="50"/>
        <v>32</v>
      </c>
      <c r="W279" s="20">
        <f t="shared" ca="1" si="54"/>
        <v>26798.974398218084</v>
      </c>
      <c r="X279" s="4">
        <f t="shared" si="51"/>
        <v>5088.1399999999994</v>
      </c>
      <c r="Y279" s="13">
        <f t="shared" si="52"/>
        <v>0.14199988836793925</v>
      </c>
    </row>
    <row r="280" spans="1:25" x14ac:dyDescent="0.3">
      <c r="A280" s="12" t="s">
        <v>602</v>
      </c>
      <c r="B280" s="7">
        <v>44232</v>
      </c>
      <c r="C280" s="4" t="s">
        <v>603</v>
      </c>
      <c r="D280" s="4" t="s">
        <v>76</v>
      </c>
      <c r="E280" s="4">
        <v>32966</v>
      </c>
      <c r="F280" s="4">
        <v>20</v>
      </c>
      <c r="G280" s="4">
        <v>60</v>
      </c>
      <c r="H280" s="4" t="s">
        <v>26</v>
      </c>
      <c r="I280" s="4" t="s">
        <v>20</v>
      </c>
      <c r="J280" s="4" t="s">
        <v>47</v>
      </c>
      <c r="K280" s="4">
        <v>101196</v>
      </c>
      <c r="L280" s="4" t="s">
        <v>33</v>
      </c>
      <c r="M280" s="4">
        <v>0.35</v>
      </c>
      <c r="N280" s="4">
        <v>0.78</v>
      </c>
      <c r="O280" s="4">
        <v>6322.07</v>
      </c>
      <c r="P280" s="4">
        <v>0</v>
      </c>
      <c r="Q280" s="6">
        <f t="shared" si="53"/>
        <v>873.39737054823149</v>
      </c>
      <c r="R280" s="6">
        <f t="shared" si="46"/>
        <v>19437.84223289389</v>
      </c>
      <c r="S280" s="4">
        <f t="shared" si="47"/>
        <v>42264.102564102563</v>
      </c>
      <c r="T280" s="4">
        <f t="shared" si="48"/>
        <v>8433</v>
      </c>
      <c r="U280" s="4">
        <f t="shared" si="49"/>
        <v>2951.5499999999997</v>
      </c>
      <c r="V280" s="4">
        <f t="shared" ca="1" si="50"/>
        <v>61</v>
      </c>
      <c r="W280" s="20">
        <f t="shared" ca="1" si="54"/>
        <v>53277.239603442118</v>
      </c>
      <c r="X280" s="4">
        <f t="shared" si="51"/>
        <v>-26643.93</v>
      </c>
      <c r="Y280" s="13">
        <f t="shared" si="52"/>
        <v>-0.80822453436874353</v>
      </c>
    </row>
    <row r="281" spans="1:25" x14ac:dyDescent="0.3">
      <c r="A281" s="12" t="s">
        <v>604</v>
      </c>
      <c r="B281" s="7">
        <v>44881</v>
      </c>
      <c r="C281" s="4" t="s">
        <v>605</v>
      </c>
      <c r="D281" s="4" t="s">
        <v>65</v>
      </c>
      <c r="E281" s="4">
        <v>8009</v>
      </c>
      <c r="F281" s="4">
        <v>10.8</v>
      </c>
      <c r="G281" s="4">
        <v>60</v>
      </c>
      <c r="H281" s="4" t="s">
        <v>26</v>
      </c>
      <c r="I281" s="4" t="s">
        <v>27</v>
      </c>
      <c r="J281" s="4" t="s">
        <v>21</v>
      </c>
      <c r="K281" s="4">
        <v>100014</v>
      </c>
      <c r="L281" s="4" t="s">
        <v>33</v>
      </c>
      <c r="M281" s="4">
        <v>0.42</v>
      </c>
      <c r="N281" s="4">
        <v>0.9</v>
      </c>
      <c r="O281" s="4">
        <v>2353.41</v>
      </c>
      <c r="P281" s="4">
        <v>0</v>
      </c>
      <c r="Q281" s="6">
        <f t="shared" si="53"/>
        <v>173.3372996833169</v>
      </c>
      <c r="R281" s="6">
        <f t="shared" si="46"/>
        <v>2391.2379809990143</v>
      </c>
      <c r="S281" s="4">
        <f t="shared" si="47"/>
        <v>8898.8888888888887</v>
      </c>
      <c r="T281" s="4">
        <f t="shared" si="48"/>
        <v>8334.5</v>
      </c>
      <c r="U281" s="4">
        <f t="shared" si="49"/>
        <v>3500.49</v>
      </c>
      <c r="V281" s="4">
        <f t="shared" ca="1" si="50"/>
        <v>40</v>
      </c>
      <c r="W281" s="20">
        <f t="shared" ca="1" si="54"/>
        <v>6933.4919873326762</v>
      </c>
      <c r="X281" s="4">
        <f t="shared" si="51"/>
        <v>-5655.59</v>
      </c>
      <c r="Y281" s="13">
        <f t="shared" si="52"/>
        <v>-0.70615432638281939</v>
      </c>
    </row>
    <row r="282" spans="1:25" x14ac:dyDescent="0.3">
      <c r="A282" s="12" t="s">
        <v>606</v>
      </c>
      <c r="B282" s="7">
        <v>44216</v>
      </c>
      <c r="C282" s="4" t="s">
        <v>607</v>
      </c>
      <c r="D282" s="4" t="s">
        <v>76</v>
      </c>
      <c r="E282" s="4">
        <v>13987</v>
      </c>
      <c r="F282" s="4">
        <v>20.7</v>
      </c>
      <c r="G282" s="4">
        <v>36</v>
      </c>
      <c r="H282" s="4" t="s">
        <v>19</v>
      </c>
      <c r="I282" s="4" t="s">
        <v>73</v>
      </c>
      <c r="J282" s="4" t="s">
        <v>37</v>
      </c>
      <c r="K282" s="4">
        <v>38210</v>
      </c>
      <c r="L282" s="4" t="s">
        <v>33</v>
      </c>
      <c r="M282" s="4">
        <v>0.26</v>
      </c>
      <c r="N282" s="4">
        <v>0.6</v>
      </c>
      <c r="O282" s="4">
        <v>16882.310000000001</v>
      </c>
      <c r="P282" s="4">
        <v>0</v>
      </c>
      <c r="Q282" s="6">
        <f t="shared" si="53"/>
        <v>524.80918640156358</v>
      </c>
      <c r="R282" s="6">
        <f t="shared" si="46"/>
        <v>4906.1307104562875</v>
      </c>
      <c r="S282" s="4">
        <f t="shared" si="47"/>
        <v>23311.666666666668</v>
      </c>
      <c r="T282" s="4">
        <f t="shared" si="48"/>
        <v>3184.1666666666665</v>
      </c>
      <c r="U282" s="4">
        <f t="shared" si="49"/>
        <v>827.88333333333333</v>
      </c>
      <c r="V282" s="4">
        <f t="shared" ca="1" si="50"/>
        <v>61</v>
      </c>
      <c r="W282" s="20">
        <f t="shared" ca="1" si="54"/>
        <v>32013.360370495378</v>
      </c>
      <c r="X282" s="4">
        <f t="shared" si="51"/>
        <v>2895.3100000000013</v>
      </c>
      <c r="Y282" s="13">
        <f t="shared" si="52"/>
        <v>0.20700007149495969</v>
      </c>
    </row>
    <row r="283" spans="1:25" x14ac:dyDescent="0.3">
      <c r="A283" s="12" t="s">
        <v>608</v>
      </c>
      <c r="B283" s="7">
        <v>44517</v>
      </c>
      <c r="C283" s="4" t="s">
        <v>609</v>
      </c>
      <c r="D283" s="4" t="s">
        <v>18</v>
      </c>
      <c r="E283" s="4">
        <v>38311</v>
      </c>
      <c r="F283" s="4">
        <v>7.2</v>
      </c>
      <c r="G283" s="4">
        <v>36</v>
      </c>
      <c r="H283" s="4" t="s">
        <v>19</v>
      </c>
      <c r="I283" s="4" t="s">
        <v>36</v>
      </c>
      <c r="J283" s="4" t="s">
        <v>28</v>
      </c>
      <c r="K283" s="4">
        <v>40922</v>
      </c>
      <c r="L283" s="4" t="s">
        <v>33</v>
      </c>
      <c r="M283" s="4">
        <v>0.42</v>
      </c>
      <c r="N283" s="4">
        <v>0.68</v>
      </c>
      <c r="O283" s="4">
        <v>41069.39</v>
      </c>
      <c r="P283" s="4">
        <v>0</v>
      </c>
      <c r="Q283" s="6">
        <f t="shared" si="53"/>
        <v>1186.4388842842154</v>
      </c>
      <c r="R283" s="6">
        <f t="shared" si="46"/>
        <v>4400.7998342317587</v>
      </c>
      <c r="S283" s="4">
        <f t="shared" si="47"/>
        <v>56339.705882352937</v>
      </c>
      <c r="T283" s="4">
        <f t="shared" si="48"/>
        <v>3410.1666666666665</v>
      </c>
      <c r="U283" s="4">
        <f t="shared" si="49"/>
        <v>1432.27</v>
      </c>
      <c r="V283" s="4">
        <f t="shared" ca="1" si="50"/>
        <v>52</v>
      </c>
      <c r="W283" s="20">
        <f t="shared" ca="1" si="54"/>
        <v>61694.821982779205</v>
      </c>
      <c r="X283" s="4">
        <f t="shared" si="51"/>
        <v>2758.3899999999994</v>
      </c>
      <c r="Y283" s="13">
        <f t="shared" si="52"/>
        <v>7.1999947795672245E-2</v>
      </c>
    </row>
    <row r="284" spans="1:25" x14ac:dyDescent="0.3">
      <c r="A284" s="12" t="s">
        <v>610</v>
      </c>
      <c r="B284" s="7">
        <v>44708</v>
      </c>
      <c r="C284" s="4" t="s">
        <v>611</v>
      </c>
      <c r="D284" s="4" t="s">
        <v>72</v>
      </c>
      <c r="E284" s="4">
        <v>32575</v>
      </c>
      <c r="F284" s="4">
        <v>12.1</v>
      </c>
      <c r="G284" s="4">
        <v>60</v>
      </c>
      <c r="H284" s="4" t="s">
        <v>19</v>
      </c>
      <c r="I284" s="4" t="s">
        <v>41</v>
      </c>
      <c r="J284" s="4" t="s">
        <v>21</v>
      </c>
      <c r="K284" s="4">
        <v>66289</v>
      </c>
      <c r="L284" s="4" t="s">
        <v>22</v>
      </c>
      <c r="M284" s="4">
        <v>0.34</v>
      </c>
      <c r="N284" s="4">
        <v>0.95</v>
      </c>
      <c r="O284" s="4">
        <v>36516.57</v>
      </c>
      <c r="P284" s="4">
        <v>0</v>
      </c>
      <c r="Q284" s="6">
        <f t="shared" si="53"/>
        <v>726.26007982955593</v>
      </c>
      <c r="R284" s="6">
        <f t="shared" si="46"/>
        <v>11000.604789773359</v>
      </c>
      <c r="S284" s="4">
        <f t="shared" si="47"/>
        <v>34289.473684210527</v>
      </c>
      <c r="T284" s="4">
        <f t="shared" si="48"/>
        <v>5524.083333333333</v>
      </c>
      <c r="U284" s="4">
        <f t="shared" si="49"/>
        <v>1878.1883333333333</v>
      </c>
      <c r="V284" s="4">
        <f t="shared" ca="1" si="50"/>
        <v>45</v>
      </c>
      <c r="W284" s="20">
        <f t="shared" ca="1" si="54"/>
        <v>32681.703592330017</v>
      </c>
      <c r="X284" s="4">
        <f t="shared" si="51"/>
        <v>3941.5699999999997</v>
      </c>
      <c r="Y284" s="13">
        <f t="shared" si="52"/>
        <v>0.12099984650805831</v>
      </c>
    </row>
    <row r="285" spans="1:25" x14ac:dyDescent="0.3">
      <c r="A285" s="12" t="s">
        <v>612</v>
      </c>
      <c r="B285" s="7">
        <v>44596</v>
      </c>
      <c r="C285" s="4" t="s">
        <v>613</v>
      </c>
      <c r="D285" s="4" t="s">
        <v>46</v>
      </c>
      <c r="E285" s="4">
        <v>2007</v>
      </c>
      <c r="F285" s="4">
        <v>24.6</v>
      </c>
      <c r="G285" s="4">
        <v>36</v>
      </c>
      <c r="H285" s="4" t="s">
        <v>26</v>
      </c>
      <c r="I285" s="4" t="s">
        <v>57</v>
      </c>
      <c r="J285" s="4" t="s">
        <v>37</v>
      </c>
      <c r="K285" s="4">
        <v>63340</v>
      </c>
      <c r="L285" s="4" t="s">
        <v>29</v>
      </c>
      <c r="M285" s="4">
        <v>0.17</v>
      </c>
      <c r="N285" s="4">
        <v>0.89</v>
      </c>
      <c r="O285" s="4">
        <v>182.76</v>
      </c>
      <c r="P285" s="4">
        <v>0</v>
      </c>
      <c r="Q285" s="6">
        <f t="shared" si="53"/>
        <v>79.373993709654499</v>
      </c>
      <c r="R285" s="6">
        <f t="shared" si="46"/>
        <v>850.46377354756214</v>
      </c>
      <c r="S285" s="4">
        <f t="shared" si="47"/>
        <v>2255.0561797752807</v>
      </c>
      <c r="T285" s="4">
        <f t="shared" si="48"/>
        <v>5278.333333333333</v>
      </c>
      <c r="U285" s="4">
        <f t="shared" si="49"/>
        <v>897.31666666666672</v>
      </c>
      <c r="V285" s="4">
        <f t="shared" ca="1" si="50"/>
        <v>49</v>
      </c>
      <c r="W285" s="20">
        <f t="shared" ca="1" si="54"/>
        <v>3889.3256917730705</v>
      </c>
      <c r="X285" s="4">
        <f t="shared" si="51"/>
        <v>-1824.24</v>
      </c>
      <c r="Y285" s="13">
        <f t="shared" si="52"/>
        <v>-0.90893871449925268</v>
      </c>
    </row>
    <row r="286" spans="1:25" x14ac:dyDescent="0.3">
      <c r="A286" s="12" t="s">
        <v>614</v>
      </c>
      <c r="B286" s="7">
        <v>44850</v>
      </c>
      <c r="C286" s="4" t="s">
        <v>615</v>
      </c>
      <c r="D286" s="4" t="s">
        <v>56</v>
      </c>
      <c r="E286" s="4">
        <v>6445</v>
      </c>
      <c r="F286" s="4">
        <v>20.9</v>
      </c>
      <c r="G286" s="4">
        <v>36</v>
      </c>
      <c r="H286" s="4" t="s">
        <v>19</v>
      </c>
      <c r="I286" s="4" t="s">
        <v>57</v>
      </c>
      <c r="J286" s="4" t="s">
        <v>47</v>
      </c>
      <c r="K286" s="4">
        <v>69850</v>
      </c>
      <c r="L286" s="4" t="s">
        <v>22</v>
      </c>
      <c r="M286" s="4">
        <v>0.11</v>
      </c>
      <c r="N286" s="4">
        <v>0.75</v>
      </c>
      <c r="O286" s="4">
        <v>7792</v>
      </c>
      <c r="P286" s="4">
        <v>0</v>
      </c>
      <c r="Q286" s="6">
        <f t="shared" si="53"/>
        <v>242.48502389556683</v>
      </c>
      <c r="R286" s="6">
        <f t="shared" si="46"/>
        <v>2284.460860240406</v>
      </c>
      <c r="S286" s="4">
        <f t="shared" si="47"/>
        <v>8593.3333333333339</v>
      </c>
      <c r="T286" s="4">
        <f t="shared" si="48"/>
        <v>5820.833333333333</v>
      </c>
      <c r="U286" s="4">
        <f t="shared" si="49"/>
        <v>640.29166666666663</v>
      </c>
      <c r="V286" s="4">
        <f t="shared" ca="1" si="50"/>
        <v>41</v>
      </c>
      <c r="W286" s="20">
        <f t="shared" ca="1" si="54"/>
        <v>9941.8859797182395</v>
      </c>
      <c r="X286" s="4">
        <f t="shared" si="51"/>
        <v>1347</v>
      </c>
      <c r="Y286" s="13">
        <f t="shared" si="52"/>
        <v>0.20899922420480993</v>
      </c>
    </row>
    <row r="287" spans="1:25" x14ac:dyDescent="0.3">
      <c r="A287" s="12" t="s">
        <v>616</v>
      </c>
      <c r="B287" s="7">
        <v>45168</v>
      </c>
      <c r="C287" s="4" t="s">
        <v>617</v>
      </c>
      <c r="D287" s="4" t="s">
        <v>18</v>
      </c>
      <c r="E287" s="4">
        <v>11706</v>
      </c>
      <c r="F287" s="4">
        <v>14.9</v>
      </c>
      <c r="G287" s="4">
        <v>60</v>
      </c>
      <c r="H287" s="4" t="s">
        <v>19</v>
      </c>
      <c r="I287" s="4" t="s">
        <v>57</v>
      </c>
      <c r="J287" s="4" t="s">
        <v>28</v>
      </c>
      <c r="K287" s="4">
        <v>86984</v>
      </c>
      <c r="L287" s="4" t="s">
        <v>33</v>
      </c>
      <c r="M287" s="4">
        <v>0.25</v>
      </c>
      <c r="N287" s="4">
        <v>0.73</v>
      </c>
      <c r="O287" s="4">
        <v>13450.19</v>
      </c>
      <c r="P287" s="4">
        <v>0</v>
      </c>
      <c r="Q287" s="6">
        <f t="shared" si="53"/>
        <v>277.87083677589726</v>
      </c>
      <c r="R287" s="6">
        <f t="shared" si="46"/>
        <v>4966.2502065538356</v>
      </c>
      <c r="S287" s="4">
        <f t="shared" si="47"/>
        <v>16035.616438356165</v>
      </c>
      <c r="T287" s="4">
        <f t="shared" si="48"/>
        <v>7248.666666666667</v>
      </c>
      <c r="U287" s="4">
        <f t="shared" si="49"/>
        <v>1812.1666666666667</v>
      </c>
      <c r="V287" s="4">
        <f t="shared" ca="1" si="50"/>
        <v>30</v>
      </c>
      <c r="W287" s="20">
        <f t="shared" ca="1" si="54"/>
        <v>8336.1251032769178</v>
      </c>
      <c r="X287" s="4">
        <f t="shared" si="51"/>
        <v>1744.1900000000005</v>
      </c>
      <c r="Y287" s="13">
        <f t="shared" si="52"/>
        <v>0.14899965829489156</v>
      </c>
    </row>
    <row r="288" spans="1:25" x14ac:dyDescent="0.3">
      <c r="A288" s="12" t="s">
        <v>618</v>
      </c>
      <c r="B288" s="7">
        <v>44667</v>
      </c>
      <c r="C288" s="4" t="s">
        <v>619</v>
      </c>
      <c r="D288" s="4" t="s">
        <v>40</v>
      </c>
      <c r="E288" s="4">
        <v>30257</v>
      </c>
      <c r="F288" s="4">
        <v>11.8</v>
      </c>
      <c r="G288" s="4">
        <v>36</v>
      </c>
      <c r="H288" s="4" t="s">
        <v>26</v>
      </c>
      <c r="I288" s="4" t="s">
        <v>57</v>
      </c>
      <c r="J288" s="4" t="s">
        <v>21</v>
      </c>
      <c r="K288" s="4">
        <v>133699</v>
      </c>
      <c r="L288" s="4" t="s">
        <v>29</v>
      </c>
      <c r="M288" s="4">
        <v>0.32</v>
      </c>
      <c r="N288" s="4">
        <v>0.63</v>
      </c>
      <c r="O288" s="4">
        <v>10757.13</v>
      </c>
      <c r="P288" s="4">
        <v>0</v>
      </c>
      <c r="Q288" s="6">
        <f t="shared" si="53"/>
        <v>1002.0775551809995</v>
      </c>
      <c r="R288" s="6">
        <f t="shared" si="46"/>
        <v>5817.7919865159856</v>
      </c>
      <c r="S288" s="4">
        <f t="shared" si="47"/>
        <v>48026.984126984127</v>
      </c>
      <c r="T288" s="4">
        <f t="shared" si="48"/>
        <v>11141.583333333334</v>
      </c>
      <c r="U288" s="4">
        <f t="shared" si="49"/>
        <v>3565.3066666666668</v>
      </c>
      <c r="V288" s="4">
        <f t="shared" ca="1" si="50"/>
        <v>47</v>
      </c>
      <c r="W288" s="20">
        <f t="shared" ca="1" si="54"/>
        <v>47097.645093506981</v>
      </c>
      <c r="X288" s="4">
        <f t="shared" si="51"/>
        <v>-19499.870000000003</v>
      </c>
      <c r="Y288" s="13">
        <f t="shared" si="52"/>
        <v>-0.64447466701920231</v>
      </c>
    </row>
    <row r="289" spans="1:25" x14ac:dyDescent="0.3">
      <c r="A289" s="12" t="s">
        <v>620</v>
      </c>
      <c r="B289" s="7">
        <v>45030</v>
      </c>
      <c r="C289" s="4" t="s">
        <v>621</v>
      </c>
      <c r="D289" s="4" t="s">
        <v>46</v>
      </c>
      <c r="E289" s="4">
        <v>22736</v>
      </c>
      <c r="F289" s="4">
        <v>22.4</v>
      </c>
      <c r="G289" s="4">
        <v>60</v>
      </c>
      <c r="H289" s="4" t="s">
        <v>81</v>
      </c>
      <c r="I289" s="4" t="s">
        <v>84</v>
      </c>
      <c r="J289" s="4" t="s">
        <v>28</v>
      </c>
      <c r="K289" s="4">
        <v>143711</v>
      </c>
      <c r="L289" s="4" t="s">
        <v>29</v>
      </c>
      <c r="M289" s="4">
        <v>0.44</v>
      </c>
      <c r="N289" s="4">
        <v>0.73</v>
      </c>
      <c r="O289" s="4">
        <v>7219.33</v>
      </c>
      <c r="P289" s="4">
        <v>8265.9599999999991</v>
      </c>
      <c r="Q289" s="6">
        <f t="shared" si="53"/>
        <v>633.12527183627515</v>
      </c>
      <c r="R289" s="6">
        <f t="shared" si="46"/>
        <v>15251.516310176507</v>
      </c>
      <c r="S289" s="4">
        <f t="shared" si="47"/>
        <v>31145.205479452055</v>
      </c>
      <c r="T289" s="4">
        <f t="shared" si="48"/>
        <v>11975.916666666666</v>
      </c>
      <c r="U289" s="4">
        <f t="shared" si="49"/>
        <v>5269.4033333333327</v>
      </c>
      <c r="V289" s="4">
        <f t="shared" ca="1" si="50"/>
        <v>35</v>
      </c>
      <c r="W289" s="20">
        <v>0</v>
      </c>
      <c r="X289" s="4">
        <f t="shared" si="51"/>
        <v>-7250.7100000000009</v>
      </c>
      <c r="Y289" s="13">
        <f t="shared" si="52"/>
        <v>-0.31890877902885295</v>
      </c>
    </row>
    <row r="290" spans="1:25" x14ac:dyDescent="0.3">
      <c r="A290" s="12" t="s">
        <v>622</v>
      </c>
      <c r="B290" s="7">
        <v>44923</v>
      </c>
      <c r="C290" s="4" t="s">
        <v>623</v>
      </c>
      <c r="D290" s="4" t="s">
        <v>76</v>
      </c>
      <c r="E290" s="4">
        <v>14281</v>
      </c>
      <c r="F290" s="4">
        <v>15.9</v>
      </c>
      <c r="G290" s="4">
        <v>60</v>
      </c>
      <c r="H290" s="4" t="s">
        <v>26</v>
      </c>
      <c r="I290" s="4" t="s">
        <v>27</v>
      </c>
      <c r="J290" s="4" t="s">
        <v>37</v>
      </c>
      <c r="K290" s="4">
        <v>114178</v>
      </c>
      <c r="L290" s="4" t="s">
        <v>22</v>
      </c>
      <c r="M290" s="4">
        <v>0.15</v>
      </c>
      <c r="N290" s="4">
        <v>0.88</v>
      </c>
      <c r="O290" s="4">
        <v>6915.78</v>
      </c>
      <c r="P290" s="4">
        <v>0</v>
      </c>
      <c r="Q290" s="6">
        <f t="shared" si="53"/>
        <v>346.52783441030181</v>
      </c>
      <c r="R290" s="6">
        <f t="shared" si="46"/>
        <v>6510.6700646181089</v>
      </c>
      <c r="S290" s="4">
        <f t="shared" si="47"/>
        <v>16228.40909090909</v>
      </c>
      <c r="T290" s="4">
        <f t="shared" si="48"/>
        <v>9514.8333333333339</v>
      </c>
      <c r="U290" s="4">
        <f t="shared" si="49"/>
        <v>1427.2250000000001</v>
      </c>
      <c r="V290" s="4">
        <f t="shared" ca="1" si="50"/>
        <v>38</v>
      </c>
      <c r="W290" s="20">
        <f t="shared" ref="W290:W296" ca="1" si="55">V290*Q290</f>
        <v>13168.057707591468</v>
      </c>
      <c r="X290" s="4">
        <f t="shared" si="51"/>
        <v>-7365.22</v>
      </c>
      <c r="Y290" s="13">
        <f t="shared" si="52"/>
        <v>-0.5157355927456061</v>
      </c>
    </row>
    <row r="291" spans="1:25" x14ac:dyDescent="0.3">
      <c r="A291" s="12" t="s">
        <v>624</v>
      </c>
      <c r="B291" s="7">
        <v>45050</v>
      </c>
      <c r="C291" s="4" t="s">
        <v>625</v>
      </c>
      <c r="D291" s="4" t="s">
        <v>18</v>
      </c>
      <c r="E291" s="4">
        <v>2435</v>
      </c>
      <c r="F291" s="4">
        <v>20.2</v>
      </c>
      <c r="G291" s="4">
        <v>36</v>
      </c>
      <c r="H291" s="4" t="s">
        <v>26</v>
      </c>
      <c r="I291" s="4" t="s">
        <v>73</v>
      </c>
      <c r="J291" s="4" t="s">
        <v>32</v>
      </c>
      <c r="K291" s="4">
        <v>41094</v>
      </c>
      <c r="L291" s="4" t="s">
        <v>22</v>
      </c>
      <c r="M291" s="4">
        <v>0.42</v>
      </c>
      <c r="N291" s="4">
        <v>0.81</v>
      </c>
      <c r="O291" s="4">
        <v>407.08</v>
      </c>
      <c r="P291" s="4">
        <v>0</v>
      </c>
      <c r="Q291" s="6">
        <f t="shared" si="53"/>
        <v>90.741655880021526</v>
      </c>
      <c r="R291" s="6">
        <f t="shared" si="46"/>
        <v>831.69961168077498</v>
      </c>
      <c r="S291" s="4">
        <f t="shared" si="47"/>
        <v>3006.1728395061727</v>
      </c>
      <c r="T291" s="4">
        <f t="shared" si="48"/>
        <v>3424.5</v>
      </c>
      <c r="U291" s="4">
        <f t="shared" si="49"/>
        <v>1438.29</v>
      </c>
      <c r="V291" s="4">
        <f t="shared" ca="1" si="50"/>
        <v>34</v>
      </c>
      <c r="W291" s="20">
        <f t="shared" ca="1" si="55"/>
        <v>3085.2162999207317</v>
      </c>
      <c r="X291" s="4">
        <f t="shared" si="51"/>
        <v>-2027.92</v>
      </c>
      <c r="Y291" s="13">
        <f t="shared" si="52"/>
        <v>-0.83282135523613965</v>
      </c>
    </row>
    <row r="292" spans="1:25" x14ac:dyDescent="0.3">
      <c r="A292" s="12" t="s">
        <v>626</v>
      </c>
      <c r="B292" s="7">
        <v>44247</v>
      </c>
      <c r="C292" s="4" t="s">
        <v>627</v>
      </c>
      <c r="D292" s="4" t="s">
        <v>56</v>
      </c>
      <c r="E292" s="4">
        <v>34339</v>
      </c>
      <c r="F292" s="4">
        <v>20.100000000000001</v>
      </c>
      <c r="G292" s="4">
        <v>36</v>
      </c>
      <c r="H292" s="4" t="s">
        <v>26</v>
      </c>
      <c r="I292" s="4" t="s">
        <v>20</v>
      </c>
      <c r="J292" s="4" t="s">
        <v>28</v>
      </c>
      <c r="K292" s="4">
        <v>117959</v>
      </c>
      <c r="L292" s="4" t="s">
        <v>22</v>
      </c>
      <c r="M292" s="4">
        <v>0.45</v>
      </c>
      <c r="N292" s="4">
        <v>0.63</v>
      </c>
      <c r="O292" s="4">
        <v>2002.15</v>
      </c>
      <c r="P292" s="4">
        <v>0</v>
      </c>
      <c r="Q292" s="6">
        <f t="shared" si="53"/>
        <v>1277.9106259143982</v>
      </c>
      <c r="R292" s="6">
        <f t="shared" si="46"/>
        <v>11665.78253291834</v>
      </c>
      <c r="S292" s="4">
        <f t="shared" si="47"/>
        <v>54506.349206349209</v>
      </c>
      <c r="T292" s="4">
        <f t="shared" si="48"/>
        <v>9829.9166666666661</v>
      </c>
      <c r="U292" s="4">
        <f t="shared" si="49"/>
        <v>4423.4624999999996</v>
      </c>
      <c r="V292" s="4">
        <f t="shared" ca="1" si="50"/>
        <v>60</v>
      </c>
      <c r="W292" s="20">
        <f t="shared" ca="1" si="55"/>
        <v>76674.63755486389</v>
      </c>
      <c r="X292" s="4">
        <f t="shared" si="51"/>
        <v>-32336.85</v>
      </c>
      <c r="Y292" s="13">
        <f t="shared" si="52"/>
        <v>-0.94169457468184858</v>
      </c>
    </row>
    <row r="293" spans="1:25" x14ac:dyDescent="0.3">
      <c r="A293" s="12" t="s">
        <v>628</v>
      </c>
      <c r="B293" s="7">
        <v>44771</v>
      </c>
      <c r="C293" s="4" t="s">
        <v>629</v>
      </c>
      <c r="D293" s="4" t="s">
        <v>65</v>
      </c>
      <c r="E293" s="4">
        <v>36150</v>
      </c>
      <c r="F293" s="4">
        <v>5.4</v>
      </c>
      <c r="G293" s="4">
        <v>60</v>
      </c>
      <c r="H293" s="4" t="s">
        <v>19</v>
      </c>
      <c r="I293" s="4" t="s">
        <v>57</v>
      </c>
      <c r="J293" s="4" t="s">
        <v>28</v>
      </c>
      <c r="K293" s="4">
        <v>63418</v>
      </c>
      <c r="L293" s="4" t="s">
        <v>29</v>
      </c>
      <c r="M293" s="4">
        <v>0.16</v>
      </c>
      <c r="N293" s="4">
        <v>0.59</v>
      </c>
      <c r="O293" s="4">
        <v>38102.1</v>
      </c>
      <c r="P293" s="4">
        <v>0</v>
      </c>
      <c r="Q293" s="6">
        <f t="shared" si="53"/>
        <v>688.83967761606505</v>
      </c>
      <c r="R293" s="6">
        <f t="shared" si="46"/>
        <v>5180.3806569639055</v>
      </c>
      <c r="S293" s="4">
        <f t="shared" si="47"/>
        <v>61271.186440677971</v>
      </c>
      <c r="T293" s="4">
        <f t="shared" si="48"/>
        <v>5284.833333333333</v>
      </c>
      <c r="U293" s="4">
        <f t="shared" si="49"/>
        <v>845.57333333333327</v>
      </c>
      <c r="V293" s="4">
        <f t="shared" ca="1" si="50"/>
        <v>43</v>
      </c>
      <c r="W293" s="20">
        <f t="shared" ca="1" si="55"/>
        <v>29620.106137490799</v>
      </c>
      <c r="X293" s="4">
        <f t="shared" si="51"/>
        <v>1952.0999999999985</v>
      </c>
      <c r="Y293" s="13">
        <f t="shared" si="52"/>
        <v>5.3999999999999958E-2</v>
      </c>
    </row>
    <row r="294" spans="1:25" x14ac:dyDescent="0.3">
      <c r="A294" s="12" t="s">
        <v>630</v>
      </c>
      <c r="B294" s="7">
        <v>44346</v>
      </c>
      <c r="C294" s="4" t="s">
        <v>631</v>
      </c>
      <c r="D294" s="4" t="s">
        <v>65</v>
      </c>
      <c r="E294" s="4">
        <v>26821</v>
      </c>
      <c r="F294" s="4">
        <v>7.5</v>
      </c>
      <c r="G294" s="4">
        <v>60</v>
      </c>
      <c r="H294" s="4" t="s">
        <v>19</v>
      </c>
      <c r="I294" s="4" t="s">
        <v>57</v>
      </c>
      <c r="J294" s="4" t="s">
        <v>47</v>
      </c>
      <c r="K294" s="4">
        <v>35741</v>
      </c>
      <c r="L294" s="4" t="s">
        <v>29</v>
      </c>
      <c r="M294" s="4">
        <v>0.44</v>
      </c>
      <c r="N294" s="4">
        <v>0.62</v>
      </c>
      <c r="O294" s="4">
        <v>28832.57</v>
      </c>
      <c r="P294" s="4">
        <v>0</v>
      </c>
      <c r="Q294" s="6">
        <f t="shared" si="53"/>
        <v>537.43781928322494</v>
      </c>
      <c r="R294" s="6">
        <f t="shared" si="46"/>
        <v>5425.2691569934977</v>
      </c>
      <c r="S294" s="4">
        <f t="shared" si="47"/>
        <v>43259.677419354841</v>
      </c>
      <c r="T294" s="4">
        <f t="shared" si="48"/>
        <v>2978.4166666666665</v>
      </c>
      <c r="U294" s="4">
        <f t="shared" si="49"/>
        <v>1310.5033333333333</v>
      </c>
      <c r="V294" s="4">
        <f t="shared" ca="1" si="50"/>
        <v>57</v>
      </c>
      <c r="W294" s="20">
        <f t="shared" ca="1" si="55"/>
        <v>30633.955699143822</v>
      </c>
      <c r="X294" s="4">
        <f t="shared" si="51"/>
        <v>2011.5699999999997</v>
      </c>
      <c r="Y294" s="13">
        <f t="shared" si="52"/>
        <v>7.4999813578912042E-2</v>
      </c>
    </row>
    <row r="295" spans="1:25" x14ac:dyDescent="0.3">
      <c r="A295" s="12" t="s">
        <v>632</v>
      </c>
      <c r="B295" s="7">
        <v>44510</v>
      </c>
      <c r="C295" s="4" t="s">
        <v>633</v>
      </c>
      <c r="D295" s="4" t="s">
        <v>50</v>
      </c>
      <c r="E295" s="4">
        <v>27660</v>
      </c>
      <c r="F295" s="4">
        <v>18.2</v>
      </c>
      <c r="G295" s="4">
        <v>36</v>
      </c>
      <c r="H295" s="4" t="s">
        <v>26</v>
      </c>
      <c r="I295" s="4" t="s">
        <v>84</v>
      </c>
      <c r="J295" s="4" t="s">
        <v>37</v>
      </c>
      <c r="K295" s="4">
        <v>141585</v>
      </c>
      <c r="L295" s="4" t="s">
        <v>29</v>
      </c>
      <c r="M295" s="4">
        <v>0.5</v>
      </c>
      <c r="N295" s="4">
        <v>0.57999999999999996</v>
      </c>
      <c r="O295" s="4">
        <v>8174.19</v>
      </c>
      <c r="P295" s="4">
        <v>0</v>
      </c>
      <c r="Q295" s="6">
        <f t="shared" si="53"/>
        <v>1002.7525716653321</v>
      </c>
      <c r="R295" s="6">
        <f t="shared" si="46"/>
        <v>8439.0925799519537</v>
      </c>
      <c r="S295" s="4">
        <f t="shared" si="47"/>
        <v>47689.655172413797</v>
      </c>
      <c r="T295" s="4">
        <f t="shared" si="48"/>
        <v>11798.75</v>
      </c>
      <c r="U295" s="4">
        <f t="shared" si="49"/>
        <v>5899.375</v>
      </c>
      <c r="V295" s="4">
        <f t="shared" ca="1" si="50"/>
        <v>52</v>
      </c>
      <c r="W295" s="20">
        <f t="shared" ca="1" si="55"/>
        <v>52143.133726597269</v>
      </c>
      <c r="X295" s="4">
        <f t="shared" si="51"/>
        <v>-19485.810000000001</v>
      </c>
      <c r="Y295" s="13">
        <f t="shared" si="52"/>
        <v>-0.70447613882863347</v>
      </c>
    </row>
    <row r="296" spans="1:25" x14ac:dyDescent="0.3">
      <c r="A296" s="12" t="s">
        <v>634</v>
      </c>
      <c r="B296" s="7">
        <v>44766</v>
      </c>
      <c r="C296" s="4" t="s">
        <v>635</v>
      </c>
      <c r="D296" s="4" t="s">
        <v>56</v>
      </c>
      <c r="E296" s="4">
        <v>6084</v>
      </c>
      <c r="F296" s="4">
        <v>8.1999999999999993</v>
      </c>
      <c r="G296" s="4">
        <v>60</v>
      </c>
      <c r="H296" s="4" t="s">
        <v>19</v>
      </c>
      <c r="I296" s="4" t="s">
        <v>20</v>
      </c>
      <c r="J296" s="4" t="s">
        <v>28</v>
      </c>
      <c r="K296" s="4">
        <v>102374</v>
      </c>
      <c r="L296" s="4" t="s">
        <v>33</v>
      </c>
      <c r="M296" s="4">
        <v>0.39</v>
      </c>
      <c r="N296" s="4">
        <v>0.54</v>
      </c>
      <c r="O296" s="4">
        <v>6582.89</v>
      </c>
      <c r="P296" s="4">
        <v>0</v>
      </c>
      <c r="Q296" s="6">
        <f t="shared" si="53"/>
        <v>123.94474703204257</v>
      </c>
      <c r="R296" s="6">
        <f t="shared" si="46"/>
        <v>1352.684821922554</v>
      </c>
      <c r="S296" s="4">
        <f t="shared" si="47"/>
        <v>11266.666666666666</v>
      </c>
      <c r="T296" s="4">
        <f t="shared" si="48"/>
        <v>8531.1666666666661</v>
      </c>
      <c r="U296" s="4">
        <f t="shared" si="49"/>
        <v>3327.1549999999997</v>
      </c>
      <c r="V296" s="4">
        <f t="shared" ca="1" si="50"/>
        <v>43</v>
      </c>
      <c r="W296" s="20">
        <f t="shared" ca="1" si="55"/>
        <v>5329.6241223778306</v>
      </c>
      <c r="X296" s="4">
        <f t="shared" si="51"/>
        <v>498.89000000000033</v>
      </c>
      <c r="Y296" s="13">
        <f t="shared" si="52"/>
        <v>8.2000328731098013E-2</v>
      </c>
    </row>
    <row r="297" spans="1:25" x14ac:dyDescent="0.3">
      <c r="A297" s="12" t="s">
        <v>636</v>
      </c>
      <c r="B297" s="7">
        <v>44501</v>
      </c>
      <c r="C297" s="4" t="s">
        <v>637</v>
      </c>
      <c r="D297" s="4" t="s">
        <v>65</v>
      </c>
      <c r="E297" s="4">
        <v>17661</v>
      </c>
      <c r="F297" s="4">
        <v>10.1</v>
      </c>
      <c r="G297" s="4">
        <v>60</v>
      </c>
      <c r="H297" s="4" t="s">
        <v>81</v>
      </c>
      <c r="I297" s="4" t="s">
        <v>84</v>
      </c>
      <c r="J297" s="4" t="s">
        <v>37</v>
      </c>
      <c r="K297" s="4">
        <v>147275</v>
      </c>
      <c r="L297" s="4" t="s">
        <v>33</v>
      </c>
      <c r="M297" s="4">
        <v>0.41</v>
      </c>
      <c r="N297" s="4">
        <v>0.69</v>
      </c>
      <c r="O297" s="4">
        <v>5510.89</v>
      </c>
      <c r="P297" s="4">
        <v>3016.27</v>
      </c>
      <c r="Q297" s="6">
        <f t="shared" si="53"/>
        <v>376.11364043529568</v>
      </c>
      <c r="R297" s="6">
        <f t="shared" si="46"/>
        <v>4905.8184261177412</v>
      </c>
      <c r="S297" s="4">
        <f t="shared" si="47"/>
        <v>25595.652173913044</v>
      </c>
      <c r="T297" s="4">
        <f t="shared" si="48"/>
        <v>12272.916666666666</v>
      </c>
      <c r="U297" s="4">
        <f t="shared" si="49"/>
        <v>5031.895833333333</v>
      </c>
      <c r="V297" s="4">
        <f t="shared" ca="1" si="50"/>
        <v>52</v>
      </c>
      <c r="W297" s="20">
        <v>0</v>
      </c>
      <c r="X297" s="4">
        <f t="shared" si="51"/>
        <v>-9133.84</v>
      </c>
      <c r="Y297" s="13">
        <f t="shared" si="52"/>
        <v>-0.517175697865353</v>
      </c>
    </row>
    <row r="298" spans="1:25" x14ac:dyDescent="0.3">
      <c r="A298" s="12" t="s">
        <v>638</v>
      </c>
      <c r="B298" s="7">
        <v>44878</v>
      </c>
      <c r="C298" s="4" t="s">
        <v>639</v>
      </c>
      <c r="D298" s="4" t="s">
        <v>18</v>
      </c>
      <c r="E298" s="4">
        <v>14507</v>
      </c>
      <c r="F298" s="4">
        <v>23.9</v>
      </c>
      <c r="G298" s="4">
        <v>60</v>
      </c>
      <c r="H298" s="4" t="s">
        <v>19</v>
      </c>
      <c r="I298" s="4" t="s">
        <v>27</v>
      </c>
      <c r="J298" s="4" t="s">
        <v>47</v>
      </c>
      <c r="K298" s="4">
        <v>98798</v>
      </c>
      <c r="L298" s="4" t="s">
        <v>22</v>
      </c>
      <c r="M298" s="4">
        <v>0.5</v>
      </c>
      <c r="N298" s="4">
        <v>0.55000000000000004</v>
      </c>
      <c r="O298" s="4">
        <v>17974.169999999998</v>
      </c>
      <c r="P298" s="4">
        <v>0</v>
      </c>
      <c r="Q298" s="6">
        <f t="shared" si="53"/>
        <v>416.4952636575407</v>
      </c>
      <c r="R298" s="6">
        <f t="shared" si="46"/>
        <v>10482.715819452442</v>
      </c>
      <c r="S298" s="4">
        <f t="shared" si="47"/>
        <v>26376.363636363636</v>
      </c>
      <c r="T298" s="4">
        <f t="shared" si="48"/>
        <v>8233.1666666666661</v>
      </c>
      <c r="U298" s="4">
        <f t="shared" si="49"/>
        <v>4116.583333333333</v>
      </c>
      <c r="V298" s="4">
        <f t="shared" ca="1" si="50"/>
        <v>40</v>
      </c>
      <c r="W298" s="20">
        <f ca="1">V298*Q298</f>
        <v>16659.810546301629</v>
      </c>
      <c r="X298" s="4">
        <f t="shared" si="51"/>
        <v>3467.1699999999983</v>
      </c>
      <c r="Y298" s="13">
        <f t="shared" si="52"/>
        <v>0.23899979320328105</v>
      </c>
    </row>
    <row r="299" spans="1:25" x14ac:dyDescent="0.3">
      <c r="A299" s="12" t="s">
        <v>640</v>
      </c>
      <c r="B299" s="7">
        <v>45034</v>
      </c>
      <c r="C299" s="4" t="s">
        <v>641</v>
      </c>
      <c r="D299" s="4" t="s">
        <v>50</v>
      </c>
      <c r="E299" s="4">
        <v>8059</v>
      </c>
      <c r="F299" s="4">
        <v>16.2</v>
      </c>
      <c r="G299" s="4">
        <v>36</v>
      </c>
      <c r="H299" s="4" t="s">
        <v>19</v>
      </c>
      <c r="I299" s="4" t="s">
        <v>27</v>
      </c>
      <c r="J299" s="4" t="s">
        <v>37</v>
      </c>
      <c r="K299" s="4">
        <v>146026</v>
      </c>
      <c r="L299" s="4" t="s">
        <v>29</v>
      </c>
      <c r="M299" s="4">
        <v>0.34</v>
      </c>
      <c r="N299" s="4">
        <v>0.57999999999999996</v>
      </c>
      <c r="O299" s="4">
        <v>9364.56</v>
      </c>
      <c r="P299" s="4">
        <v>0</v>
      </c>
      <c r="Q299" s="6">
        <f t="shared" si="53"/>
        <v>284.12692138278732</v>
      </c>
      <c r="R299" s="6">
        <f t="shared" si="46"/>
        <v>2169.5691697803431</v>
      </c>
      <c r="S299" s="4">
        <f t="shared" si="47"/>
        <v>13894.827586206897</v>
      </c>
      <c r="T299" s="4">
        <f t="shared" si="48"/>
        <v>12168.833333333334</v>
      </c>
      <c r="U299" s="4">
        <f t="shared" si="49"/>
        <v>4137.4033333333336</v>
      </c>
      <c r="V299" s="4">
        <f t="shared" ca="1" si="50"/>
        <v>35</v>
      </c>
      <c r="W299" s="20">
        <f ca="1">V299*Q299</f>
        <v>9944.4422483975559</v>
      </c>
      <c r="X299" s="4">
        <f t="shared" si="51"/>
        <v>1305.5599999999995</v>
      </c>
      <c r="Y299" s="13">
        <f t="shared" si="52"/>
        <v>0.16200024816974803</v>
      </c>
    </row>
    <row r="300" spans="1:25" x14ac:dyDescent="0.3">
      <c r="A300" s="12" t="s">
        <v>642</v>
      </c>
      <c r="B300" s="7">
        <v>45274</v>
      </c>
      <c r="C300" s="4" t="s">
        <v>643</v>
      </c>
      <c r="D300" s="4" t="s">
        <v>65</v>
      </c>
      <c r="E300" s="4">
        <v>19271</v>
      </c>
      <c r="F300" s="4">
        <v>20</v>
      </c>
      <c r="G300" s="4">
        <v>60</v>
      </c>
      <c r="H300" s="4" t="s">
        <v>81</v>
      </c>
      <c r="I300" s="4" t="s">
        <v>57</v>
      </c>
      <c r="J300" s="4" t="s">
        <v>47</v>
      </c>
      <c r="K300" s="4">
        <v>100532</v>
      </c>
      <c r="L300" s="4" t="s">
        <v>22</v>
      </c>
      <c r="M300" s="4">
        <v>0.22</v>
      </c>
      <c r="N300" s="4">
        <v>0.75</v>
      </c>
      <c r="O300" s="4">
        <v>6496.68</v>
      </c>
      <c r="P300" s="4">
        <v>2294.8000000000002</v>
      </c>
      <c r="Q300" s="6">
        <f t="shared" si="53"/>
        <v>510.56363307149701</v>
      </c>
      <c r="R300" s="6">
        <f t="shared" si="46"/>
        <v>11362.817984289821</v>
      </c>
      <c r="S300" s="4">
        <f t="shared" si="47"/>
        <v>25694.666666666668</v>
      </c>
      <c r="T300" s="4">
        <f t="shared" si="48"/>
        <v>8377.6666666666661</v>
      </c>
      <c r="U300" s="4">
        <f t="shared" si="49"/>
        <v>1843.0866666666666</v>
      </c>
      <c r="V300" s="4">
        <f t="shared" ca="1" si="50"/>
        <v>27</v>
      </c>
      <c r="W300" s="20">
        <v>0</v>
      </c>
      <c r="X300" s="4">
        <f t="shared" si="51"/>
        <v>-10479.52</v>
      </c>
      <c r="Y300" s="13">
        <f t="shared" si="52"/>
        <v>-0.54379741580613361</v>
      </c>
    </row>
    <row r="301" spans="1:25" x14ac:dyDescent="0.3">
      <c r="A301" s="12" t="s">
        <v>644</v>
      </c>
      <c r="B301" s="7">
        <v>45199</v>
      </c>
      <c r="C301" s="4" t="s">
        <v>645</v>
      </c>
      <c r="D301" s="4" t="s">
        <v>46</v>
      </c>
      <c r="E301" s="4">
        <v>8491</v>
      </c>
      <c r="F301" s="4">
        <v>16.2</v>
      </c>
      <c r="G301" s="4">
        <v>36</v>
      </c>
      <c r="H301" s="4" t="s">
        <v>26</v>
      </c>
      <c r="I301" s="4" t="s">
        <v>27</v>
      </c>
      <c r="J301" s="4" t="s">
        <v>47</v>
      </c>
      <c r="K301" s="4">
        <v>140130</v>
      </c>
      <c r="L301" s="4" t="s">
        <v>29</v>
      </c>
      <c r="M301" s="4">
        <v>0.44</v>
      </c>
      <c r="N301" s="4">
        <v>0.56999999999999995</v>
      </c>
      <c r="O301" s="4">
        <v>1164.82</v>
      </c>
      <c r="P301" s="4">
        <v>0</v>
      </c>
      <c r="Q301" s="6">
        <f t="shared" si="53"/>
        <v>299.35744998898707</v>
      </c>
      <c r="R301" s="6">
        <f t="shared" si="46"/>
        <v>2285.8681996035339</v>
      </c>
      <c r="S301" s="4">
        <f t="shared" si="47"/>
        <v>14896.491228070177</v>
      </c>
      <c r="T301" s="4">
        <f t="shared" si="48"/>
        <v>11677.5</v>
      </c>
      <c r="U301" s="4">
        <f t="shared" si="49"/>
        <v>5138.1000000000004</v>
      </c>
      <c r="V301" s="4">
        <f t="shared" ca="1" si="50"/>
        <v>29</v>
      </c>
      <c r="W301" s="20">
        <f t="shared" ref="W301:W307" ca="1" si="56">V301*Q301</f>
        <v>8681.3660496806242</v>
      </c>
      <c r="X301" s="4">
        <f t="shared" si="51"/>
        <v>-7326.18</v>
      </c>
      <c r="Y301" s="13">
        <f t="shared" si="52"/>
        <v>-0.86281710045930993</v>
      </c>
    </row>
    <row r="302" spans="1:25" x14ac:dyDescent="0.3">
      <c r="A302" s="12" t="s">
        <v>646</v>
      </c>
      <c r="B302" s="7">
        <v>44640</v>
      </c>
      <c r="C302" s="4" t="s">
        <v>647</v>
      </c>
      <c r="D302" s="4" t="s">
        <v>72</v>
      </c>
      <c r="E302" s="4">
        <v>15859</v>
      </c>
      <c r="F302" s="4">
        <v>16.100000000000001</v>
      </c>
      <c r="G302" s="4">
        <v>60</v>
      </c>
      <c r="H302" s="4" t="s">
        <v>19</v>
      </c>
      <c r="I302" s="4" t="s">
        <v>73</v>
      </c>
      <c r="J302" s="4" t="s">
        <v>21</v>
      </c>
      <c r="K302" s="4">
        <v>52164</v>
      </c>
      <c r="L302" s="4" t="s">
        <v>22</v>
      </c>
      <c r="M302" s="4">
        <v>0.35</v>
      </c>
      <c r="N302" s="4">
        <v>0.53</v>
      </c>
      <c r="O302" s="4">
        <v>18412.3</v>
      </c>
      <c r="P302" s="4">
        <v>0</v>
      </c>
      <c r="Q302" s="6">
        <f t="shared" si="53"/>
        <v>386.50321456336673</v>
      </c>
      <c r="R302" s="6">
        <f t="shared" si="46"/>
        <v>7331.1928738020033</v>
      </c>
      <c r="S302" s="4">
        <f t="shared" si="47"/>
        <v>29922.641509433961</v>
      </c>
      <c r="T302" s="4">
        <f t="shared" si="48"/>
        <v>4347</v>
      </c>
      <c r="U302" s="4">
        <f t="shared" si="49"/>
        <v>1521.4499999999998</v>
      </c>
      <c r="V302" s="4">
        <f t="shared" ca="1" si="50"/>
        <v>47</v>
      </c>
      <c r="W302" s="20">
        <f t="shared" ca="1" si="56"/>
        <v>18165.651084478235</v>
      </c>
      <c r="X302" s="4">
        <f t="shared" si="51"/>
        <v>2553.2999999999993</v>
      </c>
      <c r="Y302" s="13">
        <f t="shared" si="52"/>
        <v>0.16100006305567813</v>
      </c>
    </row>
    <row r="303" spans="1:25" x14ac:dyDescent="0.3">
      <c r="A303" s="12" t="s">
        <v>648</v>
      </c>
      <c r="B303" s="7">
        <v>44809</v>
      </c>
      <c r="C303" s="4" t="s">
        <v>649</v>
      </c>
      <c r="D303" s="4" t="s">
        <v>40</v>
      </c>
      <c r="E303" s="4">
        <v>9073</v>
      </c>
      <c r="F303" s="4">
        <v>6.9</v>
      </c>
      <c r="G303" s="4">
        <v>36</v>
      </c>
      <c r="H303" s="4" t="s">
        <v>26</v>
      </c>
      <c r="I303" s="4" t="s">
        <v>27</v>
      </c>
      <c r="J303" s="4" t="s">
        <v>37</v>
      </c>
      <c r="K303" s="4">
        <v>65595</v>
      </c>
      <c r="L303" s="4" t="s">
        <v>33</v>
      </c>
      <c r="M303" s="4">
        <v>0.33</v>
      </c>
      <c r="N303" s="4">
        <v>0.64</v>
      </c>
      <c r="O303" s="4">
        <v>1522.35</v>
      </c>
      <c r="P303" s="4">
        <v>0</v>
      </c>
      <c r="Q303" s="6">
        <f t="shared" si="53"/>
        <v>279.73325447645345</v>
      </c>
      <c r="R303" s="6">
        <f t="shared" si="46"/>
        <v>997.39716115232477</v>
      </c>
      <c r="S303" s="4">
        <f t="shared" si="47"/>
        <v>14176.5625</v>
      </c>
      <c r="T303" s="4">
        <f t="shared" si="48"/>
        <v>5466.25</v>
      </c>
      <c r="U303" s="4">
        <f t="shared" si="49"/>
        <v>1803.8625000000002</v>
      </c>
      <c r="V303" s="4">
        <f t="shared" ca="1" si="50"/>
        <v>42</v>
      </c>
      <c r="W303" s="20">
        <f t="shared" ca="1" si="56"/>
        <v>11748.796688011045</v>
      </c>
      <c r="X303" s="4">
        <f t="shared" si="51"/>
        <v>-7550.65</v>
      </c>
      <c r="Y303" s="13">
        <f t="shared" si="52"/>
        <v>-0.83221095558249747</v>
      </c>
    </row>
    <row r="304" spans="1:25" x14ac:dyDescent="0.3">
      <c r="A304" s="12" t="s">
        <v>650</v>
      </c>
      <c r="B304" s="7">
        <v>45189</v>
      </c>
      <c r="C304" s="4" t="s">
        <v>651</v>
      </c>
      <c r="D304" s="4" t="s">
        <v>56</v>
      </c>
      <c r="E304" s="4">
        <v>10077</v>
      </c>
      <c r="F304" s="4">
        <v>11.9</v>
      </c>
      <c r="G304" s="4">
        <v>60</v>
      </c>
      <c r="H304" s="4" t="s">
        <v>26</v>
      </c>
      <c r="I304" s="4" t="s">
        <v>57</v>
      </c>
      <c r="J304" s="4" t="s">
        <v>32</v>
      </c>
      <c r="K304" s="4">
        <v>60257</v>
      </c>
      <c r="L304" s="4" t="s">
        <v>29</v>
      </c>
      <c r="M304" s="4">
        <v>0.2</v>
      </c>
      <c r="N304" s="4">
        <v>0.6</v>
      </c>
      <c r="O304" s="4">
        <v>2828.27</v>
      </c>
      <c r="P304" s="4">
        <v>0</v>
      </c>
      <c r="Q304" s="6">
        <f t="shared" si="53"/>
        <v>223.648408121594</v>
      </c>
      <c r="R304" s="6">
        <f t="shared" si="46"/>
        <v>3341.9044872956401</v>
      </c>
      <c r="S304" s="4">
        <f t="shared" si="47"/>
        <v>16795</v>
      </c>
      <c r="T304" s="4">
        <f t="shared" si="48"/>
        <v>5021.416666666667</v>
      </c>
      <c r="U304" s="4">
        <f t="shared" si="49"/>
        <v>1004.2833333333334</v>
      </c>
      <c r="V304" s="4">
        <f t="shared" ca="1" si="50"/>
        <v>29</v>
      </c>
      <c r="W304" s="20">
        <f t="shared" ca="1" si="56"/>
        <v>6485.8038355262261</v>
      </c>
      <c r="X304" s="4">
        <f t="shared" si="51"/>
        <v>-7248.73</v>
      </c>
      <c r="Y304" s="13">
        <f t="shared" si="52"/>
        <v>-0.71933412722040291</v>
      </c>
    </row>
    <row r="305" spans="1:25" x14ac:dyDescent="0.3">
      <c r="A305" s="12" t="s">
        <v>652</v>
      </c>
      <c r="B305" s="7">
        <v>44460</v>
      </c>
      <c r="C305" s="4" t="s">
        <v>653</v>
      </c>
      <c r="D305" s="4" t="s">
        <v>18</v>
      </c>
      <c r="E305" s="4">
        <v>21953</v>
      </c>
      <c r="F305" s="4">
        <v>10.6</v>
      </c>
      <c r="G305" s="4">
        <v>36</v>
      </c>
      <c r="H305" s="4" t="s">
        <v>19</v>
      </c>
      <c r="I305" s="4" t="s">
        <v>73</v>
      </c>
      <c r="J305" s="4" t="s">
        <v>21</v>
      </c>
      <c r="K305" s="4">
        <v>44211</v>
      </c>
      <c r="L305" s="4" t="s">
        <v>33</v>
      </c>
      <c r="M305" s="4">
        <v>0.4</v>
      </c>
      <c r="N305" s="4">
        <v>0.73</v>
      </c>
      <c r="O305" s="4">
        <v>24280.02</v>
      </c>
      <c r="P305" s="4">
        <v>0</v>
      </c>
      <c r="Q305" s="6">
        <f t="shared" si="53"/>
        <v>714.56173966453468</v>
      </c>
      <c r="R305" s="6">
        <f t="shared" si="46"/>
        <v>3771.2226279232491</v>
      </c>
      <c r="S305" s="4">
        <f t="shared" si="47"/>
        <v>30072.60273972603</v>
      </c>
      <c r="T305" s="4">
        <f t="shared" si="48"/>
        <v>3684.25</v>
      </c>
      <c r="U305" s="4">
        <f t="shared" si="49"/>
        <v>1473.7</v>
      </c>
      <c r="V305" s="4">
        <f t="shared" ca="1" si="50"/>
        <v>53</v>
      </c>
      <c r="W305" s="20">
        <f t="shared" ca="1" si="56"/>
        <v>37871.772202220338</v>
      </c>
      <c r="X305" s="4">
        <f t="shared" si="51"/>
        <v>2327.0200000000004</v>
      </c>
      <c r="Y305" s="13">
        <f t="shared" si="52"/>
        <v>0.10600009110372161</v>
      </c>
    </row>
    <row r="306" spans="1:25" x14ac:dyDescent="0.3">
      <c r="A306" s="12" t="s">
        <v>654</v>
      </c>
      <c r="B306" s="7">
        <v>45273</v>
      </c>
      <c r="C306" s="4" t="s">
        <v>655</v>
      </c>
      <c r="D306" s="4" t="s">
        <v>53</v>
      </c>
      <c r="E306" s="4">
        <v>12383</v>
      </c>
      <c r="F306" s="4">
        <v>12.8</v>
      </c>
      <c r="G306" s="4">
        <v>36</v>
      </c>
      <c r="H306" s="4" t="s">
        <v>19</v>
      </c>
      <c r="I306" s="4" t="s">
        <v>27</v>
      </c>
      <c r="J306" s="4" t="s">
        <v>47</v>
      </c>
      <c r="K306" s="4">
        <v>125989</v>
      </c>
      <c r="L306" s="4" t="s">
        <v>29</v>
      </c>
      <c r="M306" s="4">
        <v>0.13</v>
      </c>
      <c r="N306" s="4">
        <v>0.55000000000000004</v>
      </c>
      <c r="O306" s="4">
        <v>13968.02</v>
      </c>
      <c r="P306" s="4">
        <v>0</v>
      </c>
      <c r="Q306" s="6">
        <f t="shared" si="53"/>
        <v>416.04032238119407</v>
      </c>
      <c r="R306" s="6">
        <f t="shared" si="46"/>
        <v>2594.4516057229866</v>
      </c>
      <c r="S306" s="4">
        <f t="shared" si="47"/>
        <v>22514.545454545452</v>
      </c>
      <c r="T306" s="4">
        <f t="shared" si="48"/>
        <v>10499.083333333334</v>
      </c>
      <c r="U306" s="4">
        <f t="shared" si="49"/>
        <v>1364.8808333333334</v>
      </c>
      <c r="V306" s="4">
        <f t="shared" ca="1" si="50"/>
        <v>27</v>
      </c>
      <c r="W306" s="20">
        <f t="shared" ca="1" si="56"/>
        <v>11233.08870429224</v>
      </c>
      <c r="X306" s="4">
        <f t="shared" si="51"/>
        <v>1585.0200000000004</v>
      </c>
      <c r="Y306" s="13">
        <f t="shared" si="52"/>
        <v>0.12799967697650008</v>
      </c>
    </row>
    <row r="307" spans="1:25" x14ac:dyDescent="0.3">
      <c r="A307" s="12" t="s">
        <v>656</v>
      </c>
      <c r="B307" s="7">
        <v>45200</v>
      </c>
      <c r="C307" s="4" t="s">
        <v>657</v>
      </c>
      <c r="D307" s="4" t="s">
        <v>76</v>
      </c>
      <c r="E307" s="4">
        <v>3353</v>
      </c>
      <c r="F307" s="4">
        <v>21</v>
      </c>
      <c r="G307" s="4">
        <v>36</v>
      </c>
      <c r="H307" s="4" t="s">
        <v>26</v>
      </c>
      <c r="I307" s="4" t="s">
        <v>20</v>
      </c>
      <c r="J307" s="4" t="s">
        <v>32</v>
      </c>
      <c r="K307" s="4">
        <v>35232</v>
      </c>
      <c r="L307" s="4" t="s">
        <v>22</v>
      </c>
      <c r="M307" s="4">
        <v>0.47</v>
      </c>
      <c r="N307" s="4">
        <v>0.84</v>
      </c>
      <c r="O307" s="4">
        <v>666.48</v>
      </c>
      <c r="P307" s="4">
        <v>0</v>
      </c>
      <c r="Q307" s="6">
        <f t="shared" si="53"/>
        <v>126.32450077825099</v>
      </c>
      <c r="R307" s="6">
        <f t="shared" si="46"/>
        <v>1194.6820280170359</v>
      </c>
      <c r="S307" s="4">
        <f t="shared" si="47"/>
        <v>3991.666666666667</v>
      </c>
      <c r="T307" s="4">
        <f t="shared" si="48"/>
        <v>2936</v>
      </c>
      <c r="U307" s="4">
        <f t="shared" si="49"/>
        <v>1379.9199999999998</v>
      </c>
      <c r="V307" s="4">
        <f t="shared" ca="1" si="50"/>
        <v>29</v>
      </c>
      <c r="W307" s="20">
        <f t="shared" ca="1" si="56"/>
        <v>3663.4105225692788</v>
      </c>
      <c r="X307" s="4">
        <f t="shared" si="51"/>
        <v>-2686.52</v>
      </c>
      <c r="Y307" s="13">
        <f t="shared" si="52"/>
        <v>-0.8012287503728005</v>
      </c>
    </row>
    <row r="308" spans="1:25" x14ac:dyDescent="0.3">
      <c r="A308" s="12" t="s">
        <v>658</v>
      </c>
      <c r="B308" s="7">
        <v>44201</v>
      </c>
      <c r="C308" s="4" t="s">
        <v>659</v>
      </c>
      <c r="D308" s="4" t="s">
        <v>18</v>
      </c>
      <c r="E308" s="4">
        <v>24821</v>
      </c>
      <c r="F308" s="4">
        <v>12.4</v>
      </c>
      <c r="G308" s="4">
        <v>60</v>
      </c>
      <c r="H308" s="4" t="s">
        <v>81</v>
      </c>
      <c r="I308" s="4" t="s">
        <v>57</v>
      </c>
      <c r="J308" s="4" t="s">
        <v>28</v>
      </c>
      <c r="K308" s="4">
        <v>97753</v>
      </c>
      <c r="L308" s="4" t="s">
        <v>29</v>
      </c>
      <c r="M308" s="4">
        <v>0.23</v>
      </c>
      <c r="N308" s="4">
        <v>0.91</v>
      </c>
      <c r="O308" s="4">
        <v>8889.73</v>
      </c>
      <c r="P308" s="4">
        <v>5061.28</v>
      </c>
      <c r="Q308" s="6">
        <f t="shared" si="53"/>
        <v>557.15967715166516</v>
      </c>
      <c r="R308" s="6">
        <f t="shared" si="46"/>
        <v>8608.5806290999099</v>
      </c>
      <c r="S308" s="4">
        <f t="shared" si="47"/>
        <v>27275.824175824175</v>
      </c>
      <c r="T308" s="4">
        <f t="shared" si="48"/>
        <v>8146.083333333333</v>
      </c>
      <c r="U308" s="4">
        <f t="shared" si="49"/>
        <v>1873.5991666666666</v>
      </c>
      <c r="V308" s="4">
        <f t="shared" ca="1" si="50"/>
        <v>62</v>
      </c>
      <c r="W308" s="20">
        <v>0</v>
      </c>
      <c r="X308" s="4">
        <f t="shared" si="51"/>
        <v>-10869.990000000002</v>
      </c>
      <c r="Y308" s="13">
        <f t="shared" si="52"/>
        <v>-0.43793521614761699</v>
      </c>
    </row>
    <row r="309" spans="1:25" x14ac:dyDescent="0.3">
      <c r="A309" s="12" t="s">
        <v>660</v>
      </c>
      <c r="B309" s="7">
        <v>44970</v>
      </c>
      <c r="C309" s="4" t="s">
        <v>661</v>
      </c>
      <c r="D309" s="4" t="s">
        <v>65</v>
      </c>
      <c r="E309" s="4">
        <v>38567</v>
      </c>
      <c r="F309" s="4">
        <v>14</v>
      </c>
      <c r="G309" s="4">
        <v>60</v>
      </c>
      <c r="H309" s="4" t="s">
        <v>19</v>
      </c>
      <c r="I309" s="4" t="s">
        <v>41</v>
      </c>
      <c r="J309" s="4" t="s">
        <v>28</v>
      </c>
      <c r="K309" s="4">
        <v>82691</v>
      </c>
      <c r="L309" s="4" t="s">
        <v>33</v>
      </c>
      <c r="M309" s="4">
        <v>0.15</v>
      </c>
      <c r="N309" s="4">
        <v>0.83</v>
      </c>
      <c r="O309" s="4">
        <v>43966.38</v>
      </c>
      <c r="P309" s="4">
        <v>0</v>
      </c>
      <c r="Q309" s="6">
        <f t="shared" si="53"/>
        <v>897.38663050833532</v>
      </c>
      <c r="R309" s="6">
        <f t="shared" si="46"/>
        <v>15276.197830500118</v>
      </c>
      <c r="S309" s="4">
        <f t="shared" si="47"/>
        <v>46466.265060240963</v>
      </c>
      <c r="T309" s="4">
        <f t="shared" si="48"/>
        <v>6890.916666666667</v>
      </c>
      <c r="U309" s="4">
        <f t="shared" si="49"/>
        <v>1033.6375</v>
      </c>
      <c r="V309" s="4">
        <f t="shared" ca="1" si="50"/>
        <v>37</v>
      </c>
      <c r="W309" s="20">
        <f ca="1">V309*Q309</f>
        <v>33203.305328808405</v>
      </c>
      <c r="X309" s="4">
        <f t="shared" si="51"/>
        <v>5399.3799999999974</v>
      </c>
      <c r="Y309" s="13">
        <f t="shared" si="52"/>
        <v>0.13999999999999993</v>
      </c>
    </row>
    <row r="310" spans="1:25" x14ac:dyDescent="0.3">
      <c r="A310" s="12" t="s">
        <v>662</v>
      </c>
      <c r="B310" s="7">
        <v>45073</v>
      </c>
      <c r="C310" s="4" t="s">
        <v>663</v>
      </c>
      <c r="D310" s="4" t="s">
        <v>18</v>
      </c>
      <c r="E310" s="4">
        <v>25860</v>
      </c>
      <c r="F310" s="4">
        <v>12.9</v>
      </c>
      <c r="G310" s="4">
        <v>60</v>
      </c>
      <c r="H310" s="4" t="s">
        <v>81</v>
      </c>
      <c r="I310" s="4" t="s">
        <v>20</v>
      </c>
      <c r="J310" s="4" t="s">
        <v>21</v>
      </c>
      <c r="K310" s="4">
        <v>119765</v>
      </c>
      <c r="L310" s="4" t="s">
        <v>29</v>
      </c>
      <c r="M310" s="4">
        <v>0.28000000000000003</v>
      </c>
      <c r="N310" s="4">
        <v>0.74</v>
      </c>
      <c r="O310" s="4">
        <v>6261.43</v>
      </c>
      <c r="P310" s="4">
        <v>5898.18</v>
      </c>
      <c r="Q310" s="6">
        <f t="shared" si="53"/>
        <v>587.07151749637615</v>
      </c>
      <c r="R310" s="6">
        <f t="shared" si="46"/>
        <v>9364.2910497825651</v>
      </c>
      <c r="S310" s="4">
        <f t="shared" si="47"/>
        <v>34945.945945945947</v>
      </c>
      <c r="T310" s="4">
        <f t="shared" si="48"/>
        <v>9980.4166666666661</v>
      </c>
      <c r="U310" s="4">
        <f t="shared" si="49"/>
        <v>2794.5166666666669</v>
      </c>
      <c r="V310" s="4">
        <f t="shared" ca="1" si="50"/>
        <v>33</v>
      </c>
      <c r="W310" s="20">
        <v>0</v>
      </c>
      <c r="X310" s="4">
        <f t="shared" si="51"/>
        <v>-13700.39</v>
      </c>
      <c r="Y310" s="13">
        <f t="shared" si="52"/>
        <v>-0.52979079659706108</v>
      </c>
    </row>
    <row r="311" spans="1:25" x14ac:dyDescent="0.3">
      <c r="A311" s="12" t="s">
        <v>664</v>
      </c>
      <c r="B311" s="7">
        <v>45188</v>
      </c>
      <c r="C311" s="4" t="s">
        <v>665</v>
      </c>
      <c r="D311" s="4" t="s">
        <v>53</v>
      </c>
      <c r="E311" s="4">
        <v>22195</v>
      </c>
      <c r="F311" s="4">
        <v>6.9</v>
      </c>
      <c r="G311" s="4">
        <v>36</v>
      </c>
      <c r="H311" s="4" t="s">
        <v>81</v>
      </c>
      <c r="I311" s="4" t="s">
        <v>57</v>
      </c>
      <c r="J311" s="4" t="s">
        <v>32</v>
      </c>
      <c r="K311" s="4">
        <v>109768</v>
      </c>
      <c r="L311" s="4" t="s">
        <v>22</v>
      </c>
      <c r="M311" s="4">
        <v>0.12</v>
      </c>
      <c r="N311" s="4">
        <v>0.89</v>
      </c>
      <c r="O311" s="4">
        <v>7543.49</v>
      </c>
      <c r="P311" s="4">
        <v>5682.73</v>
      </c>
      <c r="Q311" s="6">
        <f t="shared" si="53"/>
        <v>684.30283071805184</v>
      </c>
      <c r="R311" s="6">
        <f t="shared" si="46"/>
        <v>2439.901905849867</v>
      </c>
      <c r="S311" s="4">
        <f t="shared" si="47"/>
        <v>24938.20224719101</v>
      </c>
      <c r="T311" s="4">
        <f t="shared" si="48"/>
        <v>9147.3333333333339</v>
      </c>
      <c r="U311" s="4">
        <f t="shared" si="49"/>
        <v>1097.68</v>
      </c>
      <c r="V311" s="4">
        <f t="shared" ca="1" si="50"/>
        <v>30</v>
      </c>
      <c r="W311" s="20">
        <v>0</v>
      </c>
      <c r="X311" s="4">
        <f t="shared" si="51"/>
        <v>-8968.7800000000007</v>
      </c>
      <c r="Y311" s="13">
        <f t="shared" si="52"/>
        <v>-0.40409011038522191</v>
      </c>
    </row>
    <row r="312" spans="1:25" x14ac:dyDescent="0.3">
      <c r="A312" s="12" t="s">
        <v>666</v>
      </c>
      <c r="B312" s="7">
        <v>45080</v>
      </c>
      <c r="C312" s="4" t="s">
        <v>667</v>
      </c>
      <c r="D312" s="4" t="s">
        <v>76</v>
      </c>
      <c r="E312" s="4">
        <v>12939</v>
      </c>
      <c r="F312" s="4">
        <v>13.8</v>
      </c>
      <c r="G312" s="4">
        <v>60</v>
      </c>
      <c r="H312" s="4" t="s">
        <v>19</v>
      </c>
      <c r="I312" s="4" t="s">
        <v>57</v>
      </c>
      <c r="J312" s="4" t="s">
        <v>37</v>
      </c>
      <c r="K312" s="4">
        <v>55613</v>
      </c>
      <c r="L312" s="4" t="s">
        <v>29</v>
      </c>
      <c r="M312" s="4">
        <v>0.37</v>
      </c>
      <c r="N312" s="4">
        <v>0.81</v>
      </c>
      <c r="O312" s="4">
        <v>14724.58</v>
      </c>
      <c r="P312" s="4">
        <v>0</v>
      </c>
      <c r="Q312" s="6">
        <f t="shared" si="53"/>
        <v>299.72796923528</v>
      </c>
      <c r="R312" s="6">
        <f t="shared" si="46"/>
        <v>5044.6781541167984</v>
      </c>
      <c r="S312" s="4">
        <f t="shared" si="47"/>
        <v>15974.074074074073</v>
      </c>
      <c r="T312" s="4">
        <f t="shared" si="48"/>
        <v>4634.416666666667</v>
      </c>
      <c r="U312" s="4">
        <f t="shared" si="49"/>
        <v>1714.7341666666669</v>
      </c>
      <c r="V312" s="4">
        <f t="shared" ca="1" si="50"/>
        <v>33</v>
      </c>
      <c r="W312" s="20">
        <f ca="1">V312*Q312</f>
        <v>9891.0229847642404</v>
      </c>
      <c r="X312" s="4">
        <f t="shared" si="51"/>
        <v>1785.58</v>
      </c>
      <c r="Y312" s="13">
        <f t="shared" si="52"/>
        <v>0.13799984542854934</v>
      </c>
    </row>
    <row r="313" spans="1:25" x14ac:dyDescent="0.3">
      <c r="A313" s="12" t="s">
        <v>668</v>
      </c>
      <c r="B313" s="7">
        <v>44243</v>
      </c>
      <c r="C313" s="4" t="s">
        <v>669</v>
      </c>
      <c r="D313" s="4" t="s">
        <v>50</v>
      </c>
      <c r="E313" s="4">
        <v>26338</v>
      </c>
      <c r="F313" s="4">
        <v>8.9</v>
      </c>
      <c r="G313" s="4">
        <v>36</v>
      </c>
      <c r="H313" s="4" t="s">
        <v>26</v>
      </c>
      <c r="I313" s="4" t="s">
        <v>27</v>
      </c>
      <c r="J313" s="4" t="s">
        <v>32</v>
      </c>
      <c r="K313" s="4">
        <v>44026</v>
      </c>
      <c r="L313" s="4" t="s">
        <v>33</v>
      </c>
      <c r="M313" s="4">
        <v>0.46</v>
      </c>
      <c r="N313" s="4">
        <v>0.5</v>
      </c>
      <c r="O313" s="4">
        <v>8198.4599999999991</v>
      </c>
      <c r="P313" s="4">
        <v>0</v>
      </c>
      <c r="Q313" s="6">
        <f t="shared" si="53"/>
        <v>836.31609288200013</v>
      </c>
      <c r="R313" s="6">
        <f t="shared" si="46"/>
        <v>3769.3793437520035</v>
      </c>
      <c r="S313" s="4">
        <f t="shared" si="47"/>
        <v>52676</v>
      </c>
      <c r="T313" s="4">
        <f t="shared" si="48"/>
        <v>3668.8333333333335</v>
      </c>
      <c r="U313" s="4">
        <f t="shared" si="49"/>
        <v>1687.6633333333334</v>
      </c>
      <c r="V313" s="4">
        <f t="shared" ca="1" si="50"/>
        <v>61</v>
      </c>
      <c r="W313" s="20">
        <f ca="1">V313*Q313</f>
        <v>51015.281665802009</v>
      </c>
      <c r="X313" s="4">
        <f t="shared" si="51"/>
        <v>-18139.54</v>
      </c>
      <c r="Y313" s="13">
        <f t="shared" si="52"/>
        <v>-0.68872123927405271</v>
      </c>
    </row>
    <row r="314" spans="1:25" x14ac:dyDescent="0.3">
      <c r="A314" s="12" t="s">
        <v>670</v>
      </c>
      <c r="B314" s="7">
        <v>45063</v>
      </c>
      <c r="C314" s="4" t="s">
        <v>671</v>
      </c>
      <c r="D314" s="4" t="s">
        <v>65</v>
      </c>
      <c r="E314" s="4">
        <v>22730</v>
      </c>
      <c r="F314" s="4">
        <v>8.6999999999999993</v>
      </c>
      <c r="G314" s="4">
        <v>60</v>
      </c>
      <c r="H314" s="4" t="s">
        <v>19</v>
      </c>
      <c r="I314" s="4" t="s">
        <v>20</v>
      </c>
      <c r="J314" s="4" t="s">
        <v>21</v>
      </c>
      <c r="K314" s="4">
        <v>83535</v>
      </c>
      <c r="L314" s="4" t="s">
        <v>22</v>
      </c>
      <c r="M314" s="4">
        <v>0.43</v>
      </c>
      <c r="N314" s="4">
        <v>0.68</v>
      </c>
      <c r="O314" s="4">
        <v>24707.51</v>
      </c>
      <c r="P314" s="4">
        <v>0</v>
      </c>
      <c r="Q314" s="6">
        <f t="shared" si="53"/>
        <v>468.53482473100115</v>
      </c>
      <c r="R314" s="6">
        <f t="shared" si="46"/>
        <v>5382.0894838600689</v>
      </c>
      <c r="S314" s="4">
        <f t="shared" si="47"/>
        <v>33426.470588235294</v>
      </c>
      <c r="T314" s="4">
        <f t="shared" si="48"/>
        <v>6961.25</v>
      </c>
      <c r="U314" s="4">
        <f t="shared" si="49"/>
        <v>2993.3375000000001</v>
      </c>
      <c r="V314" s="4">
        <f t="shared" ca="1" si="50"/>
        <v>34</v>
      </c>
      <c r="W314" s="20">
        <f ca="1">V314*Q314</f>
        <v>15930.184040854039</v>
      </c>
      <c r="X314" s="4">
        <f t="shared" si="51"/>
        <v>1977.5099999999984</v>
      </c>
      <c r="Y314" s="13">
        <f t="shared" si="52"/>
        <v>8.6999999999999925E-2</v>
      </c>
    </row>
    <row r="315" spans="1:25" x14ac:dyDescent="0.3">
      <c r="A315" s="12" t="s">
        <v>672</v>
      </c>
      <c r="B315" s="7">
        <v>45019</v>
      </c>
      <c r="C315" s="4" t="s">
        <v>673</v>
      </c>
      <c r="D315" s="4" t="s">
        <v>25</v>
      </c>
      <c r="E315" s="4">
        <v>22427</v>
      </c>
      <c r="F315" s="4">
        <v>6.9</v>
      </c>
      <c r="G315" s="4">
        <v>36</v>
      </c>
      <c r="H315" s="4" t="s">
        <v>19</v>
      </c>
      <c r="I315" s="4" t="s">
        <v>73</v>
      </c>
      <c r="J315" s="4" t="s">
        <v>37</v>
      </c>
      <c r="K315" s="4">
        <v>124090</v>
      </c>
      <c r="L315" s="4" t="s">
        <v>33</v>
      </c>
      <c r="M315" s="4">
        <v>0.15</v>
      </c>
      <c r="N315" s="4">
        <v>0.88</v>
      </c>
      <c r="O315" s="4">
        <v>23974.46</v>
      </c>
      <c r="P315" s="4">
        <v>0</v>
      </c>
      <c r="Q315" s="6">
        <f t="shared" si="53"/>
        <v>691.45571455344668</v>
      </c>
      <c r="R315" s="6">
        <f t="shared" si="46"/>
        <v>2465.4057239240792</v>
      </c>
      <c r="S315" s="4">
        <f t="shared" si="47"/>
        <v>25485.227272727272</v>
      </c>
      <c r="T315" s="4">
        <f t="shared" si="48"/>
        <v>10340.833333333334</v>
      </c>
      <c r="U315" s="4">
        <f t="shared" si="49"/>
        <v>1551.125</v>
      </c>
      <c r="V315" s="4">
        <f t="shared" ca="1" si="50"/>
        <v>35</v>
      </c>
      <c r="W315" s="20">
        <f ca="1">V315*Q315</f>
        <v>24200.950009370634</v>
      </c>
      <c r="X315" s="4">
        <f t="shared" si="51"/>
        <v>1547.4599999999991</v>
      </c>
      <c r="Y315" s="13">
        <f t="shared" si="52"/>
        <v>6.8999866232665949E-2</v>
      </c>
    </row>
    <row r="316" spans="1:25" x14ac:dyDescent="0.3">
      <c r="A316" s="12" t="s">
        <v>674</v>
      </c>
      <c r="B316" s="7">
        <v>45132</v>
      </c>
      <c r="C316" s="4" t="s">
        <v>675</v>
      </c>
      <c r="D316" s="4" t="s">
        <v>65</v>
      </c>
      <c r="E316" s="4">
        <v>36196</v>
      </c>
      <c r="F316" s="4">
        <v>12.1</v>
      </c>
      <c r="G316" s="4">
        <v>36</v>
      </c>
      <c r="H316" s="4" t="s">
        <v>26</v>
      </c>
      <c r="I316" s="4" t="s">
        <v>20</v>
      </c>
      <c r="J316" s="4" t="s">
        <v>37</v>
      </c>
      <c r="K316" s="4">
        <v>60908</v>
      </c>
      <c r="L316" s="4" t="s">
        <v>29</v>
      </c>
      <c r="M316" s="4">
        <v>0.15</v>
      </c>
      <c r="N316" s="4">
        <v>0.66</v>
      </c>
      <c r="O316" s="4">
        <v>14402.05</v>
      </c>
      <c r="P316" s="4">
        <v>0</v>
      </c>
      <c r="Q316" s="6">
        <f t="shared" si="53"/>
        <v>1203.9546830964562</v>
      </c>
      <c r="R316" s="6">
        <f t="shared" si="46"/>
        <v>7146.3685914724192</v>
      </c>
      <c r="S316" s="4">
        <f t="shared" si="47"/>
        <v>54842.42424242424</v>
      </c>
      <c r="T316" s="4">
        <f t="shared" si="48"/>
        <v>5075.666666666667</v>
      </c>
      <c r="U316" s="4">
        <f t="shared" si="49"/>
        <v>761.35</v>
      </c>
      <c r="V316" s="4">
        <f t="shared" ca="1" si="50"/>
        <v>31</v>
      </c>
      <c r="W316" s="20">
        <f ca="1">V316*Q316</f>
        <v>37322.595175990144</v>
      </c>
      <c r="X316" s="4">
        <f t="shared" si="51"/>
        <v>-21793.95</v>
      </c>
      <c r="Y316" s="13">
        <f t="shared" si="52"/>
        <v>-0.60210934909934799</v>
      </c>
    </row>
    <row r="317" spans="1:25" x14ac:dyDescent="0.3">
      <c r="A317" s="12" t="s">
        <v>676</v>
      </c>
      <c r="B317" s="7">
        <v>44852</v>
      </c>
      <c r="C317" s="4" t="s">
        <v>677</v>
      </c>
      <c r="D317" s="4" t="s">
        <v>40</v>
      </c>
      <c r="E317" s="4">
        <v>28083</v>
      </c>
      <c r="F317" s="4">
        <v>20.100000000000001</v>
      </c>
      <c r="G317" s="4">
        <v>36</v>
      </c>
      <c r="H317" s="4" t="s">
        <v>81</v>
      </c>
      <c r="I317" s="4" t="s">
        <v>20</v>
      </c>
      <c r="J317" s="4" t="s">
        <v>28</v>
      </c>
      <c r="K317" s="4">
        <v>82113</v>
      </c>
      <c r="L317" s="4" t="s">
        <v>33</v>
      </c>
      <c r="M317" s="4">
        <v>0.43</v>
      </c>
      <c r="N317" s="4">
        <v>0.52</v>
      </c>
      <c r="O317" s="4">
        <v>5611.04</v>
      </c>
      <c r="P317" s="4">
        <v>8802.11</v>
      </c>
      <c r="Q317" s="6">
        <f t="shared" si="53"/>
        <v>1045.0963658683725</v>
      </c>
      <c r="R317" s="6">
        <f t="shared" si="46"/>
        <v>9540.4691712614076</v>
      </c>
      <c r="S317" s="4">
        <f t="shared" si="47"/>
        <v>54005.769230769227</v>
      </c>
      <c r="T317" s="4">
        <f t="shared" si="48"/>
        <v>6842.75</v>
      </c>
      <c r="U317" s="4">
        <f t="shared" si="49"/>
        <v>2942.3825000000002</v>
      </c>
      <c r="V317" s="4">
        <f t="shared" ca="1" si="50"/>
        <v>41</v>
      </c>
      <c r="W317" s="20">
        <v>0</v>
      </c>
      <c r="X317" s="4">
        <f t="shared" si="51"/>
        <v>-13669.849999999999</v>
      </c>
      <c r="Y317" s="13">
        <f t="shared" si="52"/>
        <v>-0.48676601502688455</v>
      </c>
    </row>
    <row r="318" spans="1:25" x14ac:dyDescent="0.3">
      <c r="A318" s="12" t="s">
        <v>678</v>
      </c>
      <c r="B318" s="7">
        <v>44465</v>
      </c>
      <c r="C318" s="4" t="s">
        <v>679</v>
      </c>
      <c r="D318" s="4" t="s">
        <v>25</v>
      </c>
      <c r="E318" s="4">
        <v>22510</v>
      </c>
      <c r="F318" s="4">
        <v>10.5</v>
      </c>
      <c r="G318" s="4">
        <v>60</v>
      </c>
      <c r="H318" s="4" t="s">
        <v>26</v>
      </c>
      <c r="I318" s="4" t="s">
        <v>27</v>
      </c>
      <c r="J318" s="4" t="s">
        <v>32</v>
      </c>
      <c r="K318" s="4">
        <v>49610</v>
      </c>
      <c r="L318" s="4" t="s">
        <v>29</v>
      </c>
      <c r="M318" s="4">
        <v>0.47</v>
      </c>
      <c r="N318" s="4">
        <v>0.84</v>
      </c>
      <c r="O318" s="4">
        <v>9547.33</v>
      </c>
      <c r="P318" s="4">
        <v>0</v>
      </c>
      <c r="Q318" s="6">
        <f t="shared" si="53"/>
        <v>483.82769751142405</v>
      </c>
      <c r="R318" s="6">
        <f t="shared" si="46"/>
        <v>6519.6618506854429</v>
      </c>
      <c r="S318" s="4">
        <f t="shared" si="47"/>
        <v>26797.61904761905</v>
      </c>
      <c r="T318" s="4">
        <f t="shared" si="48"/>
        <v>4134.166666666667</v>
      </c>
      <c r="U318" s="4">
        <f t="shared" si="49"/>
        <v>1943.0583333333334</v>
      </c>
      <c r="V318" s="4">
        <f t="shared" ca="1" si="50"/>
        <v>53</v>
      </c>
      <c r="W318" s="20">
        <f t="shared" ref="W318:W332" ca="1" si="57">V318*Q318</f>
        <v>25642.867968105475</v>
      </c>
      <c r="X318" s="4">
        <f t="shared" si="51"/>
        <v>-12962.67</v>
      </c>
      <c r="Y318" s="13">
        <f t="shared" si="52"/>
        <v>-0.57586272767658819</v>
      </c>
    </row>
    <row r="319" spans="1:25" x14ac:dyDescent="0.3">
      <c r="A319" s="12" t="s">
        <v>680</v>
      </c>
      <c r="B319" s="7">
        <v>44566</v>
      </c>
      <c r="C319" s="4" t="s">
        <v>681</v>
      </c>
      <c r="D319" s="4" t="s">
        <v>40</v>
      </c>
      <c r="E319" s="4">
        <v>8813</v>
      </c>
      <c r="F319" s="4">
        <v>11.2</v>
      </c>
      <c r="G319" s="4">
        <v>60</v>
      </c>
      <c r="H319" s="4" t="s">
        <v>19</v>
      </c>
      <c r="I319" s="4" t="s">
        <v>57</v>
      </c>
      <c r="J319" s="4" t="s">
        <v>37</v>
      </c>
      <c r="K319" s="4">
        <v>76646</v>
      </c>
      <c r="L319" s="4" t="s">
        <v>22</v>
      </c>
      <c r="M319" s="4">
        <v>0.28000000000000003</v>
      </c>
      <c r="N319" s="4">
        <v>0.86</v>
      </c>
      <c r="O319" s="4">
        <v>9800.06</v>
      </c>
      <c r="P319" s="4">
        <v>0</v>
      </c>
      <c r="Q319" s="6">
        <f t="shared" si="53"/>
        <v>192.49616971999737</v>
      </c>
      <c r="R319" s="6">
        <f t="shared" si="46"/>
        <v>2736.770183199842</v>
      </c>
      <c r="S319" s="4">
        <f t="shared" si="47"/>
        <v>10247.674418604651</v>
      </c>
      <c r="T319" s="4">
        <f t="shared" si="48"/>
        <v>6387.166666666667</v>
      </c>
      <c r="U319" s="4">
        <f t="shared" si="49"/>
        <v>1788.406666666667</v>
      </c>
      <c r="V319" s="4">
        <f t="shared" ca="1" si="50"/>
        <v>50</v>
      </c>
      <c r="W319" s="20">
        <f t="shared" ca="1" si="57"/>
        <v>9624.8084859998689</v>
      </c>
      <c r="X319" s="4">
        <f t="shared" si="51"/>
        <v>987.05999999999949</v>
      </c>
      <c r="Y319" s="13">
        <f t="shared" si="52"/>
        <v>0.1120004538749574</v>
      </c>
    </row>
    <row r="320" spans="1:25" x14ac:dyDescent="0.3">
      <c r="A320" s="12" t="s">
        <v>682</v>
      </c>
      <c r="B320" s="7">
        <v>44832</v>
      </c>
      <c r="C320" s="4" t="s">
        <v>683</v>
      </c>
      <c r="D320" s="4" t="s">
        <v>53</v>
      </c>
      <c r="E320" s="4">
        <v>32598</v>
      </c>
      <c r="F320" s="4">
        <v>17.899999999999999</v>
      </c>
      <c r="G320" s="4">
        <v>60</v>
      </c>
      <c r="H320" s="4" t="s">
        <v>19</v>
      </c>
      <c r="I320" s="4" t="s">
        <v>41</v>
      </c>
      <c r="J320" s="4" t="s">
        <v>21</v>
      </c>
      <c r="K320" s="4">
        <v>135141</v>
      </c>
      <c r="L320" s="4" t="s">
        <v>33</v>
      </c>
      <c r="M320" s="4">
        <v>0.3</v>
      </c>
      <c r="N320" s="4">
        <v>0.56999999999999995</v>
      </c>
      <c r="O320" s="4">
        <v>38433.040000000001</v>
      </c>
      <c r="P320" s="4">
        <v>0</v>
      </c>
      <c r="Q320" s="6">
        <f t="shared" si="53"/>
        <v>826.00264511822286</v>
      </c>
      <c r="R320" s="6">
        <f t="shared" si="46"/>
        <v>16962.158707093375</v>
      </c>
      <c r="S320" s="4">
        <f t="shared" si="47"/>
        <v>57189.473684210534</v>
      </c>
      <c r="T320" s="4">
        <f t="shared" si="48"/>
        <v>11261.75</v>
      </c>
      <c r="U320" s="4">
        <f t="shared" si="49"/>
        <v>3378.5250000000001</v>
      </c>
      <c r="V320" s="4">
        <f t="shared" ca="1" si="50"/>
        <v>41</v>
      </c>
      <c r="W320" s="20">
        <f t="shared" ca="1" si="57"/>
        <v>33866.108449847139</v>
      </c>
      <c r="X320" s="4">
        <f t="shared" si="51"/>
        <v>5835.0400000000009</v>
      </c>
      <c r="Y320" s="13">
        <f t="shared" si="52"/>
        <v>0.17899993864654276</v>
      </c>
    </row>
    <row r="321" spans="1:25" x14ac:dyDescent="0.3">
      <c r="A321" s="12" t="s">
        <v>684</v>
      </c>
      <c r="B321" s="7">
        <v>44853</v>
      </c>
      <c r="C321" s="4" t="s">
        <v>685</v>
      </c>
      <c r="D321" s="4" t="s">
        <v>56</v>
      </c>
      <c r="E321" s="4">
        <v>28570</v>
      </c>
      <c r="F321" s="4">
        <v>8.9</v>
      </c>
      <c r="G321" s="4">
        <v>36</v>
      </c>
      <c r="H321" s="4" t="s">
        <v>19</v>
      </c>
      <c r="I321" s="4" t="s">
        <v>20</v>
      </c>
      <c r="J321" s="4" t="s">
        <v>28</v>
      </c>
      <c r="K321" s="4">
        <v>93185</v>
      </c>
      <c r="L321" s="4" t="s">
        <v>33</v>
      </c>
      <c r="M321" s="4">
        <v>0.23</v>
      </c>
      <c r="N321" s="4">
        <v>0.74</v>
      </c>
      <c r="O321" s="4">
        <v>31112.73</v>
      </c>
      <c r="P321" s="4">
        <v>0</v>
      </c>
      <c r="Q321" s="6">
        <f t="shared" si="53"/>
        <v>907.18926166143001</v>
      </c>
      <c r="R321" s="6">
        <f t="shared" si="46"/>
        <v>4088.8134198114785</v>
      </c>
      <c r="S321" s="4">
        <f t="shared" si="47"/>
        <v>38608.108108108107</v>
      </c>
      <c r="T321" s="4">
        <f t="shared" si="48"/>
        <v>7765.416666666667</v>
      </c>
      <c r="U321" s="4">
        <f t="shared" si="49"/>
        <v>1786.0458333333336</v>
      </c>
      <c r="V321" s="4">
        <f t="shared" ca="1" si="50"/>
        <v>41</v>
      </c>
      <c r="W321" s="20">
        <f t="shared" ca="1" si="57"/>
        <v>37194.759728118632</v>
      </c>
      <c r="X321" s="4">
        <f t="shared" si="51"/>
        <v>2542.7299999999996</v>
      </c>
      <c r="Y321" s="13">
        <f t="shared" si="52"/>
        <v>8.8999999999999982E-2</v>
      </c>
    </row>
    <row r="322" spans="1:25" x14ac:dyDescent="0.3">
      <c r="A322" s="12" t="s">
        <v>686</v>
      </c>
      <c r="B322" s="7">
        <v>44316</v>
      </c>
      <c r="C322" s="4" t="s">
        <v>687</v>
      </c>
      <c r="D322" s="4" t="s">
        <v>76</v>
      </c>
      <c r="E322" s="4">
        <v>28082</v>
      </c>
      <c r="F322" s="4">
        <v>22.9</v>
      </c>
      <c r="G322" s="4">
        <v>36</v>
      </c>
      <c r="H322" s="4" t="s">
        <v>19</v>
      </c>
      <c r="I322" s="4" t="s">
        <v>57</v>
      </c>
      <c r="J322" s="4" t="s">
        <v>37</v>
      </c>
      <c r="K322" s="4">
        <v>102567</v>
      </c>
      <c r="L322" s="4" t="s">
        <v>29</v>
      </c>
      <c r="M322" s="4">
        <v>0.46</v>
      </c>
      <c r="N322" s="4">
        <v>0.59</v>
      </c>
      <c r="O322" s="4">
        <v>34512.78</v>
      </c>
      <c r="P322" s="4">
        <v>0</v>
      </c>
      <c r="Q322" s="6">
        <f t="shared" si="53"/>
        <v>1085.5833007412903</v>
      </c>
      <c r="R322" s="6">
        <f t="shared" ref="R322:R385" si="58">(Q322*G322)-E322</f>
        <v>10998.998826686453</v>
      </c>
      <c r="S322" s="4">
        <f t="shared" ref="S322:S385" si="59">E322 / N322</f>
        <v>47596.610169491527</v>
      </c>
      <c r="T322" s="4">
        <f t="shared" ref="T322:T385" si="60">K322/12</f>
        <v>8547.25</v>
      </c>
      <c r="U322" s="4">
        <f t="shared" ref="U322:U385" si="61">M322*T322</f>
        <v>3931.7350000000001</v>
      </c>
      <c r="V322" s="4">
        <f t="shared" ref="V322:V385" ca="1" si="62">DATEDIF(B322, TODAY(), "m")</f>
        <v>58</v>
      </c>
      <c r="W322" s="20">
        <f t="shared" ca="1" si="57"/>
        <v>62963.831442994837</v>
      </c>
      <c r="X322" s="4">
        <f t="shared" ref="X322:X385" si="63">(O322 + P322) - E322</f>
        <v>6430.7799999999988</v>
      </c>
      <c r="Y322" s="13">
        <f t="shared" ref="Y322:Y385" si="64">(X322/E322)</f>
        <v>0.22900007121999855</v>
      </c>
    </row>
    <row r="323" spans="1:25" x14ac:dyDescent="0.3">
      <c r="A323" s="12" t="s">
        <v>688</v>
      </c>
      <c r="B323" s="7">
        <v>45027</v>
      </c>
      <c r="C323" s="4" t="s">
        <v>689</v>
      </c>
      <c r="D323" s="4" t="s">
        <v>72</v>
      </c>
      <c r="E323" s="4">
        <v>30241</v>
      </c>
      <c r="F323" s="4">
        <v>15.4</v>
      </c>
      <c r="G323" s="4">
        <v>60</v>
      </c>
      <c r="H323" s="4" t="s">
        <v>19</v>
      </c>
      <c r="I323" s="4" t="s">
        <v>20</v>
      </c>
      <c r="J323" s="4" t="s">
        <v>32</v>
      </c>
      <c r="K323" s="4">
        <v>77574</v>
      </c>
      <c r="L323" s="4" t="s">
        <v>33</v>
      </c>
      <c r="M323" s="4">
        <v>0.36</v>
      </c>
      <c r="N323" s="4">
        <v>0.82</v>
      </c>
      <c r="O323" s="4">
        <v>34898.11</v>
      </c>
      <c r="P323" s="4">
        <v>0</v>
      </c>
      <c r="Q323" s="6">
        <f t="shared" ref="Q323:Q386" si="65">PMT(F323/100/12, G323, -E323)</f>
        <v>725.79640646374071</v>
      </c>
      <c r="R323" s="6">
        <f t="shared" si="58"/>
        <v>13306.784387824446</v>
      </c>
      <c r="S323" s="4">
        <f t="shared" si="59"/>
        <v>36879.268292682929</v>
      </c>
      <c r="T323" s="4">
        <f t="shared" si="60"/>
        <v>6464.5</v>
      </c>
      <c r="U323" s="4">
        <f t="shared" si="61"/>
        <v>2327.2199999999998</v>
      </c>
      <c r="V323" s="4">
        <f t="shared" ca="1" si="62"/>
        <v>35</v>
      </c>
      <c r="W323" s="20">
        <f t="shared" ca="1" si="57"/>
        <v>25402.874226230924</v>
      </c>
      <c r="X323" s="4">
        <f t="shared" si="63"/>
        <v>4657.1100000000006</v>
      </c>
      <c r="Y323" s="13">
        <f t="shared" si="64"/>
        <v>0.15399986772924179</v>
      </c>
    </row>
    <row r="324" spans="1:25" x14ac:dyDescent="0.3">
      <c r="A324" s="12" t="s">
        <v>690</v>
      </c>
      <c r="B324" s="7">
        <v>45278</v>
      </c>
      <c r="C324" s="4" t="s">
        <v>691</v>
      </c>
      <c r="D324" s="4" t="s">
        <v>50</v>
      </c>
      <c r="E324" s="4">
        <v>31678</v>
      </c>
      <c r="F324" s="4">
        <v>14</v>
      </c>
      <c r="G324" s="4">
        <v>60</v>
      </c>
      <c r="H324" s="4" t="s">
        <v>26</v>
      </c>
      <c r="I324" s="4" t="s">
        <v>57</v>
      </c>
      <c r="J324" s="4" t="s">
        <v>28</v>
      </c>
      <c r="K324" s="4">
        <v>121051</v>
      </c>
      <c r="L324" s="4" t="s">
        <v>33</v>
      </c>
      <c r="M324" s="4">
        <v>0.22</v>
      </c>
      <c r="N324" s="4">
        <v>0.62</v>
      </c>
      <c r="O324" s="4">
        <v>5497.96</v>
      </c>
      <c r="P324" s="4">
        <v>0</v>
      </c>
      <c r="Q324" s="6">
        <f t="shared" si="65"/>
        <v>737.09165040690345</v>
      </c>
      <c r="R324" s="6">
        <f t="shared" si="58"/>
        <v>12547.49902441421</v>
      </c>
      <c r="S324" s="4">
        <f t="shared" si="59"/>
        <v>51093.548387096773</v>
      </c>
      <c r="T324" s="4">
        <f t="shared" si="60"/>
        <v>10087.583333333334</v>
      </c>
      <c r="U324" s="4">
        <f t="shared" si="61"/>
        <v>2219.2683333333334</v>
      </c>
      <c r="V324" s="4">
        <f t="shared" ca="1" si="62"/>
        <v>27</v>
      </c>
      <c r="W324" s="20">
        <f t="shared" ca="1" si="57"/>
        <v>19901.474560986393</v>
      </c>
      <c r="X324" s="4">
        <f t="shared" si="63"/>
        <v>-26180.04</v>
      </c>
      <c r="Y324" s="13">
        <f t="shared" si="64"/>
        <v>-0.82644232590441313</v>
      </c>
    </row>
    <row r="325" spans="1:25" x14ac:dyDescent="0.3">
      <c r="A325" s="12" t="s">
        <v>692</v>
      </c>
      <c r="B325" s="7">
        <v>44937</v>
      </c>
      <c r="C325" s="4" t="s">
        <v>693</v>
      </c>
      <c r="D325" s="4" t="s">
        <v>72</v>
      </c>
      <c r="E325" s="4">
        <v>12745</v>
      </c>
      <c r="F325" s="4">
        <v>16.2</v>
      </c>
      <c r="G325" s="4">
        <v>60</v>
      </c>
      <c r="H325" s="4" t="s">
        <v>19</v>
      </c>
      <c r="I325" s="4" t="s">
        <v>41</v>
      </c>
      <c r="J325" s="4" t="s">
        <v>32</v>
      </c>
      <c r="K325" s="4">
        <v>132020</v>
      </c>
      <c r="L325" s="4" t="s">
        <v>22</v>
      </c>
      <c r="M325" s="4">
        <v>0.22</v>
      </c>
      <c r="N325" s="4">
        <v>0.64</v>
      </c>
      <c r="O325" s="4">
        <v>14809.69</v>
      </c>
      <c r="P325" s="4">
        <v>0</v>
      </c>
      <c r="Q325" s="6">
        <f t="shared" si="65"/>
        <v>311.28963255645778</v>
      </c>
      <c r="R325" s="6">
        <f t="shared" si="58"/>
        <v>5932.3779533874658</v>
      </c>
      <c r="S325" s="4">
        <f t="shared" si="59"/>
        <v>19914.0625</v>
      </c>
      <c r="T325" s="4">
        <f t="shared" si="60"/>
        <v>11001.666666666666</v>
      </c>
      <c r="U325" s="4">
        <f t="shared" si="61"/>
        <v>2420.3666666666663</v>
      </c>
      <c r="V325" s="4">
        <f t="shared" ca="1" si="62"/>
        <v>38</v>
      </c>
      <c r="W325" s="20">
        <f t="shared" ca="1" si="57"/>
        <v>11829.006037145395</v>
      </c>
      <c r="X325" s="4">
        <f t="shared" si="63"/>
        <v>2064.6900000000005</v>
      </c>
      <c r="Y325" s="13">
        <f t="shared" si="64"/>
        <v>0.16200000000000003</v>
      </c>
    </row>
    <row r="326" spans="1:25" x14ac:dyDescent="0.3">
      <c r="A326" s="12" t="s">
        <v>694</v>
      </c>
      <c r="B326" s="7">
        <v>44313</v>
      </c>
      <c r="C326" s="4" t="s">
        <v>695</v>
      </c>
      <c r="D326" s="4" t="s">
        <v>46</v>
      </c>
      <c r="E326" s="4">
        <v>27029</v>
      </c>
      <c r="F326" s="4">
        <v>8.3000000000000007</v>
      </c>
      <c r="G326" s="4">
        <v>36</v>
      </c>
      <c r="H326" s="4" t="s">
        <v>26</v>
      </c>
      <c r="I326" s="4" t="s">
        <v>36</v>
      </c>
      <c r="J326" s="4" t="s">
        <v>32</v>
      </c>
      <c r="K326" s="4">
        <v>66182</v>
      </c>
      <c r="L326" s="4" t="s">
        <v>29</v>
      </c>
      <c r="M326" s="4">
        <v>0.46</v>
      </c>
      <c r="N326" s="4">
        <v>0.88</v>
      </c>
      <c r="O326" s="4">
        <v>7993.68</v>
      </c>
      <c r="P326" s="4">
        <v>0</v>
      </c>
      <c r="Q326" s="6">
        <f t="shared" si="65"/>
        <v>850.73630914054877</v>
      </c>
      <c r="R326" s="6">
        <f t="shared" si="58"/>
        <v>3597.5071290597552</v>
      </c>
      <c r="S326" s="4">
        <f t="shared" si="59"/>
        <v>30714.772727272728</v>
      </c>
      <c r="T326" s="4">
        <f t="shared" si="60"/>
        <v>5515.166666666667</v>
      </c>
      <c r="U326" s="4">
        <f t="shared" si="61"/>
        <v>2536.9766666666669</v>
      </c>
      <c r="V326" s="4">
        <f t="shared" ca="1" si="62"/>
        <v>58</v>
      </c>
      <c r="W326" s="20">
        <f t="shared" ca="1" si="57"/>
        <v>49342.705930151831</v>
      </c>
      <c r="X326" s="4">
        <f t="shared" si="63"/>
        <v>-19035.32</v>
      </c>
      <c r="Y326" s="13">
        <f t="shared" si="64"/>
        <v>-0.70425542935365715</v>
      </c>
    </row>
    <row r="327" spans="1:25" x14ac:dyDescent="0.3">
      <c r="A327" s="12" t="s">
        <v>696</v>
      </c>
      <c r="B327" s="7">
        <v>44987</v>
      </c>
      <c r="C327" s="4" t="s">
        <v>697</v>
      </c>
      <c r="D327" s="4" t="s">
        <v>46</v>
      </c>
      <c r="E327" s="4">
        <v>14025</v>
      </c>
      <c r="F327" s="4">
        <v>17.3</v>
      </c>
      <c r="G327" s="4">
        <v>36</v>
      </c>
      <c r="H327" s="4" t="s">
        <v>19</v>
      </c>
      <c r="I327" s="4" t="s">
        <v>20</v>
      </c>
      <c r="J327" s="4" t="s">
        <v>32</v>
      </c>
      <c r="K327" s="4">
        <v>146136</v>
      </c>
      <c r="L327" s="4" t="s">
        <v>29</v>
      </c>
      <c r="M327" s="4">
        <v>0.11</v>
      </c>
      <c r="N327" s="4">
        <v>0.71</v>
      </c>
      <c r="O327" s="4">
        <v>16451.32</v>
      </c>
      <c r="P327" s="4">
        <v>0</v>
      </c>
      <c r="Q327" s="6">
        <f t="shared" si="65"/>
        <v>502.12601592057246</v>
      </c>
      <c r="R327" s="6">
        <f t="shared" si="58"/>
        <v>4051.5365731406091</v>
      </c>
      <c r="S327" s="4">
        <f t="shared" si="59"/>
        <v>19753.521126760563</v>
      </c>
      <c r="T327" s="4">
        <f t="shared" si="60"/>
        <v>12178</v>
      </c>
      <c r="U327" s="4">
        <f t="shared" si="61"/>
        <v>1339.58</v>
      </c>
      <c r="V327" s="4">
        <f t="shared" ca="1" si="62"/>
        <v>36</v>
      </c>
      <c r="W327" s="20">
        <f t="shared" ca="1" si="57"/>
        <v>18076.536573140609</v>
      </c>
      <c r="X327" s="4">
        <f t="shared" si="63"/>
        <v>2426.3199999999997</v>
      </c>
      <c r="Y327" s="13">
        <f t="shared" si="64"/>
        <v>0.17299964349376112</v>
      </c>
    </row>
    <row r="328" spans="1:25" x14ac:dyDescent="0.3">
      <c r="A328" s="12" t="s">
        <v>698</v>
      </c>
      <c r="B328" s="7">
        <v>45209</v>
      </c>
      <c r="C328" s="4" t="s">
        <v>699</v>
      </c>
      <c r="D328" s="4" t="s">
        <v>53</v>
      </c>
      <c r="E328" s="4">
        <v>37124</v>
      </c>
      <c r="F328" s="4">
        <v>12.3</v>
      </c>
      <c r="G328" s="4">
        <v>36</v>
      </c>
      <c r="H328" s="4" t="s">
        <v>26</v>
      </c>
      <c r="I328" s="4" t="s">
        <v>73</v>
      </c>
      <c r="J328" s="4" t="s">
        <v>28</v>
      </c>
      <c r="K328" s="4">
        <v>30570</v>
      </c>
      <c r="L328" s="4" t="s">
        <v>22</v>
      </c>
      <c r="M328" s="4">
        <v>0.23</v>
      </c>
      <c r="N328" s="4">
        <v>0.8</v>
      </c>
      <c r="O328" s="4">
        <v>5431.36</v>
      </c>
      <c r="P328" s="4">
        <v>0</v>
      </c>
      <c r="Q328" s="6">
        <f t="shared" si="65"/>
        <v>1238.3741465499338</v>
      </c>
      <c r="R328" s="6">
        <f t="shared" si="58"/>
        <v>7457.4692757976154</v>
      </c>
      <c r="S328" s="4">
        <f t="shared" si="59"/>
        <v>46405</v>
      </c>
      <c r="T328" s="4">
        <f t="shared" si="60"/>
        <v>2547.5</v>
      </c>
      <c r="U328" s="4">
        <f t="shared" si="61"/>
        <v>585.92500000000007</v>
      </c>
      <c r="V328" s="4">
        <f t="shared" ca="1" si="62"/>
        <v>29</v>
      </c>
      <c r="W328" s="20">
        <f t="shared" ca="1" si="57"/>
        <v>35912.850249948082</v>
      </c>
      <c r="X328" s="4">
        <f t="shared" si="63"/>
        <v>-31692.639999999999</v>
      </c>
      <c r="Y328" s="13">
        <f t="shared" si="64"/>
        <v>-0.85369679991380243</v>
      </c>
    </row>
    <row r="329" spans="1:25" x14ac:dyDescent="0.3">
      <c r="A329" s="12" t="s">
        <v>700</v>
      </c>
      <c r="B329" s="7">
        <v>45278</v>
      </c>
      <c r="C329" s="4" t="s">
        <v>701</v>
      </c>
      <c r="D329" s="4" t="s">
        <v>56</v>
      </c>
      <c r="E329" s="4">
        <v>15288</v>
      </c>
      <c r="F329" s="4">
        <v>22.9</v>
      </c>
      <c r="G329" s="4">
        <v>36</v>
      </c>
      <c r="H329" s="4" t="s">
        <v>19</v>
      </c>
      <c r="I329" s="4" t="s">
        <v>27</v>
      </c>
      <c r="J329" s="4" t="s">
        <v>37</v>
      </c>
      <c r="K329" s="4">
        <v>127790</v>
      </c>
      <c r="L329" s="4" t="s">
        <v>22</v>
      </c>
      <c r="M329" s="4">
        <v>0.32</v>
      </c>
      <c r="N329" s="4">
        <v>0.68</v>
      </c>
      <c r="O329" s="4">
        <v>18788.95</v>
      </c>
      <c r="P329" s="4">
        <v>0</v>
      </c>
      <c r="Q329" s="6">
        <f t="shared" si="65"/>
        <v>590.9977032167526</v>
      </c>
      <c r="R329" s="6">
        <f t="shared" si="58"/>
        <v>5987.9173158030935</v>
      </c>
      <c r="S329" s="4">
        <f t="shared" si="59"/>
        <v>22482.352941176468</v>
      </c>
      <c r="T329" s="4">
        <f t="shared" si="60"/>
        <v>10649.166666666666</v>
      </c>
      <c r="U329" s="4">
        <f t="shared" si="61"/>
        <v>3407.7333333333331</v>
      </c>
      <c r="V329" s="4">
        <f t="shared" ca="1" si="62"/>
        <v>27</v>
      </c>
      <c r="W329" s="20">
        <f t="shared" ca="1" si="57"/>
        <v>15956.937986852321</v>
      </c>
      <c r="X329" s="4">
        <f t="shared" si="63"/>
        <v>3500.9500000000007</v>
      </c>
      <c r="Y329" s="13">
        <f t="shared" si="64"/>
        <v>0.22899986917844065</v>
      </c>
    </row>
    <row r="330" spans="1:25" x14ac:dyDescent="0.3">
      <c r="A330" s="12" t="s">
        <v>702</v>
      </c>
      <c r="B330" s="7">
        <v>44830</v>
      </c>
      <c r="C330" s="4" t="s">
        <v>703</v>
      </c>
      <c r="D330" s="4" t="s">
        <v>46</v>
      </c>
      <c r="E330" s="4">
        <v>24650</v>
      </c>
      <c r="F330" s="4">
        <v>8.4</v>
      </c>
      <c r="G330" s="4">
        <v>36</v>
      </c>
      <c r="H330" s="4" t="s">
        <v>19</v>
      </c>
      <c r="I330" s="4" t="s">
        <v>20</v>
      </c>
      <c r="J330" s="4" t="s">
        <v>47</v>
      </c>
      <c r="K330" s="4">
        <v>49288</v>
      </c>
      <c r="L330" s="4" t="s">
        <v>29</v>
      </c>
      <c r="M330" s="4">
        <v>0.16</v>
      </c>
      <c r="N330" s="4">
        <v>0.63</v>
      </c>
      <c r="O330" s="4">
        <v>26720.6</v>
      </c>
      <c r="P330" s="4">
        <v>0</v>
      </c>
      <c r="Q330" s="6">
        <f t="shared" si="65"/>
        <v>776.99810071123261</v>
      </c>
      <c r="R330" s="6">
        <f t="shared" si="58"/>
        <v>3321.9316256043749</v>
      </c>
      <c r="S330" s="4">
        <f t="shared" si="59"/>
        <v>39126.984126984127</v>
      </c>
      <c r="T330" s="4">
        <f t="shared" si="60"/>
        <v>4107.333333333333</v>
      </c>
      <c r="U330" s="4">
        <f t="shared" si="61"/>
        <v>657.17333333333329</v>
      </c>
      <c r="V330" s="4">
        <f t="shared" ca="1" si="62"/>
        <v>41</v>
      </c>
      <c r="W330" s="20">
        <f t="shared" ca="1" si="57"/>
        <v>31856.922129160535</v>
      </c>
      <c r="X330" s="4">
        <f t="shared" si="63"/>
        <v>2070.5999999999985</v>
      </c>
      <c r="Y330" s="13">
        <f t="shared" si="64"/>
        <v>8.3999999999999936E-2</v>
      </c>
    </row>
    <row r="331" spans="1:25" x14ac:dyDescent="0.3">
      <c r="A331" s="12" t="s">
        <v>704</v>
      </c>
      <c r="B331" s="7">
        <v>44709</v>
      </c>
      <c r="C331" s="4" t="s">
        <v>705</v>
      </c>
      <c r="D331" s="4" t="s">
        <v>65</v>
      </c>
      <c r="E331" s="4">
        <v>7540</v>
      </c>
      <c r="F331" s="4">
        <v>15.1</v>
      </c>
      <c r="G331" s="4">
        <v>60</v>
      </c>
      <c r="H331" s="4" t="s">
        <v>19</v>
      </c>
      <c r="I331" s="4" t="s">
        <v>20</v>
      </c>
      <c r="J331" s="4" t="s">
        <v>37</v>
      </c>
      <c r="K331" s="4">
        <v>108824</v>
      </c>
      <c r="L331" s="4" t="s">
        <v>22</v>
      </c>
      <c r="M331" s="4">
        <v>0.14000000000000001</v>
      </c>
      <c r="N331" s="4">
        <v>0.78</v>
      </c>
      <c r="O331" s="4">
        <v>8678.5400000000009</v>
      </c>
      <c r="P331" s="4">
        <v>0</v>
      </c>
      <c r="Q331" s="6">
        <f t="shared" si="65"/>
        <v>179.77209973656954</v>
      </c>
      <c r="R331" s="6">
        <f t="shared" si="58"/>
        <v>3246.3259841941726</v>
      </c>
      <c r="S331" s="4">
        <f t="shared" si="59"/>
        <v>9666.6666666666661</v>
      </c>
      <c r="T331" s="4">
        <f t="shared" si="60"/>
        <v>9068.6666666666661</v>
      </c>
      <c r="U331" s="4">
        <f t="shared" si="61"/>
        <v>1269.6133333333335</v>
      </c>
      <c r="V331" s="4">
        <f t="shared" ca="1" si="62"/>
        <v>45</v>
      </c>
      <c r="W331" s="20">
        <f t="shared" ca="1" si="57"/>
        <v>8089.7444881456295</v>
      </c>
      <c r="X331" s="4">
        <f t="shared" si="63"/>
        <v>1138.5400000000009</v>
      </c>
      <c r="Y331" s="13">
        <f t="shared" si="64"/>
        <v>0.15100000000000011</v>
      </c>
    </row>
    <row r="332" spans="1:25" x14ac:dyDescent="0.3">
      <c r="A332" s="12" t="s">
        <v>706</v>
      </c>
      <c r="B332" s="7">
        <v>44998</v>
      </c>
      <c r="C332" s="4" t="s">
        <v>707</v>
      </c>
      <c r="D332" s="4" t="s">
        <v>18</v>
      </c>
      <c r="E332" s="4">
        <v>33232</v>
      </c>
      <c r="F332" s="4">
        <v>17</v>
      </c>
      <c r="G332" s="4">
        <v>36</v>
      </c>
      <c r="H332" s="4" t="s">
        <v>19</v>
      </c>
      <c r="I332" s="4" t="s">
        <v>36</v>
      </c>
      <c r="J332" s="4" t="s">
        <v>28</v>
      </c>
      <c r="K332" s="4">
        <v>59877</v>
      </c>
      <c r="L332" s="4" t="s">
        <v>22</v>
      </c>
      <c r="M332" s="4">
        <v>0.43</v>
      </c>
      <c r="N332" s="4">
        <v>0.56999999999999995</v>
      </c>
      <c r="O332" s="4">
        <v>38881.440000000002</v>
      </c>
      <c r="P332" s="4">
        <v>0</v>
      </c>
      <c r="Q332" s="6">
        <f t="shared" si="65"/>
        <v>1184.8114411687791</v>
      </c>
      <c r="R332" s="6">
        <f t="shared" si="58"/>
        <v>9421.2118820760443</v>
      </c>
      <c r="S332" s="4">
        <f t="shared" si="59"/>
        <v>58301.754385964916</v>
      </c>
      <c r="T332" s="4">
        <f t="shared" si="60"/>
        <v>4989.75</v>
      </c>
      <c r="U332" s="4">
        <f t="shared" si="61"/>
        <v>2145.5924999999997</v>
      </c>
      <c r="V332" s="4">
        <f t="shared" ca="1" si="62"/>
        <v>36</v>
      </c>
      <c r="W332" s="20">
        <f t="shared" ca="1" si="57"/>
        <v>42653.211882076044</v>
      </c>
      <c r="X332" s="4">
        <f t="shared" si="63"/>
        <v>5649.4400000000023</v>
      </c>
      <c r="Y332" s="13">
        <f t="shared" si="64"/>
        <v>0.17000000000000007</v>
      </c>
    </row>
    <row r="333" spans="1:25" x14ac:dyDescent="0.3">
      <c r="A333" s="12" t="s">
        <v>708</v>
      </c>
      <c r="B333" s="7">
        <v>44756</v>
      </c>
      <c r="C333" s="4" t="s">
        <v>709</v>
      </c>
      <c r="D333" s="4" t="s">
        <v>40</v>
      </c>
      <c r="E333" s="4">
        <v>17422</v>
      </c>
      <c r="F333" s="4">
        <v>5.7</v>
      </c>
      <c r="G333" s="4">
        <v>36</v>
      </c>
      <c r="H333" s="4" t="s">
        <v>81</v>
      </c>
      <c r="I333" s="4" t="s">
        <v>41</v>
      </c>
      <c r="J333" s="4" t="s">
        <v>47</v>
      </c>
      <c r="K333" s="4">
        <v>114425</v>
      </c>
      <c r="L333" s="4" t="s">
        <v>22</v>
      </c>
      <c r="M333" s="4">
        <v>0.46</v>
      </c>
      <c r="N333" s="4">
        <v>0.67</v>
      </c>
      <c r="O333" s="4">
        <v>4227.59</v>
      </c>
      <c r="P333" s="4">
        <v>6267.26</v>
      </c>
      <c r="Q333" s="6">
        <f t="shared" si="65"/>
        <v>527.64604423712285</v>
      </c>
      <c r="R333" s="6">
        <f t="shared" si="58"/>
        <v>1573.2575925364217</v>
      </c>
      <c r="S333" s="4">
        <f t="shared" si="59"/>
        <v>26002.985074626864</v>
      </c>
      <c r="T333" s="4">
        <f t="shared" si="60"/>
        <v>9535.4166666666661</v>
      </c>
      <c r="U333" s="4">
        <f t="shared" si="61"/>
        <v>4386.291666666667</v>
      </c>
      <c r="V333" s="4">
        <f t="shared" ca="1" si="62"/>
        <v>44</v>
      </c>
      <c r="W333" s="20">
        <v>0</v>
      </c>
      <c r="X333" s="4">
        <f t="shared" si="63"/>
        <v>-6927.15</v>
      </c>
      <c r="Y333" s="13">
        <f t="shared" si="64"/>
        <v>-0.39760934450694524</v>
      </c>
    </row>
    <row r="334" spans="1:25" x14ac:dyDescent="0.3">
      <c r="A334" s="12" t="s">
        <v>710</v>
      </c>
      <c r="B334" s="7">
        <v>44684</v>
      </c>
      <c r="C334" s="4" t="s">
        <v>711</v>
      </c>
      <c r="D334" s="4" t="s">
        <v>46</v>
      </c>
      <c r="E334" s="4">
        <v>4342</v>
      </c>
      <c r="F334" s="4">
        <v>12.3</v>
      </c>
      <c r="G334" s="4">
        <v>36</v>
      </c>
      <c r="H334" s="4" t="s">
        <v>19</v>
      </c>
      <c r="I334" s="4" t="s">
        <v>41</v>
      </c>
      <c r="J334" s="4" t="s">
        <v>47</v>
      </c>
      <c r="K334" s="4">
        <v>30917</v>
      </c>
      <c r="L334" s="4" t="s">
        <v>29</v>
      </c>
      <c r="M334" s="4">
        <v>0.43</v>
      </c>
      <c r="N334" s="4">
        <v>0.59</v>
      </c>
      <c r="O334" s="4">
        <v>4876.07</v>
      </c>
      <c r="P334" s="4">
        <v>0</v>
      </c>
      <c r="Q334" s="6">
        <f t="shared" si="65"/>
        <v>144.83947161727758</v>
      </c>
      <c r="R334" s="6">
        <f t="shared" si="58"/>
        <v>872.22097822199248</v>
      </c>
      <c r="S334" s="4">
        <f t="shared" si="59"/>
        <v>7359.3220338983056</v>
      </c>
      <c r="T334" s="4">
        <f t="shared" si="60"/>
        <v>2576.4166666666665</v>
      </c>
      <c r="U334" s="4">
        <f t="shared" si="61"/>
        <v>1107.8591666666666</v>
      </c>
      <c r="V334" s="4">
        <f t="shared" ca="1" si="62"/>
        <v>46</v>
      </c>
      <c r="W334" s="20">
        <f ca="1">V334*Q334</f>
        <v>6662.615694394769</v>
      </c>
      <c r="X334" s="4">
        <f t="shared" si="63"/>
        <v>534.06999999999971</v>
      </c>
      <c r="Y334" s="13">
        <f t="shared" si="64"/>
        <v>0.12300092123445411</v>
      </c>
    </row>
    <row r="335" spans="1:25" x14ac:dyDescent="0.3">
      <c r="A335" s="12" t="s">
        <v>712</v>
      </c>
      <c r="B335" s="7">
        <v>45093</v>
      </c>
      <c r="C335" s="4" t="s">
        <v>713</v>
      </c>
      <c r="D335" s="4" t="s">
        <v>53</v>
      </c>
      <c r="E335" s="4">
        <v>36612</v>
      </c>
      <c r="F335" s="4">
        <v>19.7</v>
      </c>
      <c r="G335" s="4">
        <v>36</v>
      </c>
      <c r="H335" s="4" t="s">
        <v>26</v>
      </c>
      <c r="I335" s="4" t="s">
        <v>84</v>
      </c>
      <c r="J335" s="4" t="s">
        <v>47</v>
      </c>
      <c r="K335" s="4">
        <v>105602</v>
      </c>
      <c r="L335" s="4" t="s">
        <v>22</v>
      </c>
      <c r="M335" s="4">
        <v>0.46</v>
      </c>
      <c r="N335" s="4">
        <v>0.81</v>
      </c>
      <c r="O335" s="4">
        <v>7072.66</v>
      </c>
      <c r="P335" s="4">
        <v>0</v>
      </c>
      <c r="Q335" s="6">
        <f t="shared" si="65"/>
        <v>1355.0431386099906</v>
      </c>
      <c r="R335" s="6">
        <f t="shared" si="58"/>
        <v>12169.552989959659</v>
      </c>
      <c r="S335" s="4">
        <f t="shared" si="59"/>
        <v>45200</v>
      </c>
      <c r="T335" s="4">
        <f t="shared" si="60"/>
        <v>8800.1666666666661</v>
      </c>
      <c r="U335" s="4">
        <f t="shared" si="61"/>
        <v>4048.0766666666664</v>
      </c>
      <c r="V335" s="4">
        <f t="shared" ca="1" si="62"/>
        <v>33</v>
      </c>
      <c r="W335" s="20">
        <f ca="1">V335*Q335</f>
        <v>44716.423574129687</v>
      </c>
      <c r="X335" s="4">
        <f t="shared" si="63"/>
        <v>-29539.34</v>
      </c>
      <c r="Y335" s="13">
        <f t="shared" si="64"/>
        <v>-0.80682126078881244</v>
      </c>
    </row>
    <row r="336" spans="1:25" x14ac:dyDescent="0.3">
      <c r="A336" s="12" t="s">
        <v>714</v>
      </c>
      <c r="B336" s="7">
        <v>44900</v>
      </c>
      <c r="C336" s="4" t="s">
        <v>715</v>
      </c>
      <c r="D336" s="4" t="s">
        <v>40</v>
      </c>
      <c r="E336" s="4">
        <v>11396</v>
      </c>
      <c r="F336" s="4">
        <v>21.4</v>
      </c>
      <c r="G336" s="4">
        <v>36</v>
      </c>
      <c r="H336" s="4" t="s">
        <v>60</v>
      </c>
      <c r="I336" s="4" t="s">
        <v>27</v>
      </c>
      <c r="J336" s="4" t="s">
        <v>21</v>
      </c>
      <c r="K336" s="4">
        <v>125040</v>
      </c>
      <c r="L336" s="4" t="s">
        <v>33</v>
      </c>
      <c r="M336" s="4">
        <v>0.32</v>
      </c>
      <c r="N336" s="4">
        <v>0.92</v>
      </c>
      <c r="O336" s="4">
        <v>0</v>
      </c>
      <c r="P336" s="4">
        <v>0</v>
      </c>
      <c r="Q336" s="6">
        <f t="shared" si="65"/>
        <v>431.68907850147951</v>
      </c>
      <c r="R336" s="6">
        <f t="shared" si="58"/>
        <v>4144.8068260532618</v>
      </c>
      <c r="S336" s="4">
        <f t="shared" si="59"/>
        <v>12386.95652173913</v>
      </c>
      <c r="T336" s="4">
        <f t="shared" si="60"/>
        <v>10420</v>
      </c>
      <c r="U336" s="4">
        <f t="shared" si="61"/>
        <v>3334.4</v>
      </c>
      <c r="V336" s="4">
        <f t="shared" ca="1" si="62"/>
        <v>39</v>
      </c>
      <c r="W336" s="20">
        <f ca="1">V336*Q336</f>
        <v>16835.874061557701</v>
      </c>
      <c r="X336" s="4">
        <f t="shared" si="63"/>
        <v>-11396</v>
      </c>
      <c r="Y336" s="13">
        <f t="shared" si="64"/>
        <v>-1</v>
      </c>
    </row>
    <row r="337" spans="1:25" x14ac:dyDescent="0.3">
      <c r="A337" s="12" t="s">
        <v>716</v>
      </c>
      <c r="B337" s="7">
        <v>44777</v>
      </c>
      <c r="C337" s="4" t="s">
        <v>717</v>
      </c>
      <c r="D337" s="4" t="s">
        <v>65</v>
      </c>
      <c r="E337" s="4">
        <v>18482</v>
      </c>
      <c r="F337" s="4">
        <v>11.3</v>
      </c>
      <c r="G337" s="4">
        <v>60</v>
      </c>
      <c r="H337" s="4" t="s">
        <v>26</v>
      </c>
      <c r="I337" s="4" t="s">
        <v>57</v>
      </c>
      <c r="J337" s="4" t="s">
        <v>28</v>
      </c>
      <c r="K337" s="4">
        <v>94575</v>
      </c>
      <c r="L337" s="4" t="s">
        <v>33</v>
      </c>
      <c r="M337" s="4">
        <v>0.42</v>
      </c>
      <c r="N337" s="4">
        <v>0.95</v>
      </c>
      <c r="O337" s="4">
        <v>3142.25</v>
      </c>
      <c r="P337" s="4">
        <v>0</v>
      </c>
      <c r="Q337" s="6">
        <f t="shared" si="65"/>
        <v>404.61412836269835</v>
      </c>
      <c r="R337" s="6">
        <f t="shared" si="58"/>
        <v>5794.8477017619007</v>
      </c>
      <c r="S337" s="4">
        <f t="shared" si="59"/>
        <v>19454.736842105263</v>
      </c>
      <c r="T337" s="4">
        <f t="shared" si="60"/>
        <v>7881.25</v>
      </c>
      <c r="U337" s="4">
        <f t="shared" si="61"/>
        <v>3310.125</v>
      </c>
      <c r="V337" s="4">
        <f t="shared" ca="1" si="62"/>
        <v>43</v>
      </c>
      <c r="W337" s="20">
        <f ca="1">V337*Q337</f>
        <v>17398.407519596029</v>
      </c>
      <c r="X337" s="4">
        <f t="shared" si="63"/>
        <v>-15339.75</v>
      </c>
      <c r="Y337" s="13">
        <f t="shared" si="64"/>
        <v>-0.82998322692349313</v>
      </c>
    </row>
    <row r="338" spans="1:25" x14ac:dyDescent="0.3">
      <c r="A338" s="12" t="s">
        <v>718</v>
      </c>
      <c r="B338" s="7">
        <v>44986</v>
      </c>
      <c r="C338" s="4" t="s">
        <v>719</v>
      </c>
      <c r="D338" s="4" t="s">
        <v>56</v>
      </c>
      <c r="E338" s="4">
        <v>24411</v>
      </c>
      <c r="F338" s="4">
        <v>21</v>
      </c>
      <c r="G338" s="4">
        <v>36</v>
      </c>
      <c r="H338" s="4" t="s">
        <v>19</v>
      </c>
      <c r="I338" s="4" t="s">
        <v>20</v>
      </c>
      <c r="J338" s="4" t="s">
        <v>21</v>
      </c>
      <c r="K338" s="4">
        <v>102518</v>
      </c>
      <c r="L338" s="4" t="s">
        <v>29</v>
      </c>
      <c r="M338" s="4">
        <v>0.25</v>
      </c>
      <c r="N338" s="4">
        <v>0.7</v>
      </c>
      <c r="O338" s="4">
        <v>29537.31</v>
      </c>
      <c r="P338" s="4">
        <v>0</v>
      </c>
      <c r="Q338" s="6">
        <f t="shared" si="65"/>
        <v>919.68606874377724</v>
      </c>
      <c r="R338" s="6">
        <f t="shared" si="58"/>
        <v>8697.698474775978</v>
      </c>
      <c r="S338" s="4">
        <f t="shared" si="59"/>
        <v>34872.857142857145</v>
      </c>
      <c r="T338" s="4">
        <f t="shared" si="60"/>
        <v>8543.1666666666661</v>
      </c>
      <c r="U338" s="4">
        <f t="shared" si="61"/>
        <v>2135.7916666666665</v>
      </c>
      <c r="V338" s="4">
        <f t="shared" ca="1" si="62"/>
        <v>36</v>
      </c>
      <c r="W338" s="20">
        <f ca="1">V338*Q338</f>
        <v>33108.698474775978</v>
      </c>
      <c r="X338" s="4">
        <f t="shared" si="63"/>
        <v>5126.3100000000013</v>
      </c>
      <c r="Y338" s="13">
        <f t="shared" si="64"/>
        <v>0.21000000000000005</v>
      </c>
    </row>
    <row r="339" spans="1:25" x14ac:dyDescent="0.3">
      <c r="A339" s="12" t="s">
        <v>720</v>
      </c>
      <c r="B339" s="7">
        <v>45057</v>
      </c>
      <c r="C339" s="4" t="s">
        <v>721</v>
      </c>
      <c r="D339" s="4" t="s">
        <v>76</v>
      </c>
      <c r="E339" s="4">
        <v>14261</v>
      </c>
      <c r="F339" s="4">
        <v>24.4</v>
      </c>
      <c r="G339" s="4">
        <v>36</v>
      </c>
      <c r="H339" s="4" t="s">
        <v>81</v>
      </c>
      <c r="I339" s="4" t="s">
        <v>20</v>
      </c>
      <c r="J339" s="4" t="s">
        <v>47</v>
      </c>
      <c r="K339" s="4">
        <v>69104</v>
      </c>
      <c r="L339" s="4" t="s">
        <v>22</v>
      </c>
      <c r="M339" s="4">
        <v>0.37</v>
      </c>
      <c r="N339" s="4">
        <v>0.61</v>
      </c>
      <c r="O339" s="4">
        <v>5563.15</v>
      </c>
      <c r="P339" s="4">
        <v>3087.26</v>
      </c>
      <c r="Q339" s="6">
        <f t="shared" si="65"/>
        <v>562.49921861379482</v>
      </c>
      <c r="R339" s="6">
        <f t="shared" si="58"/>
        <v>5988.971870096615</v>
      </c>
      <c r="S339" s="4">
        <f t="shared" si="59"/>
        <v>23378.688524590165</v>
      </c>
      <c r="T339" s="4">
        <f t="shared" si="60"/>
        <v>5758.666666666667</v>
      </c>
      <c r="U339" s="4">
        <f t="shared" si="61"/>
        <v>2130.7066666666669</v>
      </c>
      <c r="V339" s="4">
        <f t="shared" ca="1" si="62"/>
        <v>34</v>
      </c>
      <c r="W339" s="20">
        <v>0</v>
      </c>
      <c r="X339" s="4">
        <f t="shared" si="63"/>
        <v>-5610.59</v>
      </c>
      <c r="Y339" s="13">
        <f t="shared" si="64"/>
        <v>-0.39342191992146414</v>
      </c>
    </row>
    <row r="340" spans="1:25" x14ac:dyDescent="0.3">
      <c r="A340" s="12" t="s">
        <v>722</v>
      </c>
      <c r="B340" s="7">
        <v>44443</v>
      </c>
      <c r="C340" s="4" t="s">
        <v>723</v>
      </c>
      <c r="D340" s="4" t="s">
        <v>72</v>
      </c>
      <c r="E340" s="4">
        <v>4093</v>
      </c>
      <c r="F340" s="4">
        <v>22.1</v>
      </c>
      <c r="G340" s="4">
        <v>36</v>
      </c>
      <c r="H340" s="4" t="s">
        <v>19</v>
      </c>
      <c r="I340" s="4" t="s">
        <v>27</v>
      </c>
      <c r="J340" s="4" t="s">
        <v>21</v>
      </c>
      <c r="K340" s="4">
        <v>48062</v>
      </c>
      <c r="L340" s="4" t="s">
        <v>33</v>
      </c>
      <c r="M340" s="4">
        <v>0.5</v>
      </c>
      <c r="N340" s="4">
        <v>0.7</v>
      </c>
      <c r="O340" s="4">
        <v>4997.55</v>
      </c>
      <c r="P340" s="4">
        <v>0</v>
      </c>
      <c r="Q340" s="6">
        <f t="shared" si="65"/>
        <v>156.52534762499289</v>
      </c>
      <c r="R340" s="6">
        <f t="shared" si="58"/>
        <v>1541.9125144997442</v>
      </c>
      <c r="S340" s="4">
        <f t="shared" si="59"/>
        <v>5847.1428571428578</v>
      </c>
      <c r="T340" s="4">
        <f t="shared" si="60"/>
        <v>4005.1666666666665</v>
      </c>
      <c r="U340" s="4">
        <f t="shared" si="61"/>
        <v>2002.5833333333333</v>
      </c>
      <c r="V340" s="4">
        <f t="shared" ca="1" si="62"/>
        <v>54</v>
      </c>
      <c r="W340" s="20">
        <f ca="1">V340*Q340</f>
        <v>8452.3687717496159</v>
      </c>
      <c r="X340" s="4">
        <f t="shared" si="63"/>
        <v>904.55000000000018</v>
      </c>
      <c r="Y340" s="13">
        <f t="shared" si="64"/>
        <v>0.22099926704129005</v>
      </c>
    </row>
    <row r="341" spans="1:25" x14ac:dyDescent="0.3">
      <c r="A341" s="12" t="s">
        <v>724</v>
      </c>
      <c r="B341" s="7">
        <v>44350</v>
      </c>
      <c r="C341" s="4" t="s">
        <v>725</v>
      </c>
      <c r="D341" s="4" t="s">
        <v>65</v>
      </c>
      <c r="E341" s="4">
        <v>12722</v>
      </c>
      <c r="F341" s="4">
        <v>7.4</v>
      </c>
      <c r="G341" s="4">
        <v>60</v>
      </c>
      <c r="H341" s="4" t="s">
        <v>19</v>
      </c>
      <c r="I341" s="4" t="s">
        <v>84</v>
      </c>
      <c r="J341" s="4" t="s">
        <v>21</v>
      </c>
      <c r="K341" s="4">
        <v>46999</v>
      </c>
      <c r="L341" s="4" t="s">
        <v>29</v>
      </c>
      <c r="M341" s="4">
        <v>0.19</v>
      </c>
      <c r="N341" s="4">
        <v>0.88</v>
      </c>
      <c r="O341" s="4">
        <v>13663.43</v>
      </c>
      <c r="P341" s="4">
        <v>0</v>
      </c>
      <c r="Q341" s="6">
        <f t="shared" si="65"/>
        <v>254.318667737314</v>
      </c>
      <c r="R341" s="6">
        <f t="shared" si="58"/>
        <v>2537.1200642388394</v>
      </c>
      <c r="S341" s="4">
        <f t="shared" si="59"/>
        <v>14456.818181818182</v>
      </c>
      <c r="T341" s="4">
        <f t="shared" si="60"/>
        <v>3916.5833333333335</v>
      </c>
      <c r="U341" s="4">
        <f t="shared" si="61"/>
        <v>744.15083333333337</v>
      </c>
      <c r="V341" s="4">
        <f t="shared" ca="1" si="62"/>
        <v>57</v>
      </c>
      <c r="W341" s="20">
        <f ca="1">V341*Q341</f>
        <v>14496.164061026899</v>
      </c>
      <c r="X341" s="4">
        <f t="shared" si="63"/>
        <v>941.43000000000029</v>
      </c>
      <c r="Y341" s="13">
        <f t="shared" si="64"/>
        <v>7.4000157207986195E-2</v>
      </c>
    </row>
    <row r="342" spans="1:25" x14ac:dyDescent="0.3">
      <c r="A342" s="12" t="s">
        <v>726</v>
      </c>
      <c r="B342" s="7">
        <v>45193</v>
      </c>
      <c r="C342" s="4" t="s">
        <v>727</v>
      </c>
      <c r="D342" s="4" t="s">
        <v>50</v>
      </c>
      <c r="E342" s="4">
        <v>23042</v>
      </c>
      <c r="F342" s="4">
        <v>19.8</v>
      </c>
      <c r="G342" s="4">
        <v>60</v>
      </c>
      <c r="H342" s="4" t="s">
        <v>81</v>
      </c>
      <c r="I342" s="4" t="s">
        <v>84</v>
      </c>
      <c r="J342" s="4" t="s">
        <v>28</v>
      </c>
      <c r="K342" s="4">
        <v>91845</v>
      </c>
      <c r="L342" s="4" t="s">
        <v>33</v>
      </c>
      <c r="M342" s="4">
        <v>0.26</v>
      </c>
      <c r="N342" s="4">
        <v>0.59</v>
      </c>
      <c r="O342" s="4">
        <v>3410.73</v>
      </c>
      <c r="P342" s="4">
        <v>2992.03</v>
      </c>
      <c r="Q342" s="6">
        <f t="shared" si="65"/>
        <v>607.91071714746613</v>
      </c>
      <c r="R342" s="6">
        <f t="shared" si="58"/>
        <v>13432.643028847968</v>
      </c>
      <c r="S342" s="4">
        <f t="shared" si="59"/>
        <v>39054.237288135599</v>
      </c>
      <c r="T342" s="4">
        <f t="shared" si="60"/>
        <v>7653.75</v>
      </c>
      <c r="U342" s="4">
        <f t="shared" si="61"/>
        <v>1989.9750000000001</v>
      </c>
      <c r="V342" s="4">
        <f t="shared" ca="1" si="62"/>
        <v>29</v>
      </c>
      <c r="W342" s="20">
        <v>0</v>
      </c>
      <c r="X342" s="4">
        <f t="shared" si="63"/>
        <v>-16639.239999999998</v>
      </c>
      <c r="Y342" s="13">
        <f t="shared" si="64"/>
        <v>-0.72212655151462535</v>
      </c>
    </row>
    <row r="343" spans="1:25" x14ac:dyDescent="0.3">
      <c r="A343" s="12" t="s">
        <v>728</v>
      </c>
      <c r="B343" s="7">
        <v>44893</v>
      </c>
      <c r="C343" s="4" t="s">
        <v>729</v>
      </c>
      <c r="D343" s="4" t="s">
        <v>25</v>
      </c>
      <c r="E343" s="4">
        <v>29087</v>
      </c>
      <c r="F343" s="4">
        <v>11.4</v>
      </c>
      <c r="G343" s="4">
        <v>60</v>
      </c>
      <c r="H343" s="4" t="s">
        <v>26</v>
      </c>
      <c r="I343" s="4" t="s">
        <v>36</v>
      </c>
      <c r="J343" s="4" t="s">
        <v>32</v>
      </c>
      <c r="K343" s="4">
        <v>39941</v>
      </c>
      <c r="L343" s="4" t="s">
        <v>22</v>
      </c>
      <c r="M343" s="4">
        <v>0.28999999999999998</v>
      </c>
      <c r="N343" s="4">
        <v>0.93</v>
      </c>
      <c r="O343" s="4">
        <v>11759.78</v>
      </c>
      <c r="P343" s="4">
        <v>0</v>
      </c>
      <c r="Q343" s="6">
        <f t="shared" si="65"/>
        <v>638.23968980208451</v>
      </c>
      <c r="R343" s="6">
        <f t="shared" si="58"/>
        <v>9207.381388125068</v>
      </c>
      <c r="S343" s="4">
        <f t="shared" si="59"/>
        <v>31276.344086021505</v>
      </c>
      <c r="T343" s="4">
        <f t="shared" si="60"/>
        <v>3328.4166666666665</v>
      </c>
      <c r="U343" s="4">
        <f t="shared" si="61"/>
        <v>965.24083333333317</v>
      </c>
      <c r="V343" s="4">
        <f t="shared" ca="1" si="62"/>
        <v>39</v>
      </c>
      <c r="W343" s="20">
        <f t="shared" ref="W343:W349" ca="1" si="66">V343*Q343</f>
        <v>24891.347902281297</v>
      </c>
      <c r="X343" s="4">
        <f t="shared" si="63"/>
        <v>-17327.22</v>
      </c>
      <c r="Y343" s="13">
        <f t="shared" si="64"/>
        <v>-0.59570323512221957</v>
      </c>
    </row>
    <row r="344" spans="1:25" x14ac:dyDescent="0.3">
      <c r="A344" s="12" t="s">
        <v>730</v>
      </c>
      <c r="B344" s="7">
        <v>45289</v>
      </c>
      <c r="C344" s="4" t="s">
        <v>731</v>
      </c>
      <c r="D344" s="4" t="s">
        <v>53</v>
      </c>
      <c r="E344" s="4">
        <v>33347</v>
      </c>
      <c r="F344" s="4">
        <v>24.8</v>
      </c>
      <c r="G344" s="4">
        <v>36</v>
      </c>
      <c r="H344" s="4" t="s">
        <v>19</v>
      </c>
      <c r="I344" s="4" t="s">
        <v>84</v>
      </c>
      <c r="J344" s="4" t="s">
        <v>21</v>
      </c>
      <c r="K344" s="4">
        <v>91169</v>
      </c>
      <c r="L344" s="4" t="s">
        <v>29</v>
      </c>
      <c r="M344" s="4">
        <v>0.16</v>
      </c>
      <c r="N344" s="4">
        <v>0.65</v>
      </c>
      <c r="O344" s="4">
        <v>41617.06</v>
      </c>
      <c r="P344" s="4">
        <v>0</v>
      </c>
      <c r="Q344" s="6">
        <f t="shared" si="65"/>
        <v>1322.3461015875826</v>
      </c>
      <c r="R344" s="6">
        <f t="shared" si="58"/>
        <v>14257.459657152969</v>
      </c>
      <c r="S344" s="4">
        <f t="shared" si="59"/>
        <v>51303.076923076922</v>
      </c>
      <c r="T344" s="4">
        <f t="shared" si="60"/>
        <v>7597.416666666667</v>
      </c>
      <c r="U344" s="4">
        <f t="shared" si="61"/>
        <v>1215.5866666666668</v>
      </c>
      <c r="V344" s="4">
        <f t="shared" ca="1" si="62"/>
        <v>26</v>
      </c>
      <c r="W344" s="20">
        <f t="shared" ca="1" si="66"/>
        <v>34380.998641277147</v>
      </c>
      <c r="X344" s="4">
        <f t="shared" si="63"/>
        <v>8270.0599999999977</v>
      </c>
      <c r="Y344" s="13">
        <f t="shared" si="64"/>
        <v>0.24800011995082008</v>
      </c>
    </row>
    <row r="345" spans="1:25" x14ac:dyDescent="0.3">
      <c r="A345" s="12" t="s">
        <v>732</v>
      </c>
      <c r="B345" s="7">
        <v>45267</v>
      </c>
      <c r="C345" s="4" t="s">
        <v>733</v>
      </c>
      <c r="D345" s="4" t="s">
        <v>72</v>
      </c>
      <c r="E345" s="4">
        <v>34756</v>
      </c>
      <c r="F345" s="4">
        <v>14.7</v>
      </c>
      <c r="G345" s="4">
        <v>60</v>
      </c>
      <c r="H345" s="4" t="s">
        <v>19</v>
      </c>
      <c r="I345" s="4" t="s">
        <v>41</v>
      </c>
      <c r="J345" s="4" t="s">
        <v>21</v>
      </c>
      <c r="K345" s="4">
        <v>53470</v>
      </c>
      <c r="L345" s="4" t="s">
        <v>33</v>
      </c>
      <c r="M345" s="4">
        <v>0.13</v>
      </c>
      <c r="N345" s="4">
        <v>0.94</v>
      </c>
      <c r="O345" s="4">
        <v>39865.129999999997</v>
      </c>
      <c r="P345" s="4">
        <v>0</v>
      </c>
      <c r="Q345" s="6">
        <f t="shared" si="65"/>
        <v>821.37974801087626</v>
      </c>
      <c r="R345" s="6">
        <f t="shared" si="58"/>
        <v>14526.784880652573</v>
      </c>
      <c r="S345" s="4">
        <f t="shared" si="59"/>
        <v>36974.468085106382</v>
      </c>
      <c r="T345" s="4">
        <f t="shared" si="60"/>
        <v>4455.833333333333</v>
      </c>
      <c r="U345" s="4">
        <f t="shared" si="61"/>
        <v>579.25833333333333</v>
      </c>
      <c r="V345" s="4">
        <f t="shared" ca="1" si="62"/>
        <v>27</v>
      </c>
      <c r="W345" s="20">
        <f t="shared" ca="1" si="66"/>
        <v>22177.253196293659</v>
      </c>
      <c r="X345" s="4">
        <f t="shared" si="63"/>
        <v>5109.1299999999974</v>
      </c>
      <c r="Y345" s="13">
        <f t="shared" si="64"/>
        <v>0.14699994245597875</v>
      </c>
    </row>
    <row r="346" spans="1:25" x14ac:dyDescent="0.3">
      <c r="A346" s="12" t="s">
        <v>734</v>
      </c>
      <c r="B346" s="7">
        <v>45205</v>
      </c>
      <c r="C346" s="4" t="s">
        <v>735</v>
      </c>
      <c r="D346" s="4" t="s">
        <v>50</v>
      </c>
      <c r="E346" s="4">
        <v>17335</v>
      </c>
      <c r="F346" s="4">
        <v>7.4</v>
      </c>
      <c r="G346" s="4">
        <v>36</v>
      </c>
      <c r="H346" s="4" t="s">
        <v>19</v>
      </c>
      <c r="I346" s="4" t="s">
        <v>20</v>
      </c>
      <c r="J346" s="4" t="s">
        <v>47</v>
      </c>
      <c r="K346" s="4">
        <v>140684</v>
      </c>
      <c r="L346" s="4" t="s">
        <v>29</v>
      </c>
      <c r="M346" s="4">
        <v>0.43</v>
      </c>
      <c r="N346" s="4">
        <v>0.88</v>
      </c>
      <c r="O346" s="4">
        <v>18617.79</v>
      </c>
      <c r="P346" s="4">
        <v>0</v>
      </c>
      <c r="Q346" s="6">
        <f t="shared" si="65"/>
        <v>538.4305046873493</v>
      </c>
      <c r="R346" s="6">
        <f t="shared" si="58"/>
        <v>2048.4981687445761</v>
      </c>
      <c r="S346" s="4">
        <f t="shared" si="59"/>
        <v>19698.863636363636</v>
      </c>
      <c r="T346" s="4">
        <f t="shared" si="60"/>
        <v>11723.666666666666</v>
      </c>
      <c r="U346" s="4">
        <f t="shared" si="61"/>
        <v>5041.1766666666663</v>
      </c>
      <c r="V346" s="4">
        <f t="shared" ca="1" si="62"/>
        <v>29</v>
      </c>
      <c r="W346" s="20">
        <f t="shared" ca="1" si="66"/>
        <v>15614.48463593313</v>
      </c>
      <c r="X346" s="4">
        <f t="shared" si="63"/>
        <v>1282.7900000000009</v>
      </c>
      <c r="Y346" s="13">
        <f t="shared" si="64"/>
        <v>7.4000000000000052E-2</v>
      </c>
    </row>
    <row r="347" spans="1:25" x14ac:dyDescent="0.3">
      <c r="A347" s="12" t="s">
        <v>736</v>
      </c>
      <c r="B347" s="7">
        <v>44290</v>
      </c>
      <c r="C347" s="4" t="s">
        <v>737</v>
      </c>
      <c r="D347" s="4" t="s">
        <v>76</v>
      </c>
      <c r="E347" s="4">
        <v>29602</v>
      </c>
      <c r="F347" s="4">
        <v>19.5</v>
      </c>
      <c r="G347" s="4">
        <v>36</v>
      </c>
      <c r="H347" s="4" t="s">
        <v>19</v>
      </c>
      <c r="I347" s="4" t="s">
        <v>27</v>
      </c>
      <c r="J347" s="4" t="s">
        <v>47</v>
      </c>
      <c r="K347" s="4">
        <v>89821</v>
      </c>
      <c r="L347" s="4" t="s">
        <v>33</v>
      </c>
      <c r="M347" s="4">
        <v>0.49</v>
      </c>
      <c r="N347" s="4">
        <v>0.86</v>
      </c>
      <c r="O347" s="4">
        <v>35374.39</v>
      </c>
      <c r="P347" s="4">
        <v>0</v>
      </c>
      <c r="Q347" s="6">
        <f t="shared" si="65"/>
        <v>1092.5894082425268</v>
      </c>
      <c r="R347" s="6">
        <f t="shared" si="58"/>
        <v>9731.2186967309681</v>
      </c>
      <c r="S347" s="4">
        <f t="shared" si="59"/>
        <v>34420.930232558138</v>
      </c>
      <c r="T347" s="4">
        <f t="shared" si="60"/>
        <v>7485.083333333333</v>
      </c>
      <c r="U347" s="4">
        <f t="shared" si="61"/>
        <v>3667.6908333333331</v>
      </c>
      <c r="V347" s="4">
        <f t="shared" ca="1" si="62"/>
        <v>59</v>
      </c>
      <c r="W347" s="20">
        <f t="shared" ca="1" si="66"/>
        <v>64462.775086309084</v>
      </c>
      <c r="X347" s="4">
        <f t="shared" si="63"/>
        <v>5772.3899999999994</v>
      </c>
      <c r="Y347" s="13">
        <f t="shared" si="64"/>
        <v>0.19499999999999998</v>
      </c>
    </row>
    <row r="348" spans="1:25" x14ac:dyDescent="0.3">
      <c r="A348" s="12" t="s">
        <v>738</v>
      </c>
      <c r="B348" s="7">
        <v>45154</v>
      </c>
      <c r="C348" s="4" t="s">
        <v>739</v>
      </c>
      <c r="D348" s="4" t="s">
        <v>50</v>
      </c>
      <c r="E348" s="4">
        <v>35450</v>
      </c>
      <c r="F348" s="4">
        <v>11.5</v>
      </c>
      <c r="G348" s="4">
        <v>60</v>
      </c>
      <c r="H348" s="4" t="s">
        <v>19</v>
      </c>
      <c r="I348" s="4" t="s">
        <v>73</v>
      </c>
      <c r="J348" s="4" t="s">
        <v>47</v>
      </c>
      <c r="K348" s="4">
        <v>116669</v>
      </c>
      <c r="L348" s="4" t="s">
        <v>33</v>
      </c>
      <c r="M348" s="4">
        <v>0.26</v>
      </c>
      <c r="N348" s="4">
        <v>0.64</v>
      </c>
      <c r="O348" s="4">
        <v>39526.75</v>
      </c>
      <c r="P348" s="4">
        <v>0</v>
      </c>
      <c r="Q348" s="6">
        <f t="shared" si="65"/>
        <v>779.63793143915564</v>
      </c>
      <c r="R348" s="6">
        <f t="shared" si="58"/>
        <v>11328.275886349336</v>
      </c>
      <c r="S348" s="4">
        <f t="shared" si="59"/>
        <v>55390.625</v>
      </c>
      <c r="T348" s="4">
        <f t="shared" si="60"/>
        <v>9722.4166666666661</v>
      </c>
      <c r="U348" s="4">
        <f t="shared" si="61"/>
        <v>2527.8283333333334</v>
      </c>
      <c r="V348" s="4">
        <f t="shared" ca="1" si="62"/>
        <v>31</v>
      </c>
      <c r="W348" s="20">
        <f t="shared" ca="1" si="66"/>
        <v>24168.775874613824</v>
      </c>
      <c r="X348" s="4">
        <f t="shared" si="63"/>
        <v>4076.75</v>
      </c>
      <c r="Y348" s="13">
        <f t="shared" si="64"/>
        <v>0.115</v>
      </c>
    </row>
    <row r="349" spans="1:25" x14ac:dyDescent="0.3">
      <c r="A349" s="12" t="s">
        <v>740</v>
      </c>
      <c r="B349" s="7">
        <v>45208</v>
      </c>
      <c r="C349" s="4" t="s">
        <v>741</v>
      </c>
      <c r="D349" s="4" t="s">
        <v>56</v>
      </c>
      <c r="E349" s="4">
        <v>33196</v>
      </c>
      <c r="F349" s="4">
        <v>24.9</v>
      </c>
      <c r="G349" s="4">
        <v>36</v>
      </c>
      <c r="H349" s="4" t="s">
        <v>60</v>
      </c>
      <c r="I349" s="4" t="s">
        <v>57</v>
      </c>
      <c r="J349" s="4" t="s">
        <v>37</v>
      </c>
      <c r="K349" s="4">
        <v>148193</v>
      </c>
      <c r="L349" s="4" t="s">
        <v>22</v>
      </c>
      <c r="M349" s="4">
        <v>0.14000000000000001</v>
      </c>
      <c r="N349" s="4">
        <v>0.5</v>
      </c>
      <c r="O349" s="4">
        <v>0</v>
      </c>
      <c r="P349" s="4">
        <v>0</v>
      </c>
      <c r="Q349" s="6">
        <f t="shared" si="65"/>
        <v>1318.1121200519037</v>
      </c>
      <c r="R349" s="6">
        <f t="shared" si="58"/>
        <v>14256.036321868538</v>
      </c>
      <c r="S349" s="4">
        <f t="shared" si="59"/>
        <v>66392</v>
      </c>
      <c r="T349" s="4">
        <f t="shared" si="60"/>
        <v>12349.416666666666</v>
      </c>
      <c r="U349" s="4">
        <f t="shared" si="61"/>
        <v>1728.9183333333335</v>
      </c>
      <c r="V349" s="4">
        <f t="shared" ca="1" si="62"/>
        <v>29</v>
      </c>
      <c r="W349" s="20">
        <f t="shared" ca="1" si="66"/>
        <v>38225.251481505205</v>
      </c>
      <c r="X349" s="4">
        <f t="shared" si="63"/>
        <v>-33196</v>
      </c>
      <c r="Y349" s="13">
        <f t="shared" si="64"/>
        <v>-1</v>
      </c>
    </row>
    <row r="350" spans="1:25" x14ac:dyDescent="0.3">
      <c r="A350" s="12" t="s">
        <v>742</v>
      </c>
      <c r="B350" s="7">
        <v>44649</v>
      </c>
      <c r="C350" s="4" t="s">
        <v>743</v>
      </c>
      <c r="D350" s="4" t="s">
        <v>25</v>
      </c>
      <c r="E350" s="4">
        <v>6626</v>
      </c>
      <c r="F350" s="4">
        <v>24.6</v>
      </c>
      <c r="G350" s="4">
        <v>36</v>
      </c>
      <c r="H350" s="4" t="s">
        <v>81</v>
      </c>
      <c r="I350" s="4" t="s">
        <v>41</v>
      </c>
      <c r="J350" s="4" t="s">
        <v>21</v>
      </c>
      <c r="K350" s="4">
        <v>74435</v>
      </c>
      <c r="L350" s="4" t="s">
        <v>22</v>
      </c>
      <c r="M350" s="4">
        <v>0.13</v>
      </c>
      <c r="N350" s="4">
        <v>0.67</v>
      </c>
      <c r="O350" s="4">
        <v>2618.92</v>
      </c>
      <c r="P350" s="4">
        <v>2120.33</v>
      </c>
      <c r="Q350" s="6">
        <f t="shared" si="65"/>
        <v>262.04887011468395</v>
      </c>
      <c r="R350" s="6">
        <f t="shared" si="58"/>
        <v>2807.7593241286231</v>
      </c>
      <c r="S350" s="4">
        <f t="shared" si="59"/>
        <v>9889.552238805969</v>
      </c>
      <c r="T350" s="4">
        <f t="shared" si="60"/>
        <v>6202.916666666667</v>
      </c>
      <c r="U350" s="4">
        <f t="shared" si="61"/>
        <v>806.37916666666672</v>
      </c>
      <c r="V350" s="4">
        <f t="shared" ca="1" si="62"/>
        <v>47</v>
      </c>
      <c r="W350" s="20">
        <v>0</v>
      </c>
      <c r="X350" s="4">
        <f t="shared" si="63"/>
        <v>-1886.75</v>
      </c>
      <c r="Y350" s="13">
        <f t="shared" si="64"/>
        <v>-0.28474947177784488</v>
      </c>
    </row>
    <row r="351" spans="1:25" x14ac:dyDescent="0.3">
      <c r="A351" s="12" t="s">
        <v>744</v>
      </c>
      <c r="B351" s="7">
        <v>45108</v>
      </c>
      <c r="C351" s="4" t="s">
        <v>745</v>
      </c>
      <c r="D351" s="4" t="s">
        <v>40</v>
      </c>
      <c r="E351" s="4">
        <v>8424</v>
      </c>
      <c r="F351" s="4">
        <v>18.100000000000001</v>
      </c>
      <c r="G351" s="4">
        <v>36</v>
      </c>
      <c r="H351" s="4" t="s">
        <v>81</v>
      </c>
      <c r="I351" s="4" t="s">
        <v>36</v>
      </c>
      <c r="J351" s="4" t="s">
        <v>47</v>
      </c>
      <c r="K351" s="4">
        <v>34529</v>
      </c>
      <c r="L351" s="4" t="s">
        <v>33</v>
      </c>
      <c r="M351" s="4">
        <v>0.46</v>
      </c>
      <c r="N351" s="4">
        <v>0.64</v>
      </c>
      <c r="O351" s="4">
        <v>892.7</v>
      </c>
      <c r="P351" s="4">
        <v>1919.6</v>
      </c>
      <c r="Q351" s="6">
        <f t="shared" si="65"/>
        <v>304.97053585297743</v>
      </c>
      <c r="R351" s="6">
        <f t="shared" si="58"/>
        <v>2554.939290707187</v>
      </c>
      <c r="S351" s="4">
        <f t="shared" si="59"/>
        <v>13162.5</v>
      </c>
      <c r="T351" s="4">
        <f t="shared" si="60"/>
        <v>2877.4166666666665</v>
      </c>
      <c r="U351" s="4">
        <f t="shared" si="61"/>
        <v>1323.6116666666667</v>
      </c>
      <c r="V351" s="4">
        <f t="shared" ca="1" si="62"/>
        <v>32</v>
      </c>
      <c r="W351" s="20">
        <v>0</v>
      </c>
      <c r="X351" s="4">
        <f t="shared" si="63"/>
        <v>-5611.7</v>
      </c>
      <c r="Y351" s="13">
        <f t="shared" si="64"/>
        <v>-0.66615622032288702</v>
      </c>
    </row>
    <row r="352" spans="1:25" x14ac:dyDescent="0.3">
      <c r="A352" s="12" t="s">
        <v>746</v>
      </c>
      <c r="B352" s="7">
        <v>44414</v>
      </c>
      <c r="C352" s="4" t="s">
        <v>747</v>
      </c>
      <c r="D352" s="4" t="s">
        <v>72</v>
      </c>
      <c r="E352" s="4">
        <v>13857</v>
      </c>
      <c r="F352" s="4">
        <v>7.6</v>
      </c>
      <c r="G352" s="4">
        <v>60</v>
      </c>
      <c r="H352" s="4" t="s">
        <v>19</v>
      </c>
      <c r="I352" s="4" t="s">
        <v>20</v>
      </c>
      <c r="J352" s="4" t="s">
        <v>28</v>
      </c>
      <c r="K352" s="4">
        <v>113055</v>
      </c>
      <c r="L352" s="4" t="s">
        <v>29</v>
      </c>
      <c r="M352" s="4">
        <v>0.28999999999999998</v>
      </c>
      <c r="N352" s="4">
        <v>0.52</v>
      </c>
      <c r="O352" s="4">
        <v>14910.13</v>
      </c>
      <c r="P352" s="4">
        <v>0</v>
      </c>
      <c r="Q352" s="6">
        <f t="shared" si="65"/>
        <v>278.32480423081836</v>
      </c>
      <c r="R352" s="6">
        <f t="shared" si="58"/>
        <v>2842.4882538491001</v>
      </c>
      <c r="S352" s="4">
        <f t="shared" si="59"/>
        <v>26648.076923076922</v>
      </c>
      <c r="T352" s="4">
        <f t="shared" si="60"/>
        <v>9421.25</v>
      </c>
      <c r="U352" s="4">
        <f t="shared" si="61"/>
        <v>2732.1624999999999</v>
      </c>
      <c r="V352" s="4">
        <f t="shared" ca="1" si="62"/>
        <v>55</v>
      </c>
      <c r="W352" s="20">
        <f ca="1">V352*Q352</f>
        <v>15307.86423269501</v>
      </c>
      <c r="X352" s="4">
        <f t="shared" si="63"/>
        <v>1053.1299999999992</v>
      </c>
      <c r="Y352" s="13">
        <f t="shared" si="64"/>
        <v>7.5999855668615085E-2</v>
      </c>
    </row>
    <row r="353" spans="1:25" x14ac:dyDescent="0.3">
      <c r="A353" s="12" t="s">
        <v>748</v>
      </c>
      <c r="B353" s="7">
        <v>44670</v>
      </c>
      <c r="C353" s="4" t="s">
        <v>749</v>
      </c>
      <c r="D353" s="4" t="s">
        <v>25</v>
      </c>
      <c r="E353" s="4">
        <v>20982</v>
      </c>
      <c r="F353" s="4">
        <v>18.7</v>
      </c>
      <c r="G353" s="4">
        <v>36</v>
      </c>
      <c r="H353" s="4" t="s">
        <v>26</v>
      </c>
      <c r="I353" s="4" t="s">
        <v>20</v>
      </c>
      <c r="J353" s="4" t="s">
        <v>37</v>
      </c>
      <c r="K353" s="4">
        <v>42192</v>
      </c>
      <c r="L353" s="4" t="s">
        <v>29</v>
      </c>
      <c r="M353" s="4">
        <v>0.23</v>
      </c>
      <c r="N353" s="4">
        <v>0.73</v>
      </c>
      <c r="O353" s="4">
        <v>7649.25</v>
      </c>
      <c r="P353" s="4">
        <v>0</v>
      </c>
      <c r="Q353" s="6">
        <f t="shared" si="65"/>
        <v>765.93780265028158</v>
      </c>
      <c r="R353" s="6">
        <f t="shared" si="58"/>
        <v>6591.7608954101379</v>
      </c>
      <c r="S353" s="4">
        <f t="shared" si="59"/>
        <v>28742.465753424658</v>
      </c>
      <c r="T353" s="4">
        <f t="shared" si="60"/>
        <v>3516</v>
      </c>
      <c r="U353" s="4">
        <f t="shared" si="61"/>
        <v>808.68000000000006</v>
      </c>
      <c r="V353" s="4">
        <f t="shared" ca="1" si="62"/>
        <v>47</v>
      </c>
      <c r="W353" s="20">
        <f ca="1">V353*Q353</f>
        <v>35999.076724563238</v>
      </c>
      <c r="X353" s="4">
        <f t="shared" si="63"/>
        <v>-13332.75</v>
      </c>
      <c r="Y353" s="13">
        <f t="shared" si="64"/>
        <v>-0.63543751787246217</v>
      </c>
    </row>
    <row r="354" spans="1:25" x14ac:dyDescent="0.3">
      <c r="A354" s="12" t="s">
        <v>750</v>
      </c>
      <c r="B354" s="7">
        <v>44628</v>
      </c>
      <c r="C354" s="4" t="s">
        <v>751</v>
      </c>
      <c r="D354" s="4" t="s">
        <v>18</v>
      </c>
      <c r="E354" s="4">
        <v>12425</v>
      </c>
      <c r="F354" s="4">
        <v>6.9</v>
      </c>
      <c r="G354" s="4">
        <v>36</v>
      </c>
      <c r="H354" s="4" t="s">
        <v>81</v>
      </c>
      <c r="I354" s="4" t="s">
        <v>27</v>
      </c>
      <c r="J354" s="4" t="s">
        <v>32</v>
      </c>
      <c r="K354" s="4">
        <v>104102</v>
      </c>
      <c r="L354" s="4" t="s">
        <v>22</v>
      </c>
      <c r="M354" s="4">
        <v>0.28999999999999998</v>
      </c>
      <c r="N354" s="4">
        <v>0.68</v>
      </c>
      <c r="O354" s="4">
        <v>2185.23</v>
      </c>
      <c r="P354" s="4">
        <v>5996.91</v>
      </c>
      <c r="Q354" s="6">
        <f t="shared" si="65"/>
        <v>383.0800933395717</v>
      </c>
      <c r="R354" s="6">
        <f t="shared" si="58"/>
        <v>1365.8833602245813</v>
      </c>
      <c r="S354" s="4">
        <f t="shared" si="59"/>
        <v>18272.058823529409</v>
      </c>
      <c r="T354" s="4">
        <f t="shared" si="60"/>
        <v>8675.1666666666661</v>
      </c>
      <c r="U354" s="4">
        <f t="shared" si="61"/>
        <v>2515.7983333333332</v>
      </c>
      <c r="V354" s="4">
        <f t="shared" ca="1" si="62"/>
        <v>48</v>
      </c>
      <c r="W354" s="20">
        <v>0</v>
      </c>
      <c r="X354" s="4">
        <f t="shared" si="63"/>
        <v>-4242.8600000000006</v>
      </c>
      <c r="Y354" s="13">
        <f t="shared" si="64"/>
        <v>-0.3414776659959759</v>
      </c>
    </row>
    <row r="355" spans="1:25" x14ac:dyDescent="0.3">
      <c r="A355" s="12" t="s">
        <v>752</v>
      </c>
      <c r="B355" s="7">
        <v>44537</v>
      </c>
      <c r="C355" s="4" t="s">
        <v>753</v>
      </c>
      <c r="D355" s="4" t="s">
        <v>65</v>
      </c>
      <c r="E355" s="4">
        <v>2980</v>
      </c>
      <c r="F355" s="4">
        <v>5.6</v>
      </c>
      <c r="G355" s="4">
        <v>60</v>
      </c>
      <c r="H355" s="4" t="s">
        <v>81</v>
      </c>
      <c r="I355" s="4" t="s">
        <v>73</v>
      </c>
      <c r="J355" s="4" t="s">
        <v>21</v>
      </c>
      <c r="K355" s="4">
        <v>102762</v>
      </c>
      <c r="L355" s="4" t="s">
        <v>33</v>
      </c>
      <c r="M355" s="4">
        <v>0.23</v>
      </c>
      <c r="N355" s="4">
        <v>0.79</v>
      </c>
      <c r="O355" s="4">
        <v>334.2</v>
      </c>
      <c r="P355" s="4">
        <v>420.5</v>
      </c>
      <c r="Q355" s="6">
        <f t="shared" si="65"/>
        <v>57.059112792144205</v>
      </c>
      <c r="R355" s="6">
        <f t="shared" si="58"/>
        <v>443.54676752865225</v>
      </c>
      <c r="S355" s="4">
        <f t="shared" si="59"/>
        <v>3772.1518987341769</v>
      </c>
      <c r="T355" s="4">
        <f t="shared" si="60"/>
        <v>8563.5</v>
      </c>
      <c r="U355" s="4">
        <f t="shared" si="61"/>
        <v>1969.605</v>
      </c>
      <c r="V355" s="4">
        <f t="shared" ca="1" si="62"/>
        <v>51</v>
      </c>
      <c r="W355" s="20">
        <v>0</v>
      </c>
      <c r="X355" s="4">
        <f t="shared" si="63"/>
        <v>-2225.3000000000002</v>
      </c>
      <c r="Y355" s="13">
        <f t="shared" si="64"/>
        <v>-0.74674496644295307</v>
      </c>
    </row>
    <row r="356" spans="1:25" x14ac:dyDescent="0.3">
      <c r="A356" s="12" t="s">
        <v>754</v>
      </c>
      <c r="B356" s="7">
        <v>44747</v>
      </c>
      <c r="C356" s="4" t="s">
        <v>755</v>
      </c>
      <c r="D356" s="4" t="s">
        <v>18</v>
      </c>
      <c r="E356" s="4">
        <v>27431</v>
      </c>
      <c r="F356" s="4">
        <v>21.5</v>
      </c>
      <c r="G356" s="4">
        <v>36</v>
      </c>
      <c r="H356" s="4" t="s">
        <v>19</v>
      </c>
      <c r="I356" s="4" t="s">
        <v>36</v>
      </c>
      <c r="J356" s="4" t="s">
        <v>21</v>
      </c>
      <c r="K356" s="4">
        <v>133466</v>
      </c>
      <c r="L356" s="4" t="s">
        <v>22</v>
      </c>
      <c r="M356" s="4">
        <v>0.3</v>
      </c>
      <c r="N356" s="4">
        <v>0.78</v>
      </c>
      <c r="O356" s="4">
        <v>33328.660000000003</v>
      </c>
      <c r="P356" s="4">
        <v>0</v>
      </c>
      <c r="Q356" s="6">
        <f t="shared" si="65"/>
        <v>1040.5202003914226</v>
      </c>
      <c r="R356" s="6">
        <f t="shared" si="58"/>
        <v>10027.72721409121</v>
      </c>
      <c r="S356" s="4">
        <f t="shared" si="59"/>
        <v>35167.948717948719</v>
      </c>
      <c r="T356" s="4">
        <f t="shared" si="60"/>
        <v>11122.166666666666</v>
      </c>
      <c r="U356" s="4">
        <f t="shared" si="61"/>
        <v>3336.6499999999996</v>
      </c>
      <c r="V356" s="4">
        <f t="shared" ca="1" si="62"/>
        <v>44</v>
      </c>
      <c r="W356" s="20">
        <f t="shared" ref="W356:W372" ca="1" si="67">V356*Q356</f>
        <v>45782.888817222592</v>
      </c>
      <c r="X356" s="4">
        <f t="shared" si="63"/>
        <v>5897.6600000000035</v>
      </c>
      <c r="Y356" s="13">
        <f t="shared" si="64"/>
        <v>0.21499981772447244</v>
      </c>
    </row>
    <row r="357" spans="1:25" x14ac:dyDescent="0.3">
      <c r="A357" s="12" t="s">
        <v>756</v>
      </c>
      <c r="B357" s="7">
        <v>44553</v>
      </c>
      <c r="C357" s="4" t="s">
        <v>757</v>
      </c>
      <c r="D357" s="4" t="s">
        <v>65</v>
      </c>
      <c r="E357" s="4">
        <v>20440</v>
      </c>
      <c r="F357" s="4">
        <v>9.1999999999999993</v>
      </c>
      <c r="G357" s="4">
        <v>36</v>
      </c>
      <c r="H357" s="4" t="s">
        <v>19</v>
      </c>
      <c r="I357" s="4" t="s">
        <v>20</v>
      </c>
      <c r="J357" s="4" t="s">
        <v>28</v>
      </c>
      <c r="K357" s="4">
        <v>144894</v>
      </c>
      <c r="L357" s="4" t="s">
        <v>33</v>
      </c>
      <c r="M357" s="4">
        <v>0.44</v>
      </c>
      <c r="N357" s="4">
        <v>0.55000000000000004</v>
      </c>
      <c r="O357" s="4">
        <v>22320.48</v>
      </c>
      <c r="P357" s="4">
        <v>0</v>
      </c>
      <c r="Q357" s="6">
        <f t="shared" si="65"/>
        <v>651.89081370787062</v>
      </c>
      <c r="R357" s="6">
        <f t="shared" si="58"/>
        <v>3028.0692934833423</v>
      </c>
      <c r="S357" s="4">
        <f t="shared" si="59"/>
        <v>37163.63636363636</v>
      </c>
      <c r="T357" s="4">
        <f t="shared" si="60"/>
        <v>12074.5</v>
      </c>
      <c r="U357" s="4">
        <f t="shared" si="61"/>
        <v>5312.78</v>
      </c>
      <c r="V357" s="4">
        <f t="shared" ca="1" si="62"/>
        <v>50</v>
      </c>
      <c r="W357" s="20">
        <f t="shared" ca="1" si="67"/>
        <v>32594.540685393531</v>
      </c>
      <c r="X357" s="4">
        <f t="shared" si="63"/>
        <v>1880.4799999999996</v>
      </c>
      <c r="Y357" s="13">
        <f t="shared" si="64"/>
        <v>9.1999999999999985E-2</v>
      </c>
    </row>
    <row r="358" spans="1:25" x14ac:dyDescent="0.3">
      <c r="A358" s="12" t="s">
        <v>758</v>
      </c>
      <c r="B358" s="7">
        <v>44219</v>
      </c>
      <c r="C358" s="4" t="s">
        <v>759</v>
      </c>
      <c r="D358" s="4" t="s">
        <v>56</v>
      </c>
      <c r="E358" s="4">
        <v>18175</v>
      </c>
      <c r="F358" s="4">
        <v>12.6</v>
      </c>
      <c r="G358" s="4">
        <v>60</v>
      </c>
      <c r="H358" s="4" t="s">
        <v>19</v>
      </c>
      <c r="I358" s="4" t="s">
        <v>20</v>
      </c>
      <c r="J358" s="4" t="s">
        <v>32</v>
      </c>
      <c r="K358" s="4">
        <v>116795</v>
      </c>
      <c r="L358" s="4" t="s">
        <v>33</v>
      </c>
      <c r="M358" s="4">
        <v>0.34</v>
      </c>
      <c r="N358" s="4">
        <v>0.94</v>
      </c>
      <c r="O358" s="4">
        <v>20465.05</v>
      </c>
      <c r="P358" s="4">
        <v>0</v>
      </c>
      <c r="Q358" s="6">
        <f t="shared" si="65"/>
        <v>409.82505504985835</v>
      </c>
      <c r="R358" s="6">
        <f t="shared" si="58"/>
        <v>6414.5033029914994</v>
      </c>
      <c r="S358" s="4">
        <f t="shared" si="59"/>
        <v>19335.106382978724</v>
      </c>
      <c r="T358" s="4">
        <f t="shared" si="60"/>
        <v>9732.9166666666661</v>
      </c>
      <c r="U358" s="4">
        <f t="shared" si="61"/>
        <v>3309.1916666666666</v>
      </c>
      <c r="V358" s="4">
        <f t="shared" ca="1" si="62"/>
        <v>61</v>
      </c>
      <c r="W358" s="20">
        <f t="shared" ca="1" si="67"/>
        <v>24999.328358041359</v>
      </c>
      <c r="X358" s="4">
        <f t="shared" si="63"/>
        <v>2290.0499999999993</v>
      </c>
      <c r="Y358" s="13">
        <f t="shared" si="64"/>
        <v>0.12599999999999997</v>
      </c>
    </row>
    <row r="359" spans="1:25" x14ac:dyDescent="0.3">
      <c r="A359" s="12" t="s">
        <v>760</v>
      </c>
      <c r="B359" s="7">
        <v>44718</v>
      </c>
      <c r="C359" s="4" t="s">
        <v>761</v>
      </c>
      <c r="D359" s="4" t="s">
        <v>25</v>
      </c>
      <c r="E359" s="4">
        <v>27385</v>
      </c>
      <c r="F359" s="4">
        <v>24.5</v>
      </c>
      <c r="G359" s="4">
        <v>36</v>
      </c>
      <c r="H359" s="4" t="s">
        <v>26</v>
      </c>
      <c r="I359" s="4" t="s">
        <v>57</v>
      </c>
      <c r="J359" s="4" t="s">
        <v>32</v>
      </c>
      <c r="K359" s="4">
        <v>64087</v>
      </c>
      <c r="L359" s="4" t="s">
        <v>22</v>
      </c>
      <c r="M359" s="4">
        <v>0.38</v>
      </c>
      <c r="N359" s="4">
        <v>0.57999999999999996</v>
      </c>
      <c r="O359" s="4">
        <v>6334.16</v>
      </c>
      <c r="P359" s="4">
        <v>0</v>
      </c>
      <c r="Q359" s="6">
        <f t="shared" si="65"/>
        <v>1081.5941332839466</v>
      </c>
      <c r="R359" s="6">
        <f t="shared" si="58"/>
        <v>11552.388798222077</v>
      </c>
      <c r="S359" s="4">
        <f t="shared" si="59"/>
        <v>47215.517241379312</v>
      </c>
      <c r="T359" s="4">
        <f t="shared" si="60"/>
        <v>5340.583333333333</v>
      </c>
      <c r="U359" s="4">
        <f t="shared" si="61"/>
        <v>2029.4216666666666</v>
      </c>
      <c r="V359" s="4">
        <f t="shared" ca="1" si="62"/>
        <v>45</v>
      </c>
      <c r="W359" s="20">
        <f t="shared" ca="1" si="67"/>
        <v>48671.735997777592</v>
      </c>
      <c r="X359" s="4">
        <f t="shared" si="63"/>
        <v>-21050.84</v>
      </c>
      <c r="Y359" s="13">
        <f t="shared" si="64"/>
        <v>-0.76869965309475996</v>
      </c>
    </row>
    <row r="360" spans="1:25" x14ac:dyDescent="0.3">
      <c r="A360" s="12" t="s">
        <v>762</v>
      </c>
      <c r="B360" s="7">
        <v>44998</v>
      </c>
      <c r="C360" s="4" t="s">
        <v>763</v>
      </c>
      <c r="D360" s="4" t="s">
        <v>76</v>
      </c>
      <c r="E360" s="4">
        <v>39158</v>
      </c>
      <c r="F360" s="4">
        <v>11.7</v>
      </c>
      <c r="G360" s="4">
        <v>36</v>
      </c>
      <c r="H360" s="4" t="s">
        <v>26</v>
      </c>
      <c r="I360" s="4" t="s">
        <v>20</v>
      </c>
      <c r="J360" s="4" t="s">
        <v>37</v>
      </c>
      <c r="K360" s="4">
        <v>96677</v>
      </c>
      <c r="L360" s="4" t="s">
        <v>29</v>
      </c>
      <c r="M360" s="4">
        <v>0.25</v>
      </c>
      <c r="N360" s="4">
        <v>0.7</v>
      </c>
      <c r="O360" s="4">
        <v>18437.47</v>
      </c>
      <c r="P360" s="4">
        <v>0</v>
      </c>
      <c r="Q360" s="6">
        <f t="shared" si="65"/>
        <v>1295.0022920003526</v>
      </c>
      <c r="R360" s="6">
        <f t="shared" si="58"/>
        <v>7462.0825120126901</v>
      </c>
      <c r="S360" s="4">
        <f t="shared" si="59"/>
        <v>55940</v>
      </c>
      <c r="T360" s="4">
        <f t="shared" si="60"/>
        <v>8056.416666666667</v>
      </c>
      <c r="U360" s="4">
        <f t="shared" si="61"/>
        <v>2014.1041666666667</v>
      </c>
      <c r="V360" s="4">
        <f t="shared" ca="1" si="62"/>
        <v>36</v>
      </c>
      <c r="W360" s="20">
        <f t="shared" ca="1" si="67"/>
        <v>46620.08251201269</v>
      </c>
      <c r="X360" s="4">
        <f t="shared" si="63"/>
        <v>-20720.53</v>
      </c>
      <c r="Y360" s="13">
        <f t="shared" si="64"/>
        <v>-0.52915189744113589</v>
      </c>
    </row>
    <row r="361" spans="1:25" x14ac:dyDescent="0.3">
      <c r="A361" s="12" t="s">
        <v>764</v>
      </c>
      <c r="B361" s="7">
        <v>44958</v>
      </c>
      <c r="C361" s="4" t="s">
        <v>765</v>
      </c>
      <c r="D361" s="4" t="s">
        <v>46</v>
      </c>
      <c r="E361" s="4">
        <v>24019</v>
      </c>
      <c r="F361" s="4">
        <v>10.9</v>
      </c>
      <c r="G361" s="4">
        <v>36</v>
      </c>
      <c r="H361" s="4" t="s">
        <v>26</v>
      </c>
      <c r="I361" s="4" t="s">
        <v>20</v>
      </c>
      <c r="J361" s="4" t="s">
        <v>21</v>
      </c>
      <c r="K361" s="4">
        <v>34627</v>
      </c>
      <c r="L361" s="4" t="s">
        <v>22</v>
      </c>
      <c r="M361" s="4">
        <v>0.4</v>
      </c>
      <c r="N361" s="4">
        <v>0.72</v>
      </c>
      <c r="O361" s="4">
        <v>1328.11</v>
      </c>
      <c r="P361" s="4">
        <v>0</v>
      </c>
      <c r="Q361" s="6">
        <f t="shared" si="65"/>
        <v>785.21428231728066</v>
      </c>
      <c r="R361" s="6">
        <f t="shared" si="58"/>
        <v>4248.7141634221043</v>
      </c>
      <c r="S361" s="4">
        <f t="shared" si="59"/>
        <v>33359.722222222226</v>
      </c>
      <c r="T361" s="4">
        <f t="shared" si="60"/>
        <v>2885.5833333333335</v>
      </c>
      <c r="U361" s="4">
        <f t="shared" si="61"/>
        <v>1154.2333333333333</v>
      </c>
      <c r="V361" s="4">
        <f t="shared" ca="1" si="62"/>
        <v>37</v>
      </c>
      <c r="W361" s="20">
        <f t="shared" ca="1" si="67"/>
        <v>29052.928445739384</v>
      </c>
      <c r="X361" s="4">
        <f t="shared" si="63"/>
        <v>-22690.89</v>
      </c>
      <c r="Y361" s="13">
        <f t="shared" si="64"/>
        <v>-0.94470585786252548</v>
      </c>
    </row>
    <row r="362" spans="1:25" x14ac:dyDescent="0.3">
      <c r="A362" s="12" t="s">
        <v>766</v>
      </c>
      <c r="B362" s="7">
        <v>44638</v>
      </c>
      <c r="C362" s="4" t="s">
        <v>767</v>
      </c>
      <c r="D362" s="4" t="s">
        <v>50</v>
      </c>
      <c r="E362" s="4">
        <v>19639</v>
      </c>
      <c r="F362" s="4">
        <v>23.4</v>
      </c>
      <c r="G362" s="4">
        <v>36</v>
      </c>
      <c r="H362" s="4" t="s">
        <v>19</v>
      </c>
      <c r="I362" s="4" t="s">
        <v>36</v>
      </c>
      <c r="J362" s="4" t="s">
        <v>47</v>
      </c>
      <c r="K362" s="4">
        <v>86541</v>
      </c>
      <c r="L362" s="4" t="s">
        <v>33</v>
      </c>
      <c r="M362" s="4">
        <v>0.37</v>
      </c>
      <c r="N362" s="4">
        <v>0.87</v>
      </c>
      <c r="O362" s="4">
        <v>24234.53</v>
      </c>
      <c r="P362" s="4">
        <v>0</v>
      </c>
      <c r="Q362" s="6">
        <f t="shared" si="65"/>
        <v>764.32064899483896</v>
      </c>
      <c r="R362" s="6">
        <f t="shared" si="58"/>
        <v>7876.5433638142022</v>
      </c>
      <c r="S362" s="4">
        <f t="shared" si="59"/>
        <v>22573.563218390806</v>
      </c>
      <c r="T362" s="4">
        <f t="shared" si="60"/>
        <v>7211.75</v>
      </c>
      <c r="U362" s="4">
        <f t="shared" si="61"/>
        <v>2668.3474999999999</v>
      </c>
      <c r="V362" s="4">
        <f t="shared" ca="1" si="62"/>
        <v>48</v>
      </c>
      <c r="W362" s="20">
        <f t="shared" ca="1" si="67"/>
        <v>36687.391151752272</v>
      </c>
      <c r="X362" s="4">
        <f t="shared" si="63"/>
        <v>4595.5299999999988</v>
      </c>
      <c r="Y362" s="13">
        <f t="shared" si="64"/>
        <v>0.23400020367635821</v>
      </c>
    </row>
    <row r="363" spans="1:25" x14ac:dyDescent="0.3">
      <c r="A363" s="12" t="s">
        <v>768</v>
      </c>
      <c r="B363" s="7">
        <v>44965</v>
      </c>
      <c r="C363" s="4" t="s">
        <v>769</v>
      </c>
      <c r="D363" s="4" t="s">
        <v>46</v>
      </c>
      <c r="E363" s="4">
        <v>20994</v>
      </c>
      <c r="F363" s="4">
        <v>7.2</v>
      </c>
      <c r="G363" s="4">
        <v>36</v>
      </c>
      <c r="H363" s="4" t="s">
        <v>19</v>
      </c>
      <c r="I363" s="4" t="s">
        <v>57</v>
      </c>
      <c r="J363" s="4" t="s">
        <v>28</v>
      </c>
      <c r="K363" s="4">
        <v>142805</v>
      </c>
      <c r="L363" s="4" t="s">
        <v>22</v>
      </c>
      <c r="M363" s="4">
        <v>0.15</v>
      </c>
      <c r="N363" s="4">
        <v>0.54</v>
      </c>
      <c r="O363" s="4">
        <v>22505.57</v>
      </c>
      <c r="P363" s="4">
        <v>0</v>
      </c>
      <c r="Q363" s="6">
        <f t="shared" si="65"/>
        <v>650.15525401745754</v>
      </c>
      <c r="R363" s="6">
        <f t="shared" si="58"/>
        <v>2411.5891446284732</v>
      </c>
      <c r="S363" s="4">
        <f t="shared" si="59"/>
        <v>38877.777777777774</v>
      </c>
      <c r="T363" s="4">
        <f t="shared" si="60"/>
        <v>11900.416666666666</v>
      </c>
      <c r="U363" s="4">
        <f t="shared" si="61"/>
        <v>1785.0624999999998</v>
      </c>
      <c r="V363" s="4">
        <f t="shared" ca="1" si="62"/>
        <v>37</v>
      </c>
      <c r="W363" s="20">
        <f t="shared" ca="1" si="67"/>
        <v>24055.744398645929</v>
      </c>
      <c r="X363" s="4">
        <f t="shared" si="63"/>
        <v>1511.5699999999997</v>
      </c>
      <c r="Y363" s="13">
        <f t="shared" si="64"/>
        <v>7.2000095265313882E-2</v>
      </c>
    </row>
    <row r="364" spans="1:25" x14ac:dyDescent="0.3">
      <c r="A364" s="12" t="s">
        <v>770</v>
      </c>
      <c r="B364" s="7">
        <v>45212</v>
      </c>
      <c r="C364" s="4" t="s">
        <v>771</v>
      </c>
      <c r="D364" s="4" t="s">
        <v>25</v>
      </c>
      <c r="E364" s="4">
        <v>35375</v>
      </c>
      <c r="F364" s="4">
        <v>20.2</v>
      </c>
      <c r="G364" s="4">
        <v>60</v>
      </c>
      <c r="H364" s="4" t="s">
        <v>19</v>
      </c>
      <c r="I364" s="4" t="s">
        <v>57</v>
      </c>
      <c r="J364" s="4" t="s">
        <v>28</v>
      </c>
      <c r="K364" s="4">
        <v>98226</v>
      </c>
      <c r="L364" s="4" t="s">
        <v>29</v>
      </c>
      <c r="M364" s="4">
        <v>0.33</v>
      </c>
      <c r="N364" s="4">
        <v>0.69</v>
      </c>
      <c r="O364" s="4">
        <v>42520.75</v>
      </c>
      <c r="P364" s="4">
        <v>0</v>
      </c>
      <c r="Q364" s="6">
        <f t="shared" si="65"/>
        <v>941.16211886119379</v>
      </c>
      <c r="R364" s="6">
        <f t="shared" si="58"/>
        <v>21094.727131671629</v>
      </c>
      <c r="S364" s="4">
        <f t="shared" si="59"/>
        <v>51268.115942028991</v>
      </c>
      <c r="T364" s="4">
        <f t="shared" si="60"/>
        <v>8185.5</v>
      </c>
      <c r="U364" s="4">
        <f t="shared" si="61"/>
        <v>2701.2150000000001</v>
      </c>
      <c r="V364" s="4">
        <f t="shared" ca="1" si="62"/>
        <v>29</v>
      </c>
      <c r="W364" s="20">
        <f t="shared" ca="1" si="67"/>
        <v>27293.701446974621</v>
      </c>
      <c r="X364" s="4">
        <f t="shared" si="63"/>
        <v>7145.75</v>
      </c>
      <c r="Y364" s="13">
        <f t="shared" si="64"/>
        <v>0.20200000000000001</v>
      </c>
    </row>
    <row r="365" spans="1:25" x14ac:dyDescent="0.3">
      <c r="A365" s="12" t="s">
        <v>772</v>
      </c>
      <c r="B365" s="7">
        <v>44712</v>
      </c>
      <c r="C365" s="4" t="s">
        <v>773</v>
      </c>
      <c r="D365" s="4" t="s">
        <v>18</v>
      </c>
      <c r="E365" s="4">
        <v>22563</v>
      </c>
      <c r="F365" s="4">
        <v>24.8</v>
      </c>
      <c r="G365" s="4">
        <v>60</v>
      </c>
      <c r="H365" s="4" t="s">
        <v>19</v>
      </c>
      <c r="I365" s="4" t="s">
        <v>20</v>
      </c>
      <c r="J365" s="4" t="s">
        <v>28</v>
      </c>
      <c r="K365" s="4">
        <v>135627</v>
      </c>
      <c r="L365" s="4" t="s">
        <v>29</v>
      </c>
      <c r="M365" s="4">
        <v>0.2</v>
      </c>
      <c r="N365" s="4">
        <v>0.78</v>
      </c>
      <c r="O365" s="4">
        <v>28158.62</v>
      </c>
      <c r="P365" s="4">
        <v>0</v>
      </c>
      <c r="Q365" s="6">
        <f t="shared" si="65"/>
        <v>659.61094760629692</v>
      </c>
      <c r="R365" s="6">
        <f t="shared" si="58"/>
        <v>17013.656856377813</v>
      </c>
      <c r="S365" s="4">
        <f t="shared" si="59"/>
        <v>28926.923076923074</v>
      </c>
      <c r="T365" s="4">
        <f t="shared" si="60"/>
        <v>11302.25</v>
      </c>
      <c r="U365" s="4">
        <f t="shared" si="61"/>
        <v>2260.4500000000003</v>
      </c>
      <c r="V365" s="4">
        <f t="shared" ca="1" si="62"/>
        <v>45</v>
      </c>
      <c r="W365" s="20">
        <f t="shared" ca="1" si="67"/>
        <v>29682.49264228336</v>
      </c>
      <c r="X365" s="4">
        <f t="shared" si="63"/>
        <v>5595.619999999999</v>
      </c>
      <c r="Y365" s="13">
        <f t="shared" si="64"/>
        <v>0.24799982271861007</v>
      </c>
    </row>
    <row r="366" spans="1:25" x14ac:dyDescent="0.3">
      <c r="A366" s="12" t="s">
        <v>774</v>
      </c>
      <c r="B366" s="7">
        <v>45236</v>
      </c>
      <c r="C366" s="4" t="s">
        <v>775</v>
      </c>
      <c r="D366" s="4" t="s">
        <v>46</v>
      </c>
      <c r="E366" s="4">
        <v>6776</v>
      </c>
      <c r="F366" s="4">
        <v>23</v>
      </c>
      <c r="G366" s="4">
        <v>60</v>
      </c>
      <c r="H366" s="4" t="s">
        <v>19</v>
      </c>
      <c r="I366" s="4" t="s">
        <v>57</v>
      </c>
      <c r="J366" s="4" t="s">
        <v>28</v>
      </c>
      <c r="K366" s="4">
        <v>33255</v>
      </c>
      <c r="L366" s="4" t="s">
        <v>33</v>
      </c>
      <c r="M366" s="4">
        <v>0.42</v>
      </c>
      <c r="N366" s="4">
        <v>0.6</v>
      </c>
      <c r="O366" s="4">
        <v>8334.48</v>
      </c>
      <c r="P366" s="4">
        <v>0</v>
      </c>
      <c r="Q366" s="6">
        <f t="shared" si="65"/>
        <v>191.01863210512485</v>
      </c>
      <c r="R366" s="6">
        <f t="shared" si="58"/>
        <v>4685.1179263074919</v>
      </c>
      <c r="S366" s="4">
        <f t="shared" si="59"/>
        <v>11293.333333333334</v>
      </c>
      <c r="T366" s="4">
        <f t="shared" si="60"/>
        <v>2771.25</v>
      </c>
      <c r="U366" s="4">
        <f t="shared" si="61"/>
        <v>1163.925</v>
      </c>
      <c r="V366" s="4">
        <f t="shared" ca="1" si="62"/>
        <v>28</v>
      </c>
      <c r="W366" s="20">
        <f t="shared" ca="1" si="67"/>
        <v>5348.5216989434957</v>
      </c>
      <c r="X366" s="4">
        <f t="shared" si="63"/>
        <v>1558.4799999999996</v>
      </c>
      <c r="Y366" s="13">
        <f t="shared" si="64"/>
        <v>0.22999999999999993</v>
      </c>
    </row>
    <row r="367" spans="1:25" x14ac:dyDescent="0.3">
      <c r="A367" s="12" t="s">
        <v>776</v>
      </c>
      <c r="B367" s="7">
        <v>44988</v>
      </c>
      <c r="C367" s="4" t="s">
        <v>777</v>
      </c>
      <c r="D367" s="4" t="s">
        <v>53</v>
      </c>
      <c r="E367" s="4">
        <v>37444</v>
      </c>
      <c r="F367" s="4">
        <v>18</v>
      </c>
      <c r="G367" s="4">
        <v>60</v>
      </c>
      <c r="H367" s="4" t="s">
        <v>26</v>
      </c>
      <c r="I367" s="4" t="s">
        <v>84</v>
      </c>
      <c r="J367" s="4" t="s">
        <v>47</v>
      </c>
      <c r="K367" s="4">
        <v>87433</v>
      </c>
      <c r="L367" s="4" t="s">
        <v>22</v>
      </c>
      <c r="M367" s="4">
        <v>0.27</v>
      </c>
      <c r="N367" s="4">
        <v>0.78</v>
      </c>
      <c r="O367" s="4">
        <v>11777.96</v>
      </c>
      <c r="P367" s="4">
        <v>0</v>
      </c>
      <c r="Q367" s="6">
        <f t="shared" si="65"/>
        <v>950.83149658067259</v>
      </c>
      <c r="R367" s="6">
        <f t="shared" si="58"/>
        <v>19605.889794840354</v>
      </c>
      <c r="S367" s="4">
        <f t="shared" si="59"/>
        <v>48005.128205128203</v>
      </c>
      <c r="T367" s="4">
        <f t="shared" si="60"/>
        <v>7286.083333333333</v>
      </c>
      <c r="U367" s="4">
        <f t="shared" si="61"/>
        <v>1967.2425000000001</v>
      </c>
      <c r="V367" s="4">
        <f t="shared" ca="1" si="62"/>
        <v>36</v>
      </c>
      <c r="W367" s="20">
        <f t="shared" ca="1" si="67"/>
        <v>34229.933876904215</v>
      </c>
      <c r="X367" s="4">
        <f t="shared" si="63"/>
        <v>-25666.04</v>
      </c>
      <c r="Y367" s="13">
        <f t="shared" si="64"/>
        <v>-0.68545134066873203</v>
      </c>
    </row>
    <row r="368" spans="1:25" x14ac:dyDescent="0.3">
      <c r="A368" s="12" t="s">
        <v>778</v>
      </c>
      <c r="B368" s="7">
        <v>44532</v>
      </c>
      <c r="C368" s="4" t="s">
        <v>779</v>
      </c>
      <c r="D368" s="4" t="s">
        <v>46</v>
      </c>
      <c r="E368" s="4">
        <v>4380</v>
      </c>
      <c r="F368" s="4">
        <v>11.3</v>
      </c>
      <c r="G368" s="4">
        <v>36</v>
      </c>
      <c r="H368" s="4" t="s">
        <v>19</v>
      </c>
      <c r="I368" s="4" t="s">
        <v>73</v>
      </c>
      <c r="J368" s="4" t="s">
        <v>47</v>
      </c>
      <c r="K368" s="4">
        <v>35213</v>
      </c>
      <c r="L368" s="4" t="s">
        <v>29</v>
      </c>
      <c r="M368" s="4">
        <v>0.5</v>
      </c>
      <c r="N368" s="4">
        <v>0.92</v>
      </c>
      <c r="O368" s="4">
        <v>4874.9399999999996</v>
      </c>
      <c r="P368" s="4">
        <v>0</v>
      </c>
      <c r="Q368" s="6">
        <f t="shared" si="65"/>
        <v>144.018643896176</v>
      </c>
      <c r="R368" s="6">
        <f t="shared" si="58"/>
        <v>804.67118026233584</v>
      </c>
      <c r="S368" s="4">
        <f t="shared" si="59"/>
        <v>4760.869565217391</v>
      </c>
      <c r="T368" s="4">
        <f t="shared" si="60"/>
        <v>2934.4166666666665</v>
      </c>
      <c r="U368" s="4">
        <f t="shared" si="61"/>
        <v>1467.2083333333333</v>
      </c>
      <c r="V368" s="4">
        <f t="shared" ca="1" si="62"/>
        <v>51</v>
      </c>
      <c r="W368" s="20">
        <f t="shared" ca="1" si="67"/>
        <v>7344.9508387049764</v>
      </c>
      <c r="X368" s="4">
        <f t="shared" si="63"/>
        <v>494.9399999999996</v>
      </c>
      <c r="Y368" s="13">
        <f t="shared" si="64"/>
        <v>0.11299999999999991</v>
      </c>
    </row>
    <row r="369" spans="1:25" x14ac:dyDescent="0.3">
      <c r="A369" s="12" t="s">
        <v>780</v>
      </c>
      <c r="B369" s="7">
        <v>44454</v>
      </c>
      <c r="C369" s="4" t="s">
        <v>781</v>
      </c>
      <c r="D369" s="4" t="s">
        <v>65</v>
      </c>
      <c r="E369" s="4">
        <v>9711</v>
      </c>
      <c r="F369" s="4">
        <v>10.1</v>
      </c>
      <c r="G369" s="4">
        <v>36</v>
      </c>
      <c r="H369" s="4" t="s">
        <v>26</v>
      </c>
      <c r="I369" s="4" t="s">
        <v>27</v>
      </c>
      <c r="J369" s="4" t="s">
        <v>37</v>
      </c>
      <c r="K369" s="4">
        <v>132412</v>
      </c>
      <c r="L369" s="4" t="s">
        <v>22</v>
      </c>
      <c r="M369" s="4">
        <v>0.14000000000000001</v>
      </c>
      <c r="N369" s="4">
        <v>0.95</v>
      </c>
      <c r="O369" s="4">
        <v>2676.63</v>
      </c>
      <c r="P369" s="4">
        <v>0</v>
      </c>
      <c r="Q369" s="6">
        <f t="shared" si="65"/>
        <v>313.80277859383358</v>
      </c>
      <c r="R369" s="6">
        <f t="shared" si="58"/>
        <v>1585.9000293780082</v>
      </c>
      <c r="S369" s="4">
        <f t="shared" si="59"/>
        <v>10222.105263157895</v>
      </c>
      <c r="T369" s="4">
        <f t="shared" si="60"/>
        <v>11034.333333333334</v>
      </c>
      <c r="U369" s="4">
        <f t="shared" si="61"/>
        <v>1544.8066666666668</v>
      </c>
      <c r="V369" s="4">
        <f t="shared" ca="1" si="62"/>
        <v>54</v>
      </c>
      <c r="W369" s="20">
        <f t="shared" ca="1" si="67"/>
        <v>16945.350044067014</v>
      </c>
      <c r="X369" s="4">
        <f t="shared" si="63"/>
        <v>-7034.37</v>
      </c>
      <c r="Y369" s="13">
        <f t="shared" si="64"/>
        <v>-0.72437133147976518</v>
      </c>
    </row>
    <row r="370" spans="1:25" x14ac:dyDescent="0.3">
      <c r="A370" s="12" t="s">
        <v>782</v>
      </c>
      <c r="B370" s="7">
        <v>44693</v>
      </c>
      <c r="C370" s="4" t="s">
        <v>783</v>
      </c>
      <c r="D370" s="4" t="s">
        <v>53</v>
      </c>
      <c r="E370" s="4">
        <v>9782</v>
      </c>
      <c r="F370" s="4">
        <v>21.4</v>
      </c>
      <c r="G370" s="4">
        <v>36</v>
      </c>
      <c r="H370" s="4" t="s">
        <v>19</v>
      </c>
      <c r="I370" s="4" t="s">
        <v>57</v>
      </c>
      <c r="J370" s="4" t="s">
        <v>21</v>
      </c>
      <c r="K370" s="4">
        <v>49404</v>
      </c>
      <c r="L370" s="4" t="s">
        <v>29</v>
      </c>
      <c r="M370" s="4">
        <v>0.41</v>
      </c>
      <c r="N370" s="4">
        <v>0.51</v>
      </c>
      <c r="O370" s="4">
        <v>11875.35</v>
      </c>
      <c r="P370" s="4">
        <v>0</v>
      </c>
      <c r="Q370" s="6">
        <f t="shared" si="65"/>
        <v>370.5495407073949</v>
      </c>
      <c r="R370" s="6">
        <f t="shared" si="58"/>
        <v>3557.7834654662165</v>
      </c>
      <c r="S370" s="4">
        <f t="shared" si="59"/>
        <v>19180.392156862745</v>
      </c>
      <c r="T370" s="4">
        <f t="shared" si="60"/>
        <v>4117</v>
      </c>
      <c r="U370" s="4">
        <f t="shared" si="61"/>
        <v>1687.9699999999998</v>
      </c>
      <c r="V370" s="4">
        <f t="shared" ca="1" si="62"/>
        <v>46</v>
      </c>
      <c r="W370" s="20">
        <f t="shared" ca="1" si="67"/>
        <v>17045.278872540166</v>
      </c>
      <c r="X370" s="4">
        <f t="shared" si="63"/>
        <v>2093.3500000000004</v>
      </c>
      <c r="Y370" s="13">
        <f t="shared" si="64"/>
        <v>0.21400020445716625</v>
      </c>
    </row>
    <row r="371" spans="1:25" x14ac:dyDescent="0.3">
      <c r="A371" s="12" t="s">
        <v>784</v>
      </c>
      <c r="B371" s="7">
        <v>45092</v>
      </c>
      <c r="C371" s="4" t="s">
        <v>785</v>
      </c>
      <c r="D371" s="4" t="s">
        <v>72</v>
      </c>
      <c r="E371" s="4">
        <v>18434</v>
      </c>
      <c r="F371" s="4">
        <v>22.6</v>
      </c>
      <c r="G371" s="4">
        <v>36</v>
      </c>
      <c r="H371" s="4" t="s">
        <v>19</v>
      </c>
      <c r="I371" s="4" t="s">
        <v>57</v>
      </c>
      <c r="J371" s="4" t="s">
        <v>47</v>
      </c>
      <c r="K371" s="4">
        <v>146545</v>
      </c>
      <c r="L371" s="4" t="s">
        <v>33</v>
      </c>
      <c r="M371" s="4">
        <v>0.37</v>
      </c>
      <c r="N371" s="4">
        <v>0.61</v>
      </c>
      <c r="O371" s="4">
        <v>22600.080000000002</v>
      </c>
      <c r="P371" s="4">
        <v>0</v>
      </c>
      <c r="Q371" s="6">
        <f t="shared" si="65"/>
        <v>709.73756459504148</v>
      </c>
      <c r="R371" s="6">
        <f t="shared" si="58"/>
        <v>7116.5523254214932</v>
      </c>
      <c r="S371" s="4">
        <f t="shared" si="59"/>
        <v>30219.672131147541</v>
      </c>
      <c r="T371" s="4">
        <f t="shared" si="60"/>
        <v>12212.083333333334</v>
      </c>
      <c r="U371" s="4">
        <f t="shared" si="61"/>
        <v>4518.4708333333338</v>
      </c>
      <c r="V371" s="4">
        <f t="shared" ca="1" si="62"/>
        <v>33</v>
      </c>
      <c r="W371" s="20">
        <f t="shared" ca="1" si="67"/>
        <v>23421.339631636369</v>
      </c>
      <c r="X371" s="4">
        <f t="shared" si="63"/>
        <v>4166.0800000000017</v>
      </c>
      <c r="Y371" s="13">
        <f t="shared" si="64"/>
        <v>0.22599978300965617</v>
      </c>
    </row>
    <row r="372" spans="1:25" x14ac:dyDescent="0.3">
      <c r="A372" s="12" t="s">
        <v>786</v>
      </c>
      <c r="B372" s="7">
        <v>44356</v>
      </c>
      <c r="C372" s="4" t="s">
        <v>787</v>
      </c>
      <c r="D372" s="4" t="s">
        <v>46</v>
      </c>
      <c r="E372" s="4">
        <v>21017</v>
      </c>
      <c r="F372" s="4">
        <v>15.5</v>
      </c>
      <c r="G372" s="4">
        <v>36</v>
      </c>
      <c r="H372" s="4" t="s">
        <v>19</v>
      </c>
      <c r="I372" s="4" t="s">
        <v>73</v>
      </c>
      <c r="J372" s="4" t="s">
        <v>37</v>
      </c>
      <c r="K372" s="4">
        <v>55380</v>
      </c>
      <c r="L372" s="4" t="s">
        <v>33</v>
      </c>
      <c r="M372" s="4">
        <v>0.41</v>
      </c>
      <c r="N372" s="4">
        <v>0.64</v>
      </c>
      <c r="O372" s="4">
        <v>24274.639999999999</v>
      </c>
      <c r="P372" s="4">
        <v>0</v>
      </c>
      <c r="Q372" s="6">
        <f t="shared" si="65"/>
        <v>733.71778303507472</v>
      </c>
      <c r="R372" s="6">
        <f t="shared" si="58"/>
        <v>5396.8401892626898</v>
      </c>
      <c r="S372" s="4">
        <f t="shared" si="59"/>
        <v>32839.0625</v>
      </c>
      <c r="T372" s="4">
        <f t="shared" si="60"/>
        <v>4615</v>
      </c>
      <c r="U372" s="4">
        <f t="shared" si="61"/>
        <v>1892.1499999999999</v>
      </c>
      <c r="V372" s="4">
        <f t="shared" ca="1" si="62"/>
        <v>57</v>
      </c>
      <c r="W372" s="20">
        <f t="shared" ca="1" si="67"/>
        <v>41821.913632999262</v>
      </c>
      <c r="X372" s="4">
        <f t="shared" si="63"/>
        <v>3257.6399999999994</v>
      </c>
      <c r="Y372" s="13">
        <f t="shared" si="64"/>
        <v>0.15500023790265022</v>
      </c>
    </row>
    <row r="373" spans="1:25" x14ac:dyDescent="0.3">
      <c r="A373" s="12" t="s">
        <v>788</v>
      </c>
      <c r="B373" s="7">
        <v>45048</v>
      </c>
      <c r="C373" s="4" t="s">
        <v>789</v>
      </c>
      <c r="D373" s="4" t="s">
        <v>53</v>
      </c>
      <c r="E373" s="4">
        <v>31707</v>
      </c>
      <c r="F373" s="4">
        <v>9.9</v>
      </c>
      <c r="G373" s="4">
        <v>60</v>
      </c>
      <c r="H373" s="4" t="s">
        <v>81</v>
      </c>
      <c r="I373" s="4" t="s">
        <v>57</v>
      </c>
      <c r="J373" s="4" t="s">
        <v>32</v>
      </c>
      <c r="K373" s="4">
        <v>121056</v>
      </c>
      <c r="L373" s="4" t="s">
        <v>22</v>
      </c>
      <c r="M373" s="4">
        <v>0.22</v>
      </c>
      <c r="N373" s="4">
        <v>0.68</v>
      </c>
      <c r="O373" s="4">
        <v>11478.42</v>
      </c>
      <c r="P373" s="4">
        <v>11714.89</v>
      </c>
      <c r="Q373" s="6">
        <f t="shared" si="65"/>
        <v>672.12099362471702</v>
      </c>
      <c r="R373" s="6">
        <f t="shared" si="58"/>
        <v>8620.2596174830178</v>
      </c>
      <c r="S373" s="4">
        <f t="shared" si="59"/>
        <v>46627.941176470587</v>
      </c>
      <c r="T373" s="4">
        <f t="shared" si="60"/>
        <v>10088</v>
      </c>
      <c r="U373" s="4">
        <f t="shared" si="61"/>
        <v>2219.36</v>
      </c>
      <c r="V373" s="4">
        <f t="shared" ca="1" si="62"/>
        <v>34</v>
      </c>
      <c r="W373" s="20">
        <v>0</v>
      </c>
      <c r="X373" s="4">
        <f t="shared" si="63"/>
        <v>-8513.6900000000023</v>
      </c>
      <c r="Y373" s="13">
        <f t="shared" si="64"/>
        <v>-0.26851136972908196</v>
      </c>
    </row>
    <row r="374" spans="1:25" x14ac:dyDescent="0.3">
      <c r="A374" s="12" t="s">
        <v>790</v>
      </c>
      <c r="B374" s="7">
        <v>44886</v>
      </c>
      <c r="C374" s="4" t="s">
        <v>791</v>
      </c>
      <c r="D374" s="4" t="s">
        <v>25</v>
      </c>
      <c r="E374" s="4">
        <v>18343</v>
      </c>
      <c r="F374" s="4">
        <v>7.3</v>
      </c>
      <c r="G374" s="4">
        <v>60</v>
      </c>
      <c r="H374" s="4" t="s">
        <v>19</v>
      </c>
      <c r="I374" s="4" t="s">
        <v>84</v>
      </c>
      <c r="J374" s="4" t="s">
        <v>21</v>
      </c>
      <c r="K374" s="4">
        <v>49173</v>
      </c>
      <c r="L374" s="4" t="s">
        <v>33</v>
      </c>
      <c r="M374" s="4">
        <v>0.3</v>
      </c>
      <c r="N374" s="4">
        <v>0.61</v>
      </c>
      <c r="O374" s="4">
        <v>19682.04</v>
      </c>
      <c r="P374" s="4">
        <v>0</v>
      </c>
      <c r="Q374" s="6">
        <f t="shared" si="65"/>
        <v>365.81527192618</v>
      </c>
      <c r="R374" s="6">
        <f t="shared" si="58"/>
        <v>3605.9163155708011</v>
      </c>
      <c r="S374" s="4">
        <f t="shared" si="59"/>
        <v>30070.491803278688</v>
      </c>
      <c r="T374" s="4">
        <f t="shared" si="60"/>
        <v>4097.75</v>
      </c>
      <c r="U374" s="4">
        <f t="shared" si="61"/>
        <v>1229.325</v>
      </c>
      <c r="V374" s="4">
        <f t="shared" ca="1" si="62"/>
        <v>39</v>
      </c>
      <c r="W374" s="20">
        <f ca="1">V374*Q374</f>
        <v>14266.79560512102</v>
      </c>
      <c r="X374" s="4">
        <f t="shared" si="63"/>
        <v>1339.0400000000009</v>
      </c>
      <c r="Y374" s="13">
        <f t="shared" si="64"/>
        <v>7.300005451670942E-2</v>
      </c>
    </row>
    <row r="375" spans="1:25" x14ac:dyDescent="0.3">
      <c r="A375" s="12" t="s">
        <v>792</v>
      </c>
      <c r="B375" s="7">
        <v>44576</v>
      </c>
      <c r="C375" s="4" t="s">
        <v>793</v>
      </c>
      <c r="D375" s="4" t="s">
        <v>50</v>
      </c>
      <c r="E375" s="4">
        <v>39827</v>
      </c>
      <c r="F375" s="4">
        <v>6.7</v>
      </c>
      <c r="G375" s="4">
        <v>36</v>
      </c>
      <c r="H375" s="4" t="s">
        <v>26</v>
      </c>
      <c r="I375" s="4" t="s">
        <v>57</v>
      </c>
      <c r="J375" s="4" t="s">
        <v>47</v>
      </c>
      <c r="K375" s="4">
        <v>83027</v>
      </c>
      <c r="L375" s="4" t="s">
        <v>29</v>
      </c>
      <c r="M375" s="4">
        <v>0.42</v>
      </c>
      <c r="N375" s="4">
        <v>0.59</v>
      </c>
      <c r="O375" s="4">
        <v>3496.84</v>
      </c>
      <c r="P375" s="4">
        <v>0</v>
      </c>
      <c r="Q375" s="6">
        <f t="shared" si="65"/>
        <v>1224.2866442924646</v>
      </c>
      <c r="R375" s="6">
        <f t="shared" si="58"/>
        <v>4247.3191945287253</v>
      </c>
      <c r="S375" s="4">
        <f t="shared" si="59"/>
        <v>67503.389830508473</v>
      </c>
      <c r="T375" s="4">
        <f t="shared" si="60"/>
        <v>6918.916666666667</v>
      </c>
      <c r="U375" s="4">
        <f t="shared" si="61"/>
        <v>2905.9450000000002</v>
      </c>
      <c r="V375" s="4">
        <f t="shared" ca="1" si="62"/>
        <v>50</v>
      </c>
      <c r="W375" s="20">
        <f ca="1">V375*Q375</f>
        <v>61214.332214623231</v>
      </c>
      <c r="X375" s="4">
        <f t="shared" si="63"/>
        <v>-36330.160000000003</v>
      </c>
      <c r="Y375" s="13">
        <f t="shared" si="64"/>
        <v>-0.9121992618073167</v>
      </c>
    </row>
    <row r="376" spans="1:25" x14ac:dyDescent="0.3">
      <c r="A376" s="12" t="s">
        <v>794</v>
      </c>
      <c r="B376" s="7">
        <v>45153</v>
      </c>
      <c r="C376" s="4" t="s">
        <v>795</v>
      </c>
      <c r="D376" s="4" t="s">
        <v>72</v>
      </c>
      <c r="E376" s="4">
        <v>6655</v>
      </c>
      <c r="F376" s="4">
        <v>19.399999999999999</v>
      </c>
      <c r="G376" s="4">
        <v>36</v>
      </c>
      <c r="H376" s="4" t="s">
        <v>19</v>
      </c>
      <c r="I376" s="4" t="s">
        <v>27</v>
      </c>
      <c r="J376" s="4" t="s">
        <v>32</v>
      </c>
      <c r="K376" s="4">
        <v>53989</v>
      </c>
      <c r="L376" s="4" t="s">
        <v>33</v>
      </c>
      <c r="M376" s="4">
        <v>0.19</v>
      </c>
      <c r="N376" s="4">
        <v>0.93</v>
      </c>
      <c r="O376" s="4">
        <v>7946.07</v>
      </c>
      <c r="P376" s="4">
        <v>0</v>
      </c>
      <c r="Q376" s="6">
        <f t="shared" si="65"/>
        <v>245.29380799380039</v>
      </c>
      <c r="R376" s="6">
        <f t="shared" si="58"/>
        <v>2175.5770877768136</v>
      </c>
      <c r="S376" s="4">
        <f t="shared" si="59"/>
        <v>7155.9139784946237</v>
      </c>
      <c r="T376" s="4">
        <f t="shared" si="60"/>
        <v>4499.083333333333</v>
      </c>
      <c r="U376" s="4">
        <f t="shared" si="61"/>
        <v>854.82583333333332</v>
      </c>
      <c r="V376" s="4">
        <f t="shared" ca="1" si="62"/>
        <v>31</v>
      </c>
      <c r="W376" s="20">
        <f ca="1">V376*Q376</f>
        <v>7604.108047807812</v>
      </c>
      <c r="X376" s="4">
        <f t="shared" si="63"/>
        <v>1291.0699999999997</v>
      </c>
      <c r="Y376" s="13">
        <f t="shared" si="64"/>
        <v>0.19399999999999995</v>
      </c>
    </row>
    <row r="377" spans="1:25" x14ac:dyDescent="0.3">
      <c r="A377" s="12" t="s">
        <v>796</v>
      </c>
      <c r="B377" s="7">
        <v>44887</v>
      </c>
      <c r="C377" s="4" t="s">
        <v>797</v>
      </c>
      <c r="D377" s="4" t="s">
        <v>76</v>
      </c>
      <c r="E377" s="4">
        <v>16251</v>
      </c>
      <c r="F377" s="4">
        <v>13.4</v>
      </c>
      <c r="G377" s="4">
        <v>36</v>
      </c>
      <c r="H377" s="4" t="s">
        <v>81</v>
      </c>
      <c r="I377" s="4" t="s">
        <v>20</v>
      </c>
      <c r="J377" s="4" t="s">
        <v>37</v>
      </c>
      <c r="K377" s="4">
        <v>138106</v>
      </c>
      <c r="L377" s="4" t="s">
        <v>29</v>
      </c>
      <c r="M377" s="4">
        <v>0.19</v>
      </c>
      <c r="N377" s="4">
        <v>0.91</v>
      </c>
      <c r="O377" s="4">
        <v>4947.74</v>
      </c>
      <c r="P377" s="4">
        <v>1644.69</v>
      </c>
      <c r="Q377" s="6">
        <f t="shared" si="65"/>
        <v>550.69665607765592</v>
      </c>
      <c r="R377" s="6">
        <f t="shared" si="58"/>
        <v>3574.0796187956148</v>
      </c>
      <c r="S377" s="4">
        <f t="shared" si="59"/>
        <v>17858.241758241758</v>
      </c>
      <c r="T377" s="4">
        <f t="shared" si="60"/>
        <v>11508.833333333334</v>
      </c>
      <c r="U377" s="4">
        <f t="shared" si="61"/>
        <v>2186.6783333333333</v>
      </c>
      <c r="V377" s="4">
        <f t="shared" ca="1" si="62"/>
        <v>39</v>
      </c>
      <c r="W377" s="20">
        <v>0</v>
      </c>
      <c r="X377" s="4">
        <f t="shared" si="63"/>
        <v>-9658.57</v>
      </c>
      <c r="Y377" s="13">
        <f t="shared" si="64"/>
        <v>-0.59433696387914592</v>
      </c>
    </row>
    <row r="378" spans="1:25" x14ac:dyDescent="0.3">
      <c r="A378" s="12" t="s">
        <v>798</v>
      </c>
      <c r="B378" s="7">
        <v>45263</v>
      </c>
      <c r="C378" s="4" t="s">
        <v>799</v>
      </c>
      <c r="D378" s="4" t="s">
        <v>76</v>
      </c>
      <c r="E378" s="4">
        <v>1526</v>
      </c>
      <c r="F378" s="4">
        <v>23.1</v>
      </c>
      <c r="G378" s="4">
        <v>60</v>
      </c>
      <c r="H378" s="4" t="s">
        <v>26</v>
      </c>
      <c r="I378" s="4" t="s">
        <v>27</v>
      </c>
      <c r="J378" s="4" t="s">
        <v>47</v>
      </c>
      <c r="K378" s="4">
        <v>54519</v>
      </c>
      <c r="L378" s="4" t="s">
        <v>29</v>
      </c>
      <c r="M378" s="4">
        <v>0.32</v>
      </c>
      <c r="N378" s="4">
        <v>0.52</v>
      </c>
      <c r="O378" s="4">
        <v>543.33000000000004</v>
      </c>
      <c r="P378" s="4">
        <v>0</v>
      </c>
      <c r="Q378" s="6">
        <f t="shared" si="65"/>
        <v>43.106378791275212</v>
      </c>
      <c r="R378" s="6">
        <f t="shared" si="58"/>
        <v>1060.3827274765126</v>
      </c>
      <c r="S378" s="4">
        <f t="shared" si="59"/>
        <v>2934.6153846153843</v>
      </c>
      <c r="T378" s="4">
        <f t="shared" si="60"/>
        <v>4543.25</v>
      </c>
      <c r="U378" s="4">
        <f t="shared" si="61"/>
        <v>1453.84</v>
      </c>
      <c r="V378" s="4">
        <f t="shared" ca="1" si="62"/>
        <v>27</v>
      </c>
      <c r="W378" s="20">
        <f ca="1">V378*Q378</f>
        <v>1163.8722273644307</v>
      </c>
      <c r="X378" s="4">
        <f t="shared" si="63"/>
        <v>-982.67</v>
      </c>
      <c r="Y378" s="13">
        <f t="shared" si="64"/>
        <v>-0.6439515072083879</v>
      </c>
    </row>
    <row r="379" spans="1:25" x14ac:dyDescent="0.3">
      <c r="A379" s="12" t="s">
        <v>800</v>
      </c>
      <c r="B379" s="7">
        <v>44481</v>
      </c>
      <c r="C379" s="4" t="s">
        <v>801</v>
      </c>
      <c r="D379" s="4" t="s">
        <v>56</v>
      </c>
      <c r="E379" s="4">
        <v>4224</v>
      </c>
      <c r="F379" s="4">
        <v>19.8</v>
      </c>
      <c r="G379" s="4">
        <v>36</v>
      </c>
      <c r="H379" s="4" t="s">
        <v>19</v>
      </c>
      <c r="I379" s="4" t="s">
        <v>36</v>
      </c>
      <c r="J379" s="4" t="s">
        <v>47</v>
      </c>
      <c r="K379" s="4">
        <v>52439</v>
      </c>
      <c r="L379" s="4" t="s">
        <v>33</v>
      </c>
      <c r="M379" s="4">
        <v>0.31</v>
      </c>
      <c r="N379" s="4">
        <v>0.65</v>
      </c>
      <c r="O379" s="4">
        <v>5060.3500000000004</v>
      </c>
      <c r="P379" s="4">
        <v>0</v>
      </c>
      <c r="Q379" s="6">
        <f t="shared" si="65"/>
        <v>156.54885924643617</v>
      </c>
      <c r="R379" s="6">
        <f t="shared" si="58"/>
        <v>1411.7589328717022</v>
      </c>
      <c r="S379" s="4">
        <f t="shared" si="59"/>
        <v>6498.4615384615381</v>
      </c>
      <c r="T379" s="4">
        <f t="shared" si="60"/>
        <v>4369.916666666667</v>
      </c>
      <c r="U379" s="4">
        <f t="shared" si="61"/>
        <v>1354.6741666666667</v>
      </c>
      <c r="V379" s="4">
        <f t="shared" ca="1" si="62"/>
        <v>53</v>
      </c>
      <c r="W379" s="20">
        <f ca="1">V379*Q379</f>
        <v>8297.0895400611171</v>
      </c>
      <c r="X379" s="4">
        <f t="shared" si="63"/>
        <v>836.35000000000036</v>
      </c>
      <c r="Y379" s="13">
        <f t="shared" si="64"/>
        <v>0.1979995265151516</v>
      </c>
    </row>
    <row r="380" spans="1:25" x14ac:dyDescent="0.3">
      <c r="A380" s="12" t="s">
        <v>802</v>
      </c>
      <c r="B380" s="7">
        <v>44593</v>
      </c>
      <c r="C380" s="4" t="s">
        <v>803</v>
      </c>
      <c r="D380" s="4" t="s">
        <v>46</v>
      </c>
      <c r="E380" s="4">
        <v>12536</v>
      </c>
      <c r="F380" s="4">
        <v>8.8000000000000007</v>
      </c>
      <c r="G380" s="4">
        <v>36</v>
      </c>
      <c r="H380" s="4" t="s">
        <v>26</v>
      </c>
      <c r="I380" s="4" t="s">
        <v>73</v>
      </c>
      <c r="J380" s="4" t="s">
        <v>32</v>
      </c>
      <c r="K380" s="4">
        <v>148570</v>
      </c>
      <c r="L380" s="4" t="s">
        <v>29</v>
      </c>
      <c r="M380" s="4">
        <v>0.21</v>
      </c>
      <c r="N380" s="4">
        <v>0.68</v>
      </c>
      <c r="O380" s="4">
        <v>4401.21</v>
      </c>
      <c r="P380" s="4">
        <v>0</v>
      </c>
      <c r="Q380" s="6">
        <f t="shared" si="65"/>
        <v>397.47559063494577</v>
      </c>
      <c r="R380" s="6">
        <f t="shared" si="58"/>
        <v>1773.121262858047</v>
      </c>
      <c r="S380" s="4">
        <f t="shared" si="59"/>
        <v>18435.294117647056</v>
      </c>
      <c r="T380" s="4">
        <f t="shared" si="60"/>
        <v>12380.833333333334</v>
      </c>
      <c r="U380" s="4">
        <f t="shared" si="61"/>
        <v>2599.9749999999999</v>
      </c>
      <c r="V380" s="4">
        <f t="shared" ca="1" si="62"/>
        <v>49</v>
      </c>
      <c r="W380" s="20">
        <f ca="1">V380*Q380</f>
        <v>19476.303941112343</v>
      </c>
      <c r="X380" s="4">
        <f t="shared" si="63"/>
        <v>-8134.79</v>
      </c>
      <c r="Y380" s="13">
        <f t="shared" si="64"/>
        <v>-0.64891432673899174</v>
      </c>
    </row>
    <row r="381" spans="1:25" x14ac:dyDescent="0.3">
      <c r="A381" s="12" t="s">
        <v>804</v>
      </c>
      <c r="B381" s="7">
        <v>44208</v>
      </c>
      <c r="C381" s="4" t="s">
        <v>805</v>
      </c>
      <c r="D381" s="4" t="s">
        <v>50</v>
      </c>
      <c r="E381" s="4">
        <v>29541</v>
      </c>
      <c r="F381" s="4">
        <v>17.3</v>
      </c>
      <c r="G381" s="4">
        <v>36</v>
      </c>
      <c r="H381" s="4" t="s">
        <v>19</v>
      </c>
      <c r="I381" s="4" t="s">
        <v>73</v>
      </c>
      <c r="J381" s="4" t="s">
        <v>47</v>
      </c>
      <c r="K381" s="4">
        <v>106949</v>
      </c>
      <c r="L381" s="4" t="s">
        <v>29</v>
      </c>
      <c r="M381" s="4">
        <v>0.22</v>
      </c>
      <c r="N381" s="4">
        <v>0.61</v>
      </c>
      <c r="O381" s="4">
        <v>34651.589999999997</v>
      </c>
      <c r="P381" s="4">
        <v>0</v>
      </c>
      <c r="Q381" s="6">
        <f t="shared" si="65"/>
        <v>1057.6331291486367</v>
      </c>
      <c r="R381" s="6">
        <f t="shared" si="58"/>
        <v>8533.7926493509221</v>
      </c>
      <c r="S381" s="4">
        <f t="shared" si="59"/>
        <v>48427.868852459018</v>
      </c>
      <c r="T381" s="4">
        <f t="shared" si="60"/>
        <v>8912.4166666666661</v>
      </c>
      <c r="U381" s="4">
        <f t="shared" si="61"/>
        <v>1960.7316666666666</v>
      </c>
      <c r="V381" s="4">
        <f t="shared" ca="1" si="62"/>
        <v>62</v>
      </c>
      <c r="W381" s="20">
        <f ca="1">V381*Q381</f>
        <v>65573.254007215481</v>
      </c>
      <c r="X381" s="4">
        <f t="shared" si="63"/>
        <v>5110.5899999999965</v>
      </c>
      <c r="Y381" s="13">
        <f t="shared" si="64"/>
        <v>0.17299989844622715</v>
      </c>
    </row>
    <row r="382" spans="1:25" x14ac:dyDescent="0.3">
      <c r="A382" s="12" t="s">
        <v>806</v>
      </c>
      <c r="B382" s="7">
        <v>44695</v>
      </c>
      <c r="C382" s="4" t="s">
        <v>807</v>
      </c>
      <c r="D382" s="4" t="s">
        <v>40</v>
      </c>
      <c r="E382" s="4">
        <v>14547</v>
      </c>
      <c r="F382" s="4">
        <v>13.7</v>
      </c>
      <c r="G382" s="4">
        <v>60</v>
      </c>
      <c r="H382" s="4" t="s">
        <v>81</v>
      </c>
      <c r="I382" s="4" t="s">
        <v>41</v>
      </c>
      <c r="J382" s="4" t="s">
        <v>28</v>
      </c>
      <c r="K382" s="4">
        <v>44995</v>
      </c>
      <c r="L382" s="4" t="s">
        <v>22</v>
      </c>
      <c r="M382" s="4">
        <v>0.21</v>
      </c>
      <c r="N382" s="4">
        <v>0.78</v>
      </c>
      <c r="O382" s="4">
        <v>5567.14</v>
      </c>
      <c r="P382" s="4">
        <v>1935.32</v>
      </c>
      <c r="Q382" s="6">
        <f t="shared" si="65"/>
        <v>336.22499261649574</v>
      </c>
      <c r="R382" s="6">
        <f t="shared" si="58"/>
        <v>5626.4995569897437</v>
      </c>
      <c r="S382" s="4">
        <f t="shared" si="59"/>
        <v>18650</v>
      </c>
      <c r="T382" s="4">
        <f t="shared" si="60"/>
        <v>3749.5833333333335</v>
      </c>
      <c r="U382" s="4">
        <f t="shared" si="61"/>
        <v>787.41250000000002</v>
      </c>
      <c r="V382" s="4">
        <f t="shared" ca="1" si="62"/>
        <v>46</v>
      </c>
      <c r="W382" s="20">
        <v>0</v>
      </c>
      <c r="X382" s="4">
        <f t="shared" si="63"/>
        <v>-7044.54</v>
      </c>
      <c r="Y382" s="13">
        <f t="shared" si="64"/>
        <v>-0.48426067230356773</v>
      </c>
    </row>
    <row r="383" spans="1:25" x14ac:dyDescent="0.3">
      <c r="A383" s="12" t="s">
        <v>808</v>
      </c>
      <c r="B383" s="7">
        <v>44950</v>
      </c>
      <c r="C383" s="4" t="s">
        <v>809</v>
      </c>
      <c r="D383" s="4" t="s">
        <v>53</v>
      </c>
      <c r="E383" s="4">
        <v>35531</v>
      </c>
      <c r="F383" s="4">
        <v>16.5</v>
      </c>
      <c r="G383" s="4">
        <v>36</v>
      </c>
      <c r="H383" s="4" t="s">
        <v>19</v>
      </c>
      <c r="I383" s="4" t="s">
        <v>73</v>
      </c>
      <c r="J383" s="4" t="s">
        <v>47</v>
      </c>
      <c r="K383" s="4">
        <v>53559</v>
      </c>
      <c r="L383" s="4" t="s">
        <v>22</v>
      </c>
      <c r="M383" s="4">
        <v>0.41</v>
      </c>
      <c r="N383" s="4">
        <v>0.79</v>
      </c>
      <c r="O383" s="4">
        <v>41393.620000000003</v>
      </c>
      <c r="P383" s="4">
        <v>0</v>
      </c>
      <c r="Q383" s="6">
        <f t="shared" si="65"/>
        <v>1257.953116384866</v>
      </c>
      <c r="R383" s="6">
        <f t="shared" si="58"/>
        <v>9755.3121898551763</v>
      </c>
      <c r="S383" s="4">
        <f t="shared" si="59"/>
        <v>44975.949367088608</v>
      </c>
      <c r="T383" s="4">
        <f t="shared" si="60"/>
        <v>4463.25</v>
      </c>
      <c r="U383" s="4">
        <f t="shared" si="61"/>
        <v>1829.9324999999999</v>
      </c>
      <c r="V383" s="4">
        <f t="shared" ca="1" si="62"/>
        <v>37</v>
      </c>
      <c r="W383" s="20">
        <f t="shared" ref="W383:W403" ca="1" si="68">V383*Q383</f>
        <v>46544.265306240042</v>
      </c>
      <c r="X383" s="4">
        <f t="shared" si="63"/>
        <v>5862.6200000000026</v>
      </c>
      <c r="Y383" s="13">
        <f t="shared" si="64"/>
        <v>0.16500014072218633</v>
      </c>
    </row>
    <row r="384" spans="1:25" x14ac:dyDescent="0.3">
      <c r="A384" s="12" t="s">
        <v>810</v>
      </c>
      <c r="B384" s="7">
        <v>44231</v>
      </c>
      <c r="C384" s="4" t="s">
        <v>811</v>
      </c>
      <c r="D384" s="4" t="s">
        <v>72</v>
      </c>
      <c r="E384" s="4">
        <v>9712</v>
      </c>
      <c r="F384" s="4">
        <v>19.8</v>
      </c>
      <c r="G384" s="4">
        <v>60</v>
      </c>
      <c r="H384" s="4" t="s">
        <v>19</v>
      </c>
      <c r="I384" s="4" t="s">
        <v>57</v>
      </c>
      <c r="J384" s="4" t="s">
        <v>21</v>
      </c>
      <c r="K384" s="4">
        <v>140887</v>
      </c>
      <c r="L384" s="4" t="s">
        <v>22</v>
      </c>
      <c r="M384" s="4">
        <v>0.36</v>
      </c>
      <c r="N384" s="4">
        <v>0.88</v>
      </c>
      <c r="O384" s="4">
        <v>11634.98</v>
      </c>
      <c r="P384" s="4">
        <v>0</v>
      </c>
      <c r="Q384" s="6">
        <f t="shared" si="65"/>
        <v>256.22901158476651</v>
      </c>
      <c r="R384" s="6">
        <f t="shared" si="58"/>
        <v>5661.7406950859913</v>
      </c>
      <c r="S384" s="4">
        <f t="shared" si="59"/>
        <v>11036.363636363636</v>
      </c>
      <c r="T384" s="4">
        <f t="shared" si="60"/>
        <v>11740.583333333334</v>
      </c>
      <c r="U384" s="4">
        <f t="shared" si="61"/>
        <v>4226.6099999999997</v>
      </c>
      <c r="V384" s="4">
        <f t="shared" ca="1" si="62"/>
        <v>61</v>
      </c>
      <c r="W384" s="20">
        <f t="shared" ca="1" si="68"/>
        <v>15629.969706670758</v>
      </c>
      <c r="X384" s="4">
        <f t="shared" si="63"/>
        <v>1922.9799999999996</v>
      </c>
      <c r="Y384" s="13">
        <f t="shared" si="64"/>
        <v>0.19800041186161446</v>
      </c>
    </row>
    <row r="385" spans="1:25" x14ac:dyDescent="0.3">
      <c r="A385" s="12" t="s">
        <v>812</v>
      </c>
      <c r="B385" s="7">
        <v>44923</v>
      </c>
      <c r="C385" s="4" t="s">
        <v>813</v>
      </c>
      <c r="D385" s="4" t="s">
        <v>25</v>
      </c>
      <c r="E385" s="4">
        <v>39565</v>
      </c>
      <c r="F385" s="4">
        <v>21.1</v>
      </c>
      <c r="G385" s="4">
        <v>60</v>
      </c>
      <c r="H385" s="4" t="s">
        <v>26</v>
      </c>
      <c r="I385" s="4" t="s">
        <v>57</v>
      </c>
      <c r="J385" s="4" t="s">
        <v>32</v>
      </c>
      <c r="K385" s="4">
        <v>119049</v>
      </c>
      <c r="L385" s="4" t="s">
        <v>33</v>
      </c>
      <c r="M385" s="4">
        <v>0.43</v>
      </c>
      <c r="N385" s="4">
        <v>0.83</v>
      </c>
      <c r="O385" s="4">
        <v>16632.71</v>
      </c>
      <c r="P385" s="4">
        <v>0</v>
      </c>
      <c r="Q385" s="6">
        <f t="shared" si="65"/>
        <v>1072.5930146634369</v>
      </c>
      <c r="R385" s="6">
        <f t="shared" si="58"/>
        <v>24790.580879806213</v>
      </c>
      <c r="S385" s="4">
        <f t="shared" si="59"/>
        <v>47668.674698795185</v>
      </c>
      <c r="T385" s="4">
        <f t="shared" si="60"/>
        <v>9920.75</v>
      </c>
      <c r="U385" s="4">
        <f t="shared" si="61"/>
        <v>4265.9224999999997</v>
      </c>
      <c r="V385" s="4">
        <f t="shared" ca="1" si="62"/>
        <v>38</v>
      </c>
      <c r="W385" s="20">
        <f t="shared" ca="1" si="68"/>
        <v>40758.534557210602</v>
      </c>
      <c r="X385" s="4">
        <f t="shared" si="63"/>
        <v>-22932.29</v>
      </c>
      <c r="Y385" s="13">
        <f t="shared" si="64"/>
        <v>-0.57961051434348543</v>
      </c>
    </row>
    <row r="386" spans="1:25" x14ac:dyDescent="0.3">
      <c r="A386" s="12" t="s">
        <v>814</v>
      </c>
      <c r="B386" s="7">
        <v>45045</v>
      </c>
      <c r="C386" s="4" t="s">
        <v>815</v>
      </c>
      <c r="D386" s="4" t="s">
        <v>46</v>
      </c>
      <c r="E386" s="4">
        <v>10208</v>
      </c>
      <c r="F386" s="4">
        <v>21.9</v>
      </c>
      <c r="G386" s="4">
        <v>60</v>
      </c>
      <c r="H386" s="4" t="s">
        <v>26</v>
      </c>
      <c r="I386" s="4" t="s">
        <v>27</v>
      </c>
      <c r="J386" s="4" t="s">
        <v>21</v>
      </c>
      <c r="K386" s="4">
        <v>35021</v>
      </c>
      <c r="L386" s="4" t="s">
        <v>22</v>
      </c>
      <c r="M386" s="4">
        <v>0.49</v>
      </c>
      <c r="N386" s="4">
        <v>0.74</v>
      </c>
      <c r="O386" s="4">
        <v>703.21</v>
      </c>
      <c r="P386" s="4">
        <v>0</v>
      </c>
      <c r="Q386" s="6">
        <f t="shared" si="65"/>
        <v>281.35376722121896</v>
      </c>
      <c r="R386" s="6">
        <f t="shared" ref="R386:R449" si="69">(Q386*G386)-E386</f>
        <v>6673.2260332731385</v>
      </c>
      <c r="S386" s="4">
        <f t="shared" ref="S386:S449" si="70">E386 / N386</f>
        <v>13794.594594594595</v>
      </c>
      <c r="T386" s="4">
        <f t="shared" ref="T386:T449" si="71">K386/12</f>
        <v>2918.4166666666665</v>
      </c>
      <c r="U386" s="4">
        <f t="shared" ref="U386:U449" si="72">M386*T386</f>
        <v>1430.0241666666666</v>
      </c>
      <c r="V386" s="4">
        <f t="shared" ref="V386:V449" ca="1" si="73">DATEDIF(B386, TODAY(), "m")</f>
        <v>34</v>
      </c>
      <c r="W386" s="20">
        <f t="shared" ca="1" si="68"/>
        <v>9566.0280855214442</v>
      </c>
      <c r="X386" s="4">
        <f t="shared" ref="X386:X449" si="74">(O386 + P386) - E386</f>
        <v>-9504.7900000000009</v>
      </c>
      <c r="Y386" s="13">
        <f t="shared" ref="Y386:Y449" si="75">(X386/E386)</f>
        <v>-0.93111187304075249</v>
      </c>
    </row>
    <row r="387" spans="1:25" x14ac:dyDescent="0.3">
      <c r="A387" s="12" t="s">
        <v>816</v>
      </c>
      <c r="B387" s="7">
        <v>44286</v>
      </c>
      <c r="C387" s="4" t="s">
        <v>817</v>
      </c>
      <c r="D387" s="4" t="s">
        <v>25</v>
      </c>
      <c r="E387" s="4">
        <v>6109</v>
      </c>
      <c r="F387" s="4">
        <v>10.1</v>
      </c>
      <c r="G387" s="4">
        <v>60</v>
      </c>
      <c r="H387" s="4" t="s">
        <v>19</v>
      </c>
      <c r="I387" s="4" t="s">
        <v>27</v>
      </c>
      <c r="J387" s="4" t="s">
        <v>37</v>
      </c>
      <c r="K387" s="4">
        <v>128000</v>
      </c>
      <c r="L387" s="4" t="s">
        <v>29</v>
      </c>
      <c r="M387" s="4">
        <v>0.28999999999999998</v>
      </c>
      <c r="N387" s="4">
        <v>0.79</v>
      </c>
      <c r="O387" s="4">
        <v>6726.01</v>
      </c>
      <c r="P387" s="4">
        <v>0</v>
      </c>
      <c r="Q387" s="6">
        <f t="shared" ref="Q387:Q450" si="76">PMT(F387/100/12, G387, -E387)</f>
        <v>130.09898813313069</v>
      </c>
      <c r="R387" s="6">
        <f t="shared" si="69"/>
        <v>1696.9392879878415</v>
      </c>
      <c r="S387" s="4">
        <f t="shared" si="70"/>
        <v>7732.9113924050625</v>
      </c>
      <c r="T387" s="4">
        <f t="shared" si="71"/>
        <v>10666.666666666666</v>
      </c>
      <c r="U387" s="4">
        <f t="shared" si="72"/>
        <v>3093.333333333333</v>
      </c>
      <c r="V387" s="4">
        <f t="shared" ca="1" si="73"/>
        <v>59</v>
      </c>
      <c r="W387" s="20">
        <f t="shared" ca="1" si="68"/>
        <v>7675.8402998547108</v>
      </c>
      <c r="X387" s="4">
        <f t="shared" si="74"/>
        <v>617.01000000000022</v>
      </c>
      <c r="Y387" s="13">
        <f t="shared" si="75"/>
        <v>0.10100016369291213</v>
      </c>
    </row>
    <row r="388" spans="1:25" x14ac:dyDescent="0.3">
      <c r="A388" s="12" t="s">
        <v>818</v>
      </c>
      <c r="B388" s="7">
        <v>44972</v>
      </c>
      <c r="C388" s="4" t="s">
        <v>819</v>
      </c>
      <c r="D388" s="4" t="s">
        <v>40</v>
      </c>
      <c r="E388" s="4">
        <v>36201</v>
      </c>
      <c r="F388" s="4">
        <v>5.6</v>
      </c>
      <c r="G388" s="4">
        <v>60</v>
      </c>
      <c r="H388" s="4" t="s">
        <v>26</v>
      </c>
      <c r="I388" s="4" t="s">
        <v>57</v>
      </c>
      <c r="J388" s="4" t="s">
        <v>21</v>
      </c>
      <c r="K388" s="4">
        <v>51119</v>
      </c>
      <c r="L388" s="4" t="s">
        <v>33</v>
      </c>
      <c r="M388" s="4">
        <v>0.13</v>
      </c>
      <c r="N388" s="4">
        <v>0.62</v>
      </c>
      <c r="O388" s="4">
        <v>9484.2000000000007</v>
      </c>
      <c r="P388" s="4">
        <v>0</v>
      </c>
      <c r="Q388" s="6">
        <f t="shared" si="76"/>
        <v>693.15333630483644</v>
      </c>
      <c r="R388" s="6">
        <f t="shared" si="69"/>
        <v>5388.2001782901862</v>
      </c>
      <c r="S388" s="4">
        <f t="shared" si="70"/>
        <v>58388.709677419356</v>
      </c>
      <c r="T388" s="4">
        <f t="shared" si="71"/>
        <v>4259.916666666667</v>
      </c>
      <c r="U388" s="4">
        <f t="shared" si="72"/>
        <v>553.78916666666669</v>
      </c>
      <c r="V388" s="4">
        <f t="shared" ca="1" si="73"/>
        <v>37</v>
      </c>
      <c r="W388" s="20">
        <f t="shared" ca="1" si="68"/>
        <v>25646.673443278949</v>
      </c>
      <c r="X388" s="4">
        <f t="shared" si="74"/>
        <v>-26716.799999999999</v>
      </c>
      <c r="Y388" s="13">
        <f t="shared" si="75"/>
        <v>-0.73801276207839561</v>
      </c>
    </row>
    <row r="389" spans="1:25" x14ac:dyDescent="0.3">
      <c r="A389" s="12" t="s">
        <v>820</v>
      </c>
      <c r="B389" s="7">
        <v>44801</v>
      </c>
      <c r="C389" s="4" t="s">
        <v>821</v>
      </c>
      <c r="D389" s="4" t="s">
        <v>56</v>
      </c>
      <c r="E389" s="4">
        <v>17967</v>
      </c>
      <c r="F389" s="4">
        <v>19.8</v>
      </c>
      <c r="G389" s="4">
        <v>60</v>
      </c>
      <c r="H389" s="4" t="s">
        <v>19</v>
      </c>
      <c r="I389" s="4" t="s">
        <v>57</v>
      </c>
      <c r="J389" s="4" t="s">
        <v>28</v>
      </c>
      <c r="K389" s="4">
        <v>81539</v>
      </c>
      <c r="L389" s="4" t="s">
        <v>33</v>
      </c>
      <c r="M389" s="4">
        <v>0.12</v>
      </c>
      <c r="N389" s="4">
        <v>0.77</v>
      </c>
      <c r="O389" s="4">
        <v>21524.47</v>
      </c>
      <c r="P389" s="4">
        <v>0</v>
      </c>
      <c r="Q389" s="6">
        <f t="shared" si="76"/>
        <v>474.01839488709845</v>
      </c>
      <c r="R389" s="6">
        <f t="shared" si="69"/>
        <v>10474.103693225909</v>
      </c>
      <c r="S389" s="4">
        <f t="shared" si="70"/>
        <v>23333.766233766233</v>
      </c>
      <c r="T389" s="4">
        <f t="shared" si="71"/>
        <v>6794.916666666667</v>
      </c>
      <c r="U389" s="4">
        <f t="shared" si="72"/>
        <v>815.39</v>
      </c>
      <c r="V389" s="4">
        <f t="shared" ca="1" si="73"/>
        <v>42</v>
      </c>
      <c r="W389" s="20">
        <f t="shared" ca="1" si="68"/>
        <v>19908.772585258135</v>
      </c>
      <c r="X389" s="4">
        <f t="shared" si="74"/>
        <v>3557.4700000000012</v>
      </c>
      <c r="Y389" s="13">
        <f t="shared" si="75"/>
        <v>0.19800022263037798</v>
      </c>
    </row>
    <row r="390" spans="1:25" x14ac:dyDescent="0.3">
      <c r="A390" s="12" t="s">
        <v>822</v>
      </c>
      <c r="B390" s="7">
        <v>45166</v>
      </c>
      <c r="C390" s="4" t="s">
        <v>823</v>
      </c>
      <c r="D390" s="4" t="s">
        <v>40</v>
      </c>
      <c r="E390" s="4">
        <v>30759</v>
      </c>
      <c r="F390" s="4">
        <v>7.1</v>
      </c>
      <c r="G390" s="4">
        <v>36</v>
      </c>
      <c r="H390" s="4" t="s">
        <v>19</v>
      </c>
      <c r="I390" s="4" t="s">
        <v>41</v>
      </c>
      <c r="J390" s="4" t="s">
        <v>28</v>
      </c>
      <c r="K390" s="4">
        <v>124835</v>
      </c>
      <c r="L390" s="4" t="s">
        <v>33</v>
      </c>
      <c r="M390" s="4">
        <v>0.22</v>
      </c>
      <c r="N390" s="4">
        <v>0.72</v>
      </c>
      <c r="O390" s="4">
        <v>32942.89</v>
      </c>
      <c r="P390" s="4">
        <v>0</v>
      </c>
      <c r="Q390" s="6">
        <f t="shared" si="76"/>
        <v>951.15560421414204</v>
      </c>
      <c r="R390" s="6">
        <f t="shared" si="69"/>
        <v>3482.6017517091168</v>
      </c>
      <c r="S390" s="4">
        <f t="shared" si="70"/>
        <v>42720.833333333336</v>
      </c>
      <c r="T390" s="4">
        <f t="shared" si="71"/>
        <v>10402.916666666666</v>
      </c>
      <c r="U390" s="4">
        <f t="shared" si="72"/>
        <v>2288.6416666666664</v>
      </c>
      <c r="V390" s="4">
        <f t="shared" ca="1" si="73"/>
        <v>30</v>
      </c>
      <c r="W390" s="20">
        <f t="shared" ca="1" si="68"/>
        <v>28534.668126424262</v>
      </c>
      <c r="X390" s="4">
        <f t="shared" si="74"/>
        <v>2183.8899999999994</v>
      </c>
      <c r="Y390" s="13">
        <f t="shared" si="75"/>
        <v>7.100003251080983E-2</v>
      </c>
    </row>
    <row r="391" spans="1:25" x14ac:dyDescent="0.3">
      <c r="A391" s="12" t="s">
        <v>824</v>
      </c>
      <c r="B391" s="7">
        <v>45218</v>
      </c>
      <c r="C391" s="4" t="s">
        <v>825</v>
      </c>
      <c r="D391" s="4" t="s">
        <v>65</v>
      </c>
      <c r="E391" s="4">
        <v>21172</v>
      </c>
      <c r="F391" s="4">
        <v>11.3</v>
      </c>
      <c r="G391" s="4">
        <v>36</v>
      </c>
      <c r="H391" s="4" t="s">
        <v>26</v>
      </c>
      <c r="I391" s="4" t="s">
        <v>20</v>
      </c>
      <c r="J391" s="4" t="s">
        <v>21</v>
      </c>
      <c r="K391" s="4">
        <v>69350</v>
      </c>
      <c r="L391" s="4" t="s">
        <v>33</v>
      </c>
      <c r="M391" s="4">
        <v>0.47</v>
      </c>
      <c r="N391" s="4">
        <v>0.56000000000000005</v>
      </c>
      <c r="O391" s="4">
        <v>4850.0600000000004</v>
      </c>
      <c r="P391" s="4">
        <v>0</v>
      </c>
      <c r="Q391" s="6">
        <f t="shared" si="76"/>
        <v>696.15587410270291</v>
      </c>
      <c r="R391" s="6">
        <f t="shared" si="69"/>
        <v>3889.6114676973048</v>
      </c>
      <c r="S391" s="4">
        <f t="shared" si="70"/>
        <v>37807.142857142855</v>
      </c>
      <c r="T391" s="4">
        <f t="shared" si="71"/>
        <v>5779.166666666667</v>
      </c>
      <c r="U391" s="4">
        <f t="shared" si="72"/>
        <v>2716.2083333333335</v>
      </c>
      <c r="V391" s="4">
        <f t="shared" ca="1" si="73"/>
        <v>29</v>
      </c>
      <c r="W391" s="20">
        <f t="shared" ca="1" si="68"/>
        <v>20188.520348978385</v>
      </c>
      <c r="X391" s="4">
        <f t="shared" si="74"/>
        <v>-16321.939999999999</v>
      </c>
      <c r="Y391" s="13">
        <f t="shared" si="75"/>
        <v>-0.77092102777252969</v>
      </c>
    </row>
    <row r="392" spans="1:25" x14ac:dyDescent="0.3">
      <c r="A392" s="12" t="s">
        <v>826</v>
      </c>
      <c r="B392" s="7">
        <v>44614</v>
      </c>
      <c r="C392" s="4" t="s">
        <v>827</v>
      </c>
      <c r="D392" s="4" t="s">
        <v>18</v>
      </c>
      <c r="E392" s="4">
        <v>37935</v>
      </c>
      <c r="F392" s="4">
        <v>5.0999999999999996</v>
      </c>
      <c r="G392" s="4">
        <v>36</v>
      </c>
      <c r="H392" s="4" t="s">
        <v>19</v>
      </c>
      <c r="I392" s="4" t="s">
        <v>57</v>
      </c>
      <c r="J392" s="4" t="s">
        <v>37</v>
      </c>
      <c r="K392" s="4">
        <v>76223</v>
      </c>
      <c r="L392" s="4" t="s">
        <v>29</v>
      </c>
      <c r="M392" s="4">
        <v>0.31</v>
      </c>
      <c r="N392" s="4">
        <v>0.61</v>
      </c>
      <c r="O392" s="4">
        <v>39869.68</v>
      </c>
      <c r="P392" s="4">
        <v>0</v>
      </c>
      <c r="Q392" s="6">
        <f t="shared" si="76"/>
        <v>1138.6499615278722</v>
      </c>
      <c r="R392" s="6">
        <f t="shared" si="69"/>
        <v>3056.3986150033961</v>
      </c>
      <c r="S392" s="4">
        <f t="shared" si="70"/>
        <v>62188.524590163935</v>
      </c>
      <c r="T392" s="4">
        <f t="shared" si="71"/>
        <v>6351.916666666667</v>
      </c>
      <c r="U392" s="4">
        <f t="shared" si="72"/>
        <v>1969.0941666666668</v>
      </c>
      <c r="V392" s="4">
        <f t="shared" ca="1" si="73"/>
        <v>48</v>
      </c>
      <c r="W392" s="20">
        <f t="shared" ca="1" si="68"/>
        <v>54655.198153337864</v>
      </c>
      <c r="X392" s="4">
        <f t="shared" si="74"/>
        <v>1934.6800000000003</v>
      </c>
      <c r="Y392" s="13">
        <f t="shared" si="75"/>
        <v>5.0999868195597743E-2</v>
      </c>
    </row>
    <row r="393" spans="1:25" x14ac:dyDescent="0.3">
      <c r="A393" s="12" t="s">
        <v>828</v>
      </c>
      <c r="B393" s="7">
        <v>44311</v>
      </c>
      <c r="C393" s="4" t="s">
        <v>829</v>
      </c>
      <c r="D393" s="4" t="s">
        <v>72</v>
      </c>
      <c r="E393" s="4">
        <v>27589</v>
      </c>
      <c r="F393" s="4">
        <v>18.600000000000001</v>
      </c>
      <c r="G393" s="4">
        <v>60</v>
      </c>
      <c r="H393" s="4" t="s">
        <v>19</v>
      </c>
      <c r="I393" s="4" t="s">
        <v>20</v>
      </c>
      <c r="J393" s="4" t="s">
        <v>47</v>
      </c>
      <c r="K393" s="4">
        <v>55517</v>
      </c>
      <c r="L393" s="4" t="s">
        <v>29</v>
      </c>
      <c r="M393" s="4">
        <v>0.21</v>
      </c>
      <c r="N393" s="4">
        <v>0.63</v>
      </c>
      <c r="O393" s="4">
        <v>32720.55</v>
      </c>
      <c r="P393" s="4">
        <v>0</v>
      </c>
      <c r="Q393" s="6">
        <f t="shared" si="76"/>
        <v>709.61537245808279</v>
      </c>
      <c r="R393" s="6">
        <f t="shared" si="69"/>
        <v>14987.922347484964</v>
      </c>
      <c r="S393" s="4">
        <f t="shared" si="70"/>
        <v>43792.063492063491</v>
      </c>
      <c r="T393" s="4">
        <f t="shared" si="71"/>
        <v>4626.416666666667</v>
      </c>
      <c r="U393" s="4">
        <f t="shared" si="72"/>
        <v>971.54750000000001</v>
      </c>
      <c r="V393" s="4">
        <f t="shared" ca="1" si="73"/>
        <v>58</v>
      </c>
      <c r="W393" s="20">
        <f t="shared" ca="1" si="68"/>
        <v>41157.691602568804</v>
      </c>
      <c r="X393" s="4">
        <f t="shared" si="74"/>
        <v>5131.5499999999993</v>
      </c>
      <c r="Y393" s="13">
        <f t="shared" si="75"/>
        <v>0.18599985501467975</v>
      </c>
    </row>
    <row r="394" spans="1:25" x14ac:dyDescent="0.3">
      <c r="A394" s="12" t="s">
        <v>830</v>
      </c>
      <c r="B394" s="7">
        <v>44813</v>
      </c>
      <c r="C394" s="4" t="s">
        <v>831</v>
      </c>
      <c r="D394" s="4" t="s">
        <v>18</v>
      </c>
      <c r="E394" s="4">
        <v>31015</v>
      </c>
      <c r="F394" s="4">
        <v>8.3000000000000007</v>
      </c>
      <c r="G394" s="4">
        <v>36</v>
      </c>
      <c r="H394" s="4" t="s">
        <v>26</v>
      </c>
      <c r="I394" s="4" t="s">
        <v>84</v>
      </c>
      <c r="J394" s="4" t="s">
        <v>28</v>
      </c>
      <c r="K394" s="4">
        <v>108653</v>
      </c>
      <c r="L394" s="4" t="s">
        <v>22</v>
      </c>
      <c r="M394" s="4">
        <v>0.26</v>
      </c>
      <c r="N394" s="4">
        <v>0.92</v>
      </c>
      <c r="O394" s="4">
        <v>5879.4</v>
      </c>
      <c r="P394" s="4">
        <v>0</v>
      </c>
      <c r="Q394" s="6">
        <f t="shared" si="76"/>
        <v>976.19544296844583</v>
      </c>
      <c r="R394" s="6">
        <f t="shared" si="69"/>
        <v>4128.0359468640527</v>
      </c>
      <c r="S394" s="4">
        <f t="shared" si="70"/>
        <v>33711.956521739128</v>
      </c>
      <c r="T394" s="4">
        <f t="shared" si="71"/>
        <v>9054.4166666666661</v>
      </c>
      <c r="U394" s="4">
        <f t="shared" si="72"/>
        <v>2354.1483333333331</v>
      </c>
      <c r="V394" s="4">
        <f t="shared" ca="1" si="73"/>
        <v>42</v>
      </c>
      <c r="W394" s="20">
        <f t="shared" ca="1" si="68"/>
        <v>41000.208604674728</v>
      </c>
      <c r="X394" s="4">
        <f t="shared" si="74"/>
        <v>-25135.599999999999</v>
      </c>
      <c r="Y394" s="13">
        <f t="shared" si="75"/>
        <v>-0.81043366113171045</v>
      </c>
    </row>
    <row r="395" spans="1:25" x14ac:dyDescent="0.3">
      <c r="A395" s="12" t="s">
        <v>832</v>
      </c>
      <c r="B395" s="7">
        <v>45022</v>
      </c>
      <c r="C395" s="4" t="s">
        <v>833</v>
      </c>
      <c r="D395" s="4" t="s">
        <v>40</v>
      </c>
      <c r="E395" s="4">
        <v>30009</v>
      </c>
      <c r="F395" s="4">
        <v>18.100000000000001</v>
      </c>
      <c r="G395" s="4">
        <v>60</v>
      </c>
      <c r="H395" s="4" t="s">
        <v>19</v>
      </c>
      <c r="I395" s="4" t="s">
        <v>20</v>
      </c>
      <c r="J395" s="4" t="s">
        <v>21</v>
      </c>
      <c r="K395" s="4">
        <v>52250</v>
      </c>
      <c r="L395" s="4" t="s">
        <v>33</v>
      </c>
      <c r="M395" s="4">
        <v>0.34</v>
      </c>
      <c r="N395" s="4">
        <v>0.6</v>
      </c>
      <c r="O395" s="4">
        <v>35440.629999999997</v>
      </c>
      <c r="P395" s="4">
        <v>0</v>
      </c>
      <c r="Q395" s="6">
        <f t="shared" si="76"/>
        <v>763.66478817657401</v>
      </c>
      <c r="R395" s="6">
        <f t="shared" si="69"/>
        <v>15810.887290594437</v>
      </c>
      <c r="S395" s="4">
        <f t="shared" si="70"/>
        <v>50015</v>
      </c>
      <c r="T395" s="4">
        <f t="shared" si="71"/>
        <v>4354.166666666667</v>
      </c>
      <c r="U395" s="4">
        <f t="shared" si="72"/>
        <v>1480.416666666667</v>
      </c>
      <c r="V395" s="4">
        <f t="shared" ca="1" si="73"/>
        <v>35</v>
      </c>
      <c r="W395" s="20">
        <f t="shared" ca="1" si="68"/>
        <v>26728.267586180089</v>
      </c>
      <c r="X395" s="4">
        <f t="shared" si="74"/>
        <v>5431.6299999999974</v>
      </c>
      <c r="Y395" s="13">
        <f t="shared" si="75"/>
        <v>0.18100003332333625</v>
      </c>
    </row>
    <row r="396" spans="1:25" x14ac:dyDescent="0.3">
      <c r="A396" s="12" t="s">
        <v>834</v>
      </c>
      <c r="B396" s="7">
        <v>44609</v>
      </c>
      <c r="C396" s="4" t="s">
        <v>835</v>
      </c>
      <c r="D396" s="4" t="s">
        <v>56</v>
      </c>
      <c r="E396" s="4">
        <v>18773</v>
      </c>
      <c r="F396" s="4">
        <v>24.8</v>
      </c>
      <c r="G396" s="4">
        <v>60</v>
      </c>
      <c r="H396" s="4" t="s">
        <v>26</v>
      </c>
      <c r="I396" s="4" t="s">
        <v>27</v>
      </c>
      <c r="J396" s="4" t="s">
        <v>21</v>
      </c>
      <c r="K396" s="4">
        <v>114486</v>
      </c>
      <c r="L396" s="4" t="s">
        <v>22</v>
      </c>
      <c r="M396" s="4">
        <v>0.36</v>
      </c>
      <c r="N396" s="4">
        <v>0.63</v>
      </c>
      <c r="O396" s="4">
        <v>4751.47</v>
      </c>
      <c r="P396" s="4">
        <v>0</v>
      </c>
      <c r="Q396" s="6">
        <f t="shared" si="76"/>
        <v>548.81338117329312</v>
      </c>
      <c r="R396" s="6">
        <f t="shared" si="69"/>
        <v>14155.802870397587</v>
      </c>
      <c r="S396" s="4">
        <f t="shared" si="70"/>
        <v>29798.4126984127</v>
      </c>
      <c r="T396" s="4">
        <f t="shared" si="71"/>
        <v>9540.5</v>
      </c>
      <c r="U396" s="4">
        <f t="shared" si="72"/>
        <v>3434.58</v>
      </c>
      <c r="V396" s="4">
        <f t="shared" ca="1" si="73"/>
        <v>49</v>
      </c>
      <c r="W396" s="20">
        <f t="shared" ca="1" si="68"/>
        <v>26891.855677491363</v>
      </c>
      <c r="X396" s="4">
        <f t="shared" si="74"/>
        <v>-14021.529999999999</v>
      </c>
      <c r="Y396" s="13">
        <f t="shared" si="75"/>
        <v>-0.74689873754860703</v>
      </c>
    </row>
    <row r="397" spans="1:25" x14ac:dyDescent="0.3">
      <c r="A397" s="12" t="s">
        <v>836</v>
      </c>
      <c r="B397" s="7">
        <v>44925</v>
      </c>
      <c r="C397" s="4" t="s">
        <v>837</v>
      </c>
      <c r="D397" s="4" t="s">
        <v>56</v>
      </c>
      <c r="E397" s="4">
        <v>27143</v>
      </c>
      <c r="F397" s="4">
        <v>6.5</v>
      </c>
      <c r="G397" s="4">
        <v>60</v>
      </c>
      <c r="H397" s="4" t="s">
        <v>19</v>
      </c>
      <c r="I397" s="4" t="s">
        <v>20</v>
      </c>
      <c r="J397" s="4" t="s">
        <v>21</v>
      </c>
      <c r="K397" s="4">
        <v>112895</v>
      </c>
      <c r="L397" s="4" t="s">
        <v>29</v>
      </c>
      <c r="M397" s="4">
        <v>0.16</v>
      </c>
      <c r="N397" s="4">
        <v>0.67</v>
      </c>
      <c r="O397" s="4">
        <v>28907.3</v>
      </c>
      <c r="P397" s="4">
        <v>0</v>
      </c>
      <c r="Q397" s="6">
        <f t="shared" si="76"/>
        <v>531.08396110094884</v>
      </c>
      <c r="R397" s="6">
        <f t="shared" si="69"/>
        <v>4722.0376660569309</v>
      </c>
      <c r="S397" s="4">
        <f t="shared" si="70"/>
        <v>40511.940298507463</v>
      </c>
      <c r="T397" s="4">
        <f t="shared" si="71"/>
        <v>9407.9166666666661</v>
      </c>
      <c r="U397" s="4">
        <f t="shared" si="72"/>
        <v>1505.2666666666667</v>
      </c>
      <c r="V397" s="4">
        <f t="shared" ca="1" si="73"/>
        <v>38</v>
      </c>
      <c r="W397" s="20">
        <f t="shared" ca="1" si="68"/>
        <v>20181.190521836055</v>
      </c>
      <c r="X397" s="4">
        <f t="shared" si="74"/>
        <v>1764.2999999999993</v>
      </c>
      <c r="Y397" s="13">
        <f t="shared" si="75"/>
        <v>6.5000184209556763E-2</v>
      </c>
    </row>
    <row r="398" spans="1:25" x14ac:dyDescent="0.3">
      <c r="A398" s="12" t="s">
        <v>838</v>
      </c>
      <c r="B398" s="7">
        <v>45217</v>
      </c>
      <c r="C398" s="4" t="s">
        <v>839</v>
      </c>
      <c r="D398" s="4" t="s">
        <v>76</v>
      </c>
      <c r="E398" s="4">
        <v>7154</v>
      </c>
      <c r="F398" s="4">
        <v>6.5</v>
      </c>
      <c r="G398" s="4">
        <v>36</v>
      </c>
      <c r="H398" s="4" t="s">
        <v>19</v>
      </c>
      <c r="I398" s="4" t="s">
        <v>27</v>
      </c>
      <c r="J398" s="4" t="s">
        <v>47</v>
      </c>
      <c r="K398" s="4">
        <v>119132</v>
      </c>
      <c r="L398" s="4" t="s">
        <v>33</v>
      </c>
      <c r="M398" s="4">
        <v>0.49</v>
      </c>
      <c r="N398" s="4">
        <v>0.8</v>
      </c>
      <c r="O398" s="4">
        <v>7619.01</v>
      </c>
      <c r="P398" s="4">
        <v>0</v>
      </c>
      <c r="Q398" s="6">
        <f t="shared" si="76"/>
        <v>219.26296657855099</v>
      </c>
      <c r="R398" s="6">
        <f t="shared" si="69"/>
        <v>739.46679682783542</v>
      </c>
      <c r="S398" s="4">
        <f t="shared" si="70"/>
        <v>8942.5</v>
      </c>
      <c r="T398" s="4">
        <f t="shared" si="71"/>
        <v>9927.6666666666661</v>
      </c>
      <c r="U398" s="4">
        <f t="shared" si="72"/>
        <v>4864.5566666666664</v>
      </c>
      <c r="V398" s="4">
        <f t="shared" ca="1" si="73"/>
        <v>29</v>
      </c>
      <c r="W398" s="20">
        <f t="shared" ca="1" si="68"/>
        <v>6358.6260307779785</v>
      </c>
      <c r="X398" s="4">
        <f t="shared" si="74"/>
        <v>465.01000000000022</v>
      </c>
      <c r="Y398" s="13">
        <f t="shared" si="75"/>
        <v>6.500000000000003E-2</v>
      </c>
    </row>
    <row r="399" spans="1:25" x14ac:dyDescent="0.3">
      <c r="A399" s="12" t="s">
        <v>840</v>
      </c>
      <c r="B399" s="7">
        <v>44957</v>
      </c>
      <c r="C399" s="4" t="s">
        <v>841</v>
      </c>
      <c r="D399" s="4" t="s">
        <v>46</v>
      </c>
      <c r="E399" s="4">
        <v>22804</v>
      </c>
      <c r="F399" s="4">
        <v>11.8</v>
      </c>
      <c r="G399" s="4">
        <v>60</v>
      </c>
      <c r="H399" s="4" t="s">
        <v>19</v>
      </c>
      <c r="I399" s="4" t="s">
        <v>84</v>
      </c>
      <c r="J399" s="4" t="s">
        <v>32</v>
      </c>
      <c r="K399" s="4">
        <v>121066</v>
      </c>
      <c r="L399" s="4" t="s">
        <v>29</v>
      </c>
      <c r="M399" s="4">
        <v>0.32</v>
      </c>
      <c r="N399" s="4">
        <v>0.55000000000000004</v>
      </c>
      <c r="O399" s="4">
        <v>25494.87</v>
      </c>
      <c r="P399" s="4">
        <v>0</v>
      </c>
      <c r="Q399" s="6">
        <f t="shared" si="76"/>
        <v>504.9606751440711</v>
      </c>
      <c r="R399" s="6">
        <f t="shared" si="69"/>
        <v>7493.6405086442646</v>
      </c>
      <c r="S399" s="4">
        <f t="shared" si="70"/>
        <v>41461.818181818177</v>
      </c>
      <c r="T399" s="4">
        <f t="shared" si="71"/>
        <v>10088.833333333334</v>
      </c>
      <c r="U399" s="4">
        <f t="shared" si="72"/>
        <v>3228.4266666666667</v>
      </c>
      <c r="V399" s="4">
        <f t="shared" ca="1" si="73"/>
        <v>37</v>
      </c>
      <c r="W399" s="20">
        <f t="shared" ca="1" si="68"/>
        <v>18683.544980330629</v>
      </c>
      <c r="X399" s="4">
        <f t="shared" si="74"/>
        <v>2690.869999999999</v>
      </c>
      <c r="Y399" s="13">
        <f t="shared" si="75"/>
        <v>0.11799991229608836</v>
      </c>
    </row>
    <row r="400" spans="1:25" x14ac:dyDescent="0.3">
      <c r="A400" s="12" t="s">
        <v>842</v>
      </c>
      <c r="B400" s="7">
        <v>44872</v>
      </c>
      <c r="C400" s="4" t="s">
        <v>843</v>
      </c>
      <c r="D400" s="4" t="s">
        <v>76</v>
      </c>
      <c r="E400" s="4">
        <v>21581</v>
      </c>
      <c r="F400" s="4">
        <v>22.3</v>
      </c>
      <c r="G400" s="4">
        <v>60</v>
      </c>
      <c r="H400" s="4" t="s">
        <v>26</v>
      </c>
      <c r="I400" s="4" t="s">
        <v>57</v>
      </c>
      <c r="J400" s="4" t="s">
        <v>37</v>
      </c>
      <c r="K400" s="4">
        <v>96798</v>
      </c>
      <c r="L400" s="4" t="s">
        <v>22</v>
      </c>
      <c r="M400" s="4">
        <v>0.15</v>
      </c>
      <c r="N400" s="4">
        <v>0.93</v>
      </c>
      <c r="O400" s="4">
        <v>4810.13</v>
      </c>
      <c r="P400" s="4">
        <v>0</v>
      </c>
      <c r="Q400" s="6">
        <f t="shared" si="76"/>
        <v>599.73064304185539</v>
      </c>
      <c r="R400" s="6">
        <f t="shared" si="69"/>
        <v>14402.838582511322</v>
      </c>
      <c r="S400" s="4">
        <f t="shared" si="70"/>
        <v>23205.37634408602</v>
      </c>
      <c r="T400" s="4">
        <f t="shared" si="71"/>
        <v>8066.5</v>
      </c>
      <c r="U400" s="4">
        <f t="shared" si="72"/>
        <v>1209.9749999999999</v>
      </c>
      <c r="V400" s="4">
        <f t="shared" ca="1" si="73"/>
        <v>40</v>
      </c>
      <c r="W400" s="20">
        <f t="shared" ca="1" si="68"/>
        <v>23989.225721674215</v>
      </c>
      <c r="X400" s="4">
        <f t="shared" si="74"/>
        <v>-16770.87</v>
      </c>
      <c r="Y400" s="13">
        <f t="shared" si="75"/>
        <v>-0.77711273805662384</v>
      </c>
    </row>
    <row r="401" spans="1:25" x14ac:dyDescent="0.3">
      <c r="A401" s="12" t="s">
        <v>844</v>
      </c>
      <c r="B401" s="7">
        <v>44653</v>
      </c>
      <c r="C401" s="4" t="s">
        <v>845</v>
      </c>
      <c r="D401" s="4" t="s">
        <v>72</v>
      </c>
      <c r="E401" s="4">
        <v>31087</v>
      </c>
      <c r="F401" s="4">
        <v>9.3000000000000007</v>
      </c>
      <c r="G401" s="4">
        <v>36</v>
      </c>
      <c r="H401" s="4" t="s">
        <v>26</v>
      </c>
      <c r="I401" s="4" t="s">
        <v>73</v>
      </c>
      <c r="J401" s="4" t="s">
        <v>32</v>
      </c>
      <c r="K401" s="4">
        <v>84199</v>
      </c>
      <c r="L401" s="4" t="s">
        <v>29</v>
      </c>
      <c r="M401" s="4">
        <v>0.46</v>
      </c>
      <c r="N401" s="4">
        <v>0.89</v>
      </c>
      <c r="O401" s="4">
        <v>7602.33</v>
      </c>
      <c r="P401" s="4">
        <v>0</v>
      </c>
      <c r="Q401" s="6">
        <f t="shared" si="76"/>
        <v>992.90449180506698</v>
      </c>
      <c r="R401" s="6">
        <f t="shared" si="69"/>
        <v>4657.5617049824141</v>
      </c>
      <c r="S401" s="4">
        <f t="shared" si="70"/>
        <v>34929.213483146064</v>
      </c>
      <c r="T401" s="4">
        <f t="shared" si="71"/>
        <v>7016.583333333333</v>
      </c>
      <c r="U401" s="4">
        <f t="shared" si="72"/>
        <v>3227.6283333333336</v>
      </c>
      <c r="V401" s="4">
        <f t="shared" ca="1" si="73"/>
        <v>47</v>
      </c>
      <c r="W401" s="20">
        <f t="shared" ca="1" si="68"/>
        <v>46666.511114838147</v>
      </c>
      <c r="X401" s="4">
        <f t="shared" si="74"/>
        <v>-23484.67</v>
      </c>
      <c r="Y401" s="13">
        <f t="shared" si="75"/>
        <v>-0.75544986650368318</v>
      </c>
    </row>
    <row r="402" spans="1:25" x14ac:dyDescent="0.3">
      <c r="A402" s="12" t="s">
        <v>846</v>
      </c>
      <c r="B402" s="7">
        <v>45116</v>
      </c>
      <c r="C402" s="4" t="s">
        <v>847</v>
      </c>
      <c r="D402" s="4" t="s">
        <v>72</v>
      </c>
      <c r="E402" s="4">
        <v>33981</v>
      </c>
      <c r="F402" s="4">
        <v>12.2</v>
      </c>
      <c r="G402" s="4">
        <v>36</v>
      </c>
      <c r="H402" s="4" t="s">
        <v>19</v>
      </c>
      <c r="I402" s="4" t="s">
        <v>57</v>
      </c>
      <c r="J402" s="4" t="s">
        <v>37</v>
      </c>
      <c r="K402" s="4">
        <v>89546</v>
      </c>
      <c r="L402" s="4" t="s">
        <v>33</v>
      </c>
      <c r="M402" s="4">
        <v>0.13</v>
      </c>
      <c r="N402" s="4">
        <v>0.76</v>
      </c>
      <c r="O402" s="4">
        <v>38126.68</v>
      </c>
      <c r="P402" s="4">
        <v>0</v>
      </c>
      <c r="Q402" s="6">
        <f t="shared" si="76"/>
        <v>1131.9042123657084</v>
      </c>
      <c r="R402" s="6">
        <f t="shared" si="69"/>
        <v>6767.5516451655058</v>
      </c>
      <c r="S402" s="4">
        <f t="shared" si="70"/>
        <v>44711.84210526316</v>
      </c>
      <c r="T402" s="4">
        <f t="shared" si="71"/>
        <v>7462.166666666667</v>
      </c>
      <c r="U402" s="4">
        <f t="shared" si="72"/>
        <v>970.08166666666671</v>
      </c>
      <c r="V402" s="4">
        <f t="shared" ca="1" si="73"/>
        <v>32</v>
      </c>
      <c r="W402" s="20">
        <f t="shared" ca="1" si="68"/>
        <v>36220.934795702669</v>
      </c>
      <c r="X402" s="4">
        <f t="shared" si="74"/>
        <v>4145.68</v>
      </c>
      <c r="Y402" s="13">
        <f t="shared" si="75"/>
        <v>0.12199994114358025</v>
      </c>
    </row>
    <row r="403" spans="1:25" x14ac:dyDescent="0.3">
      <c r="A403" s="12" t="s">
        <v>848</v>
      </c>
      <c r="B403" s="7">
        <v>44388</v>
      </c>
      <c r="C403" s="4" t="s">
        <v>849</v>
      </c>
      <c r="D403" s="4" t="s">
        <v>72</v>
      </c>
      <c r="E403" s="4">
        <v>4762</v>
      </c>
      <c r="F403" s="4">
        <v>6.4</v>
      </c>
      <c r="G403" s="4">
        <v>60</v>
      </c>
      <c r="H403" s="4" t="s">
        <v>19</v>
      </c>
      <c r="I403" s="4" t="s">
        <v>57</v>
      </c>
      <c r="J403" s="4" t="s">
        <v>37</v>
      </c>
      <c r="K403" s="4">
        <v>135686</v>
      </c>
      <c r="L403" s="4" t="s">
        <v>33</v>
      </c>
      <c r="M403" s="4">
        <v>0.46</v>
      </c>
      <c r="N403" s="4">
        <v>0.8</v>
      </c>
      <c r="O403" s="4">
        <v>5066.7700000000004</v>
      </c>
      <c r="P403" s="4">
        <v>0</v>
      </c>
      <c r="Q403" s="6">
        <f t="shared" si="76"/>
        <v>92.951108837483545</v>
      </c>
      <c r="R403" s="6">
        <f t="shared" si="69"/>
        <v>815.06653024901243</v>
      </c>
      <c r="S403" s="4">
        <f t="shared" si="70"/>
        <v>5952.5</v>
      </c>
      <c r="T403" s="4">
        <f t="shared" si="71"/>
        <v>11307.166666666666</v>
      </c>
      <c r="U403" s="4">
        <f t="shared" si="72"/>
        <v>5201.2966666666662</v>
      </c>
      <c r="V403" s="4">
        <f t="shared" ca="1" si="73"/>
        <v>56</v>
      </c>
      <c r="W403" s="20">
        <f t="shared" ca="1" si="68"/>
        <v>5205.2620948990789</v>
      </c>
      <c r="X403" s="4">
        <f t="shared" si="74"/>
        <v>304.77000000000044</v>
      </c>
      <c r="Y403" s="13">
        <f t="shared" si="75"/>
        <v>6.4000419991600263E-2</v>
      </c>
    </row>
    <row r="404" spans="1:25" x14ac:dyDescent="0.3">
      <c r="A404" s="12" t="s">
        <v>850</v>
      </c>
      <c r="B404" s="7">
        <v>44935</v>
      </c>
      <c r="C404" s="4" t="s">
        <v>851</v>
      </c>
      <c r="D404" s="4" t="s">
        <v>25</v>
      </c>
      <c r="E404" s="4">
        <v>10768</v>
      </c>
      <c r="F404" s="4">
        <v>20.3</v>
      </c>
      <c r="G404" s="4">
        <v>60</v>
      </c>
      <c r="H404" s="4" t="s">
        <v>81</v>
      </c>
      <c r="I404" s="4" t="s">
        <v>84</v>
      </c>
      <c r="J404" s="4" t="s">
        <v>21</v>
      </c>
      <c r="K404" s="4">
        <v>118151</v>
      </c>
      <c r="L404" s="4" t="s">
        <v>22</v>
      </c>
      <c r="M404" s="4">
        <v>0.5</v>
      </c>
      <c r="N404" s="4">
        <v>0.51</v>
      </c>
      <c r="O404" s="4">
        <v>4240.21</v>
      </c>
      <c r="P404" s="4">
        <v>804.81</v>
      </c>
      <c r="Q404" s="6">
        <f t="shared" si="76"/>
        <v>287.08655789656348</v>
      </c>
      <c r="R404" s="6">
        <f t="shared" si="69"/>
        <v>6457.19347379381</v>
      </c>
      <c r="S404" s="4">
        <f t="shared" si="70"/>
        <v>21113.725490196077</v>
      </c>
      <c r="T404" s="4">
        <f t="shared" si="71"/>
        <v>9845.9166666666661</v>
      </c>
      <c r="U404" s="4">
        <f t="shared" si="72"/>
        <v>4922.958333333333</v>
      </c>
      <c r="V404" s="4">
        <f t="shared" ca="1" si="73"/>
        <v>38</v>
      </c>
      <c r="W404" s="20">
        <v>0</v>
      </c>
      <c r="X404" s="4">
        <f t="shared" si="74"/>
        <v>-5722.98</v>
      </c>
      <c r="Y404" s="13">
        <f t="shared" si="75"/>
        <v>-0.53148031203566115</v>
      </c>
    </row>
    <row r="405" spans="1:25" x14ac:dyDescent="0.3">
      <c r="A405" s="12" t="s">
        <v>852</v>
      </c>
      <c r="B405" s="7">
        <v>45174</v>
      </c>
      <c r="C405" s="4" t="s">
        <v>853</v>
      </c>
      <c r="D405" s="4" t="s">
        <v>76</v>
      </c>
      <c r="E405" s="4">
        <v>39559</v>
      </c>
      <c r="F405" s="4">
        <v>13.2</v>
      </c>
      <c r="G405" s="4">
        <v>36</v>
      </c>
      <c r="H405" s="4" t="s">
        <v>19</v>
      </c>
      <c r="I405" s="4" t="s">
        <v>57</v>
      </c>
      <c r="J405" s="4" t="s">
        <v>28</v>
      </c>
      <c r="K405" s="4">
        <v>33327</v>
      </c>
      <c r="L405" s="4" t="s">
        <v>33</v>
      </c>
      <c r="M405" s="4">
        <v>0.38</v>
      </c>
      <c r="N405" s="4">
        <v>0.65</v>
      </c>
      <c r="O405" s="4">
        <v>44780.79</v>
      </c>
      <c r="P405" s="4">
        <v>0</v>
      </c>
      <c r="Q405" s="6">
        <f t="shared" si="76"/>
        <v>1336.7130556111269</v>
      </c>
      <c r="R405" s="6">
        <f t="shared" si="69"/>
        <v>8562.6700020005665</v>
      </c>
      <c r="S405" s="4">
        <f t="shared" si="70"/>
        <v>60860</v>
      </c>
      <c r="T405" s="4">
        <f t="shared" si="71"/>
        <v>2777.25</v>
      </c>
      <c r="U405" s="4">
        <f t="shared" si="72"/>
        <v>1055.355</v>
      </c>
      <c r="V405" s="4">
        <f t="shared" ca="1" si="73"/>
        <v>30</v>
      </c>
      <c r="W405" s="20">
        <f ca="1">V405*Q405</f>
        <v>40101.39166833381</v>
      </c>
      <c r="X405" s="4">
        <f t="shared" si="74"/>
        <v>5221.7900000000009</v>
      </c>
      <c r="Y405" s="13">
        <f t="shared" si="75"/>
        <v>0.1320000505573953</v>
      </c>
    </row>
    <row r="406" spans="1:25" x14ac:dyDescent="0.3">
      <c r="A406" s="12" t="s">
        <v>854</v>
      </c>
      <c r="B406" s="7">
        <v>45205</v>
      </c>
      <c r="C406" s="4" t="s">
        <v>855</v>
      </c>
      <c r="D406" s="4" t="s">
        <v>25</v>
      </c>
      <c r="E406" s="4">
        <v>9783</v>
      </c>
      <c r="F406" s="4">
        <v>20.2</v>
      </c>
      <c r="G406" s="4">
        <v>36</v>
      </c>
      <c r="H406" s="4" t="s">
        <v>81</v>
      </c>
      <c r="I406" s="4" t="s">
        <v>27</v>
      </c>
      <c r="J406" s="4" t="s">
        <v>21</v>
      </c>
      <c r="K406" s="4">
        <v>59768</v>
      </c>
      <c r="L406" s="4" t="s">
        <v>29</v>
      </c>
      <c r="M406" s="4">
        <v>0.41</v>
      </c>
      <c r="N406" s="4">
        <v>0.86</v>
      </c>
      <c r="O406" s="4">
        <v>1238.43</v>
      </c>
      <c r="P406" s="4">
        <v>3866.9</v>
      </c>
      <c r="Q406" s="6">
        <f t="shared" si="76"/>
        <v>364.56904290523642</v>
      </c>
      <c r="R406" s="6">
        <f t="shared" si="69"/>
        <v>3341.4855445885114</v>
      </c>
      <c r="S406" s="4">
        <f t="shared" si="70"/>
        <v>11375.581395348838</v>
      </c>
      <c r="T406" s="4">
        <f t="shared" si="71"/>
        <v>4980.666666666667</v>
      </c>
      <c r="U406" s="4">
        <f t="shared" si="72"/>
        <v>2042.0733333333333</v>
      </c>
      <c r="V406" s="4">
        <f t="shared" ca="1" si="73"/>
        <v>29</v>
      </c>
      <c r="W406" s="20">
        <v>0</v>
      </c>
      <c r="X406" s="4">
        <f t="shared" si="74"/>
        <v>-4677.67</v>
      </c>
      <c r="Y406" s="13">
        <f t="shared" si="75"/>
        <v>-0.47814269651436164</v>
      </c>
    </row>
    <row r="407" spans="1:25" x14ac:dyDescent="0.3">
      <c r="A407" s="12" t="s">
        <v>856</v>
      </c>
      <c r="B407" s="7">
        <v>44292</v>
      </c>
      <c r="C407" s="4" t="s">
        <v>857</v>
      </c>
      <c r="D407" s="4" t="s">
        <v>18</v>
      </c>
      <c r="E407" s="4">
        <v>30781</v>
      </c>
      <c r="F407" s="4">
        <v>23.1</v>
      </c>
      <c r="G407" s="4">
        <v>36</v>
      </c>
      <c r="H407" s="4" t="s">
        <v>19</v>
      </c>
      <c r="I407" s="4" t="s">
        <v>20</v>
      </c>
      <c r="J407" s="4" t="s">
        <v>47</v>
      </c>
      <c r="K407" s="4">
        <v>94418</v>
      </c>
      <c r="L407" s="4" t="s">
        <v>29</v>
      </c>
      <c r="M407" s="4">
        <v>0.23</v>
      </c>
      <c r="N407" s="4">
        <v>0.53</v>
      </c>
      <c r="O407" s="4">
        <v>37891.410000000003</v>
      </c>
      <c r="P407" s="4">
        <v>0</v>
      </c>
      <c r="Q407" s="6">
        <f t="shared" si="76"/>
        <v>1193.12884876063</v>
      </c>
      <c r="R407" s="6">
        <f t="shared" si="69"/>
        <v>12171.638555382684</v>
      </c>
      <c r="S407" s="4">
        <f t="shared" si="70"/>
        <v>58077.358490566032</v>
      </c>
      <c r="T407" s="4">
        <f t="shared" si="71"/>
        <v>7868.166666666667</v>
      </c>
      <c r="U407" s="4">
        <f t="shared" si="72"/>
        <v>1809.6783333333335</v>
      </c>
      <c r="V407" s="4">
        <f t="shared" ca="1" si="73"/>
        <v>59</v>
      </c>
      <c r="W407" s="20">
        <f ca="1">V407*Q407</f>
        <v>70394.60207687717</v>
      </c>
      <c r="X407" s="4">
        <f t="shared" si="74"/>
        <v>7110.4100000000035</v>
      </c>
      <c r="Y407" s="13">
        <f t="shared" si="75"/>
        <v>0.2309999675124266</v>
      </c>
    </row>
    <row r="408" spans="1:25" x14ac:dyDescent="0.3">
      <c r="A408" s="12" t="s">
        <v>858</v>
      </c>
      <c r="B408" s="7">
        <v>44859</v>
      </c>
      <c r="C408" s="4" t="s">
        <v>859</v>
      </c>
      <c r="D408" s="4" t="s">
        <v>46</v>
      </c>
      <c r="E408" s="4">
        <v>31811</v>
      </c>
      <c r="F408" s="4">
        <v>9.6999999999999993</v>
      </c>
      <c r="G408" s="4">
        <v>60</v>
      </c>
      <c r="H408" s="4" t="s">
        <v>26</v>
      </c>
      <c r="I408" s="4" t="s">
        <v>20</v>
      </c>
      <c r="J408" s="4" t="s">
        <v>37</v>
      </c>
      <c r="K408" s="4">
        <v>124386</v>
      </c>
      <c r="L408" s="4" t="s">
        <v>29</v>
      </c>
      <c r="M408" s="4">
        <v>0.48</v>
      </c>
      <c r="N408" s="4">
        <v>0.63</v>
      </c>
      <c r="O408" s="4">
        <v>14792.24</v>
      </c>
      <c r="P408" s="4">
        <v>0</v>
      </c>
      <c r="Q408" s="6">
        <f t="shared" si="76"/>
        <v>671.20362780661594</v>
      </c>
      <c r="R408" s="6">
        <f t="shared" si="69"/>
        <v>8461.2176683969592</v>
      </c>
      <c r="S408" s="4">
        <f t="shared" si="70"/>
        <v>50493.650793650791</v>
      </c>
      <c r="T408" s="4">
        <f t="shared" si="71"/>
        <v>10365.5</v>
      </c>
      <c r="U408" s="4">
        <f t="shared" si="72"/>
        <v>4975.4399999999996</v>
      </c>
      <c r="V408" s="4">
        <f t="shared" ca="1" si="73"/>
        <v>40</v>
      </c>
      <c r="W408" s="20">
        <f ca="1">V408*Q408</f>
        <v>26848.145112264639</v>
      </c>
      <c r="X408" s="4">
        <f t="shared" si="74"/>
        <v>-17018.760000000002</v>
      </c>
      <c r="Y408" s="13">
        <f t="shared" si="75"/>
        <v>-0.53499607054163656</v>
      </c>
    </row>
    <row r="409" spans="1:25" x14ac:dyDescent="0.3">
      <c r="A409" s="12" t="s">
        <v>860</v>
      </c>
      <c r="B409" s="7">
        <v>44233</v>
      </c>
      <c r="C409" s="4" t="s">
        <v>861</v>
      </c>
      <c r="D409" s="4" t="s">
        <v>40</v>
      </c>
      <c r="E409" s="4">
        <v>36488</v>
      </c>
      <c r="F409" s="4">
        <v>21.1</v>
      </c>
      <c r="G409" s="4">
        <v>36</v>
      </c>
      <c r="H409" s="4" t="s">
        <v>19</v>
      </c>
      <c r="I409" s="4" t="s">
        <v>57</v>
      </c>
      <c r="J409" s="4" t="s">
        <v>28</v>
      </c>
      <c r="K409" s="4">
        <v>146947</v>
      </c>
      <c r="L409" s="4" t="s">
        <v>29</v>
      </c>
      <c r="M409" s="4">
        <v>0.31</v>
      </c>
      <c r="N409" s="4">
        <v>0.76</v>
      </c>
      <c r="O409" s="4">
        <v>44186.97</v>
      </c>
      <c r="P409" s="4">
        <v>0</v>
      </c>
      <c r="Q409" s="6">
        <f t="shared" si="76"/>
        <v>1376.5620015961158</v>
      </c>
      <c r="R409" s="6">
        <f t="shared" si="69"/>
        <v>13068.232057460169</v>
      </c>
      <c r="S409" s="4">
        <f t="shared" si="70"/>
        <v>48010.526315789473</v>
      </c>
      <c r="T409" s="4">
        <f t="shared" si="71"/>
        <v>12245.583333333334</v>
      </c>
      <c r="U409" s="4">
        <f t="shared" si="72"/>
        <v>3796.1308333333336</v>
      </c>
      <c r="V409" s="4">
        <f t="shared" ca="1" si="73"/>
        <v>61</v>
      </c>
      <c r="W409" s="20">
        <f ca="1">V409*Q409</f>
        <v>83970.282097363059</v>
      </c>
      <c r="X409" s="4">
        <f t="shared" si="74"/>
        <v>7698.9700000000012</v>
      </c>
      <c r="Y409" s="13">
        <f t="shared" si="75"/>
        <v>0.21100005481254114</v>
      </c>
    </row>
    <row r="410" spans="1:25" x14ac:dyDescent="0.3">
      <c r="A410" s="12" t="s">
        <v>862</v>
      </c>
      <c r="B410" s="7">
        <v>44475</v>
      </c>
      <c r="C410" s="4" t="s">
        <v>863</v>
      </c>
      <c r="D410" s="4" t="s">
        <v>53</v>
      </c>
      <c r="E410" s="4">
        <v>9905</v>
      </c>
      <c r="F410" s="4">
        <v>6.2</v>
      </c>
      <c r="G410" s="4">
        <v>36</v>
      </c>
      <c r="H410" s="4" t="s">
        <v>81</v>
      </c>
      <c r="I410" s="4" t="s">
        <v>73</v>
      </c>
      <c r="J410" s="4" t="s">
        <v>37</v>
      </c>
      <c r="K410" s="4">
        <v>72788</v>
      </c>
      <c r="L410" s="4" t="s">
        <v>22</v>
      </c>
      <c r="M410" s="4">
        <v>0.39</v>
      </c>
      <c r="N410" s="4">
        <v>0.62</v>
      </c>
      <c r="O410" s="4">
        <v>2417.52</v>
      </c>
      <c r="P410" s="4">
        <v>3932.05</v>
      </c>
      <c r="Q410" s="6">
        <f t="shared" si="76"/>
        <v>302.22770034109107</v>
      </c>
      <c r="R410" s="6">
        <f t="shared" si="69"/>
        <v>975.19721227927766</v>
      </c>
      <c r="S410" s="4">
        <f t="shared" si="70"/>
        <v>15975.806451612903</v>
      </c>
      <c r="T410" s="4">
        <f t="shared" si="71"/>
        <v>6065.666666666667</v>
      </c>
      <c r="U410" s="4">
        <f t="shared" si="72"/>
        <v>2365.61</v>
      </c>
      <c r="V410" s="4">
        <f t="shared" ca="1" si="73"/>
        <v>53</v>
      </c>
      <c r="W410" s="20">
        <v>0</v>
      </c>
      <c r="X410" s="4">
        <f t="shared" si="74"/>
        <v>-3555.4300000000003</v>
      </c>
      <c r="Y410" s="13">
        <f t="shared" si="75"/>
        <v>-0.35895305401312472</v>
      </c>
    </row>
    <row r="411" spans="1:25" x14ac:dyDescent="0.3">
      <c r="A411" s="12" t="s">
        <v>864</v>
      </c>
      <c r="B411" s="7">
        <v>44413</v>
      </c>
      <c r="C411" s="4" t="s">
        <v>865</v>
      </c>
      <c r="D411" s="4" t="s">
        <v>76</v>
      </c>
      <c r="E411" s="4">
        <v>10127</v>
      </c>
      <c r="F411" s="4">
        <v>23</v>
      </c>
      <c r="G411" s="4">
        <v>36</v>
      </c>
      <c r="H411" s="4" t="s">
        <v>26</v>
      </c>
      <c r="I411" s="4" t="s">
        <v>73</v>
      </c>
      <c r="J411" s="4" t="s">
        <v>37</v>
      </c>
      <c r="K411" s="4">
        <v>145945</v>
      </c>
      <c r="L411" s="4" t="s">
        <v>29</v>
      </c>
      <c r="M411" s="4">
        <v>0.47</v>
      </c>
      <c r="N411" s="4">
        <v>0.92</v>
      </c>
      <c r="O411" s="4">
        <v>3348.84</v>
      </c>
      <c r="P411" s="4">
        <v>0</v>
      </c>
      <c r="Q411" s="6">
        <f t="shared" si="76"/>
        <v>392.01335019756237</v>
      </c>
      <c r="R411" s="6">
        <f t="shared" si="69"/>
        <v>3985.4806071122457</v>
      </c>
      <c r="S411" s="4">
        <f t="shared" si="70"/>
        <v>11007.608695652174</v>
      </c>
      <c r="T411" s="4">
        <f t="shared" si="71"/>
        <v>12162.083333333334</v>
      </c>
      <c r="U411" s="4">
        <f t="shared" si="72"/>
        <v>5716.1791666666668</v>
      </c>
      <c r="V411" s="4">
        <f t="shared" ca="1" si="73"/>
        <v>55</v>
      </c>
      <c r="W411" s="20">
        <f t="shared" ref="W411:W421" ca="1" si="77">V411*Q411</f>
        <v>21560.734260865931</v>
      </c>
      <c r="X411" s="4">
        <f t="shared" si="74"/>
        <v>-6778.16</v>
      </c>
      <c r="Y411" s="13">
        <f t="shared" si="75"/>
        <v>-0.66931569072775743</v>
      </c>
    </row>
    <row r="412" spans="1:25" x14ac:dyDescent="0.3">
      <c r="A412" s="12" t="s">
        <v>866</v>
      </c>
      <c r="B412" s="7">
        <v>45063</v>
      </c>
      <c r="C412" s="4" t="s">
        <v>867</v>
      </c>
      <c r="D412" s="4" t="s">
        <v>53</v>
      </c>
      <c r="E412" s="4">
        <v>23431</v>
      </c>
      <c r="F412" s="4">
        <v>18</v>
      </c>
      <c r="G412" s="4">
        <v>60</v>
      </c>
      <c r="H412" s="4" t="s">
        <v>19</v>
      </c>
      <c r="I412" s="4" t="s">
        <v>27</v>
      </c>
      <c r="J412" s="4" t="s">
        <v>21</v>
      </c>
      <c r="K412" s="4">
        <v>112384</v>
      </c>
      <c r="L412" s="4" t="s">
        <v>22</v>
      </c>
      <c r="M412" s="4">
        <v>0.49</v>
      </c>
      <c r="N412" s="4">
        <v>0.56000000000000005</v>
      </c>
      <c r="O412" s="4">
        <v>27648.58</v>
      </c>
      <c r="P412" s="4">
        <v>0</v>
      </c>
      <c r="Q412" s="6">
        <f t="shared" si="76"/>
        <v>594.99339804459294</v>
      </c>
      <c r="R412" s="6">
        <f t="shared" si="69"/>
        <v>12268.603882675576</v>
      </c>
      <c r="S412" s="4">
        <f t="shared" si="70"/>
        <v>41841.071428571428</v>
      </c>
      <c r="T412" s="4">
        <f t="shared" si="71"/>
        <v>9365.3333333333339</v>
      </c>
      <c r="U412" s="4">
        <f t="shared" si="72"/>
        <v>4589.0133333333333</v>
      </c>
      <c r="V412" s="4">
        <f t="shared" ca="1" si="73"/>
        <v>34</v>
      </c>
      <c r="W412" s="20">
        <f t="shared" ca="1" si="77"/>
        <v>20229.77553351616</v>
      </c>
      <c r="X412" s="4">
        <f t="shared" si="74"/>
        <v>4217.5800000000017</v>
      </c>
      <c r="Y412" s="13">
        <f t="shared" si="75"/>
        <v>0.18000000000000008</v>
      </c>
    </row>
    <row r="413" spans="1:25" x14ac:dyDescent="0.3">
      <c r="A413" s="12" t="s">
        <v>868</v>
      </c>
      <c r="B413" s="7">
        <v>45069</v>
      </c>
      <c r="C413" s="4" t="s">
        <v>869</v>
      </c>
      <c r="D413" s="4" t="s">
        <v>56</v>
      </c>
      <c r="E413" s="4">
        <v>7368</v>
      </c>
      <c r="F413" s="4">
        <v>22.5</v>
      </c>
      <c r="G413" s="4">
        <v>36</v>
      </c>
      <c r="H413" s="4" t="s">
        <v>19</v>
      </c>
      <c r="I413" s="4" t="s">
        <v>20</v>
      </c>
      <c r="J413" s="4" t="s">
        <v>28</v>
      </c>
      <c r="K413" s="4">
        <v>76830</v>
      </c>
      <c r="L413" s="4" t="s">
        <v>29</v>
      </c>
      <c r="M413" s="4">
        <v>0.43</v>
      </c>
      <c r="N413" s="4">
        <v>0.86</v>
      </c>
      <c r="O413" s="4">
        <v>9025.7999999999993</v>
      </c>
      <c r="P413" s="4">
        <v>0</v>
      </c>
      <c r="Q413" s="6">
        <f t="shared" si="76"/>
        <v>283.29667696326027</v>
      </c>
      <c r="R413" s="6">
        <f t="shared" si="69"/>
        <v>2830.6803706773699</v>
      </c>
      <c r="S413" s="4">
        <f t="shared" si="70"/>
        <v>8567.4418604651164</v>
      </c>
      <c r="T413" s="4">
        <f t="shared" si="71"/>
        <v>6402.5</v>
      </c>
      <c r="U413" s="4">
        <f t="shared" si="72"/>
        <v>2753.0749999999998</v>
      </c>
      <c r="V413" s="4">
        <f t="shared" ca="1" si="73"/>
        <v>33</v>
      </c>
      <c r="W413" s="20">
        <f t="shared" ca="1" si="77"/>
        <v>9348.7903397875889</v>
      </c>
      <c r="X413" s="4">
        <f t="shared" si="74"/>
        <v>1657.7999999999993</v>
      </c>
      <c r="Y413" s="13">
        <f t="shared" si="75"/>
        <v>0.22499999999999989</v>
      </c>
    </row>
    <row r="414" spans="1:25" x14ac:dyDescent="0.3">
      <c r="A414" s="12" t="s">
        <v>870</v>
      </c>
      <c r="B414" s="7">
        <v>44258</v>
      </c>
      <c r="C414" s="4" t="s">
        <v>871</v>
      </c>
      <c r="D414" s="4" t="s">
        <v>76</v>
      </c>
      <c r="E414" s="4">
        <v>28424</v>
      </c>
      <c r="F414" s="4">
        <v>5</v>
      </c>
      <c r="G414" s="4">
        <v>36</v>
      </c>
      <c r="H414" s="4" t="s">
        <v>26</v>
      </c>
      <c r="I414" s="4" t="s">
        <v>20</v>
      </c>
      <c r="J414" s="4" t="s">
        <v>28</v>
      </c>
      <c r="K414" s="4">
        <v>82446</v>
      </c>
      <c r="L414" s="4" t="s">
        <v>22</v>
      </c>
      <c r="M414" s="4">
        <v>0.22</v>
      </c>
      <c r="N414" s="4">
        <v>0.73</v>
      </c>
      <c r="O414" s="4">
        <v>12039.9</v>
      </c>
      <c r="P414" s="4">
        <v>0</v>
      </c>
      <c r="Q414" s="6">
        <f t="shared" si="76"/>
        <v>851.89277930301148</v>
      </c>
      <c r="R414" s="6">
        <f t="shared" si="69"/>
        <v>2244.1400549084137</v>
      </c>
      <c r="S414" s="4">
        <f t="shared" si="70"/>
        <v>38936.986301369863</v>
      </c>
      <c r="T414" s="4">
        <f t="shared" si="71"/>
        <v>6870.5</v>
      </c>
      <c r="U414" s="4">
        <f t="shared" si="72"/>
        <v>1511.51</v>
      </c>
      <c r="V414" s="4">
        <f t="shared" ca="1" si="73"/>
        <v>60</v>
      </c>
      <c r="W414" s="20">
        <f t="shared" ca="1" si="77"/>
        <v>51113.566758180692</v>
      </c>
      <c r="X414" s="4">
        <f t="shared" si="74"/>
        <v>-16384.099999999999</v>
      </c>
      <c r="Y414" s="13">
        <f t="shared" si="75"/>
        <v>-0.57641781593019981</v>
      </c>
    </row>
    <row r="415" spans="1:25" x14ac:dyDescent="0.3">
      <c r="A415" s="12" t="s">
        <v>872</v>
      </c>
      <c r="B415" s="7">
        <v>44792</v>
      </c>
      <c r="C415" s="4" t="s">
        <v>873</v>
      </c>
      <c r="D415" s="4" t="s">
        <v>18</v>
      </c>
      <c r="E415" s="4">
        <v>19333</v>
      </c>
      <c r="F415" s="4">
        <v>8.4</v>
      </c>
      <c r="G415" s="4">
        <v>36</v>
      </c>
      <c r="H415" s="4" t="s">
        <v>26</v>
      </c>
      <c r="I415" s="4" t="s">
        <v>27</v>
      </c>
      <c r="J415" s="4" t="s">
        <v>37</v>
      </c>
      <c r="K415" s="4">
        <v>135078</v>
      </c>
      <c r="L415" s="4" t="s">
        <v>29</v>
      </c>
      <c r="M415" s="4">
        <v>0.49</v>
      </c>
      <c r="N415" s="4">
        <v>0.84</v>
      </c>
      <c r="O415" s="4">
        <v>4102.62</v>
      </c>
      <c r="P415" s="4">
        <v>0</v>
      </c>
      <c r="Q415" s="6">
        <f t="shared" si="76"/>
        <v>609.39976799392537</v>
      </c>
      <c r="R415" s="6">
        <f t="shared" si="69"/>
        <v>2605.3916477813145</v>
      </c>
      <c r="S415" s="4">
        <f t="shared" si="70"/>
        <v>23015.476190476191</v>
      </c>
      <c r="T415" s="4">
        <f t="shared" si="71"/>
        <v>11256.5</v>
      </c>
      <c r="U415" s="4">
        <f t="shared" si="72"/>
        <v>5515.6849999999995</v>
      </c>
      <c r="V415" s="4">
        <f t="shared" ca="1" si="73"/>
        <v>43</v>
      </c>
      <c r="W415" s="20">
        <f t="shared" ca="1" si="77"/>
        <v>26204.190023738789</v>
      </c>
      <c r="X415" s="4">
        <f t="shared" si="74"/>
        <v>-15230.380000000001</v>
      </c>
      <c r="Y415" s="13">
        <f t="shared" si="75"/>
        <v>-0.78779185848031863</v>
      </c>
    </row>
    <row r="416" spans="1:25" x14ac:dyDescent="0.3">
      <c r="A416" s="12" t="s">
        <v>874</v>
      </c>
      <c r="B416" s="7">
        <v>44925</v>
      </c>
      <c r="C416" s="4" t="s">
        <v>875</v>
      </c>
      <c r="D416" s="4" t="s">
        <v>76</v>
      </c>
      <c r="E416" s="4">
        <v>24116</v>
      </c>
      <c r="F416" s="4">
        <v>12.8</v>
      </c>
      <c r="G416" s="4">
        <v>36</v>
      </c>
      <c r="H416" s="4" t="s">
        <v>19</v>
      </c>
      <c r="I416" s="4" t="s">
        <v>84</v>
      </c>
      <c r="J416" s="4" t="s">
        <v>28</v>
      </c>
      <c r="K416" s="4">
        <v>45160</v>
      </c>
      <c r="L416" s="4" t="s">
        <v>29</v>
      </c>
      <c r="M416" s="4">
        <v>0.35</v>
      </c>
      <c r="N416" s="4">
        <v>0.64</v>
      </c>
      <c r="O416" s="4">
        <v>27202.85</v>
      </c>
      <c r="P416" s="4">
        <v>0</v>
      </c>
      <c r="Q416" s="6">
        <f t="shared" si="76"/>
        <v>810.2421395901539</v>
      </c>
      <c r="R416" s="6">
        <f t="shared" si="69"/>
        <v>5052.7170252455398</v>
      </c>
      <c r="S416" s="4">
        <f t="shared" si="70"/>
        <v>37681.25</v>
      </c>
      <c r="T416" s="4">
        <f t="shared" si="71"/>
        <v>3763.3333333333335</v>
      </c>
      <c r="U416" s="4">
        <f t="shared" si="72"/>
        <v>1317.1666666666667</v>
      </c>
      <c r="V416" s="4">
        <f t="shared" ca="1" si="73"/>
        <v>38</v>
      </c>
      <c r="W416" s="20">
        <f t="shared" ca="1" si="77"/>
        <v>30789.201304425849</v>
      </c>
      <c r="X416" s="4">
        <f t="shared" si="74"/>
        <v>3086.8499999999985</v>
      </c>
      <c r="Y416" s="13">
        <f t="shared" si="75"/>
        <v>0.1280000829324929</v>
      </c>
    </row>
    <row r="417" spans="1:25" x14ac:dyDescent="0.3">
      <c r="A417" s="12" t="s">
        <v>876</v>
      </c>
      <c r="B417" s="7">
        <v>44593</v>
      </c>
      <c r="C417" s="4" t="s">
        <v>877</v>
      </c>
      <c r="D417" s="4" t="s">
        <v>25</v>
      </c>
      <c r="E417" s="4">
        <v>16525</v>
      </c>
      <c r="F417" s="4">
        <v>12.6</v>
      </c>
      <c r="G417" s="4">
        <v>36</v>
      </c>
      <c r="H417" s="4" t="s">
        <v>19</v>
      </c>
      <c r="I417" s="4" t="s">
        <v>20</v>
      </c>
      <c r="J417" s="4" t="s">
        <v>28</v>
      </c>
      <c r="K417" s="4">
        <v>86583</v>
      </c>
      <c r="L417" s="4" t="s">
        <v>22</v>
      </c>
      <c r="M417" s="4">
        <v>0.47</v>
      </c>
      <c r="N417" s="4">
        <v>0.73</v>
      </c>
      <c r="O417" s="4">
        <v>18607.150000000001</v>
      </c>
      <c r="P417" s="4">
        <v>0</v>
      </c>
      <c r="Q417" s="6">
        <f t="shared" si="76"/>
        <v>553.61410632090349</v>
      </c>
      <c r="R417" s="6">
        <f t="shared" si="69"/>
        <v>3405.1078275525251</v>
      </c>
      <c r="S417" s="4">
        <f t="shared" si="70"/>
        <v>22636.986301369863</v>
      </c>
      <c r="T417" s="4">
        <f t="shared" si="71"/>
        <v>7215.25</v>
      </c>
      <c r="U417" s="4">
        <f t="shared" si="72"/>
        <v>3391.1675</v>
      </c>
      <c r="V417" s="4">
        <f t="shared" ca="1" si="73"/>
        <v>49</v>
      </c>
      <c r="W417" s="20">
        <f t="shared" ca="1" si="77"/>
        <v>27127.091209724273</v>
      </c>
      <c r="X417" s="4">
        <f t="shared" si="74"/>
        <v>2082.1500000000015</v>
      </c>
      <c r="Y417" s="13">
        <f t="shared" si="75"/>
        <v>0.12600000000000008</v>
      </c>
    </row>
    <row r="418" spans="1:25" x14ac:dyDescent="0.3">
      <c r="A418" s="12" t="s">
        <v>878</v>
      </c>
      <c r="B418" s="7">
        <v>44895</v>
      </c>
      <c r="C418" s="4" t="s">
        <v>879</v>
      </c>
      <c r="D418" s="4" t="s">
        <v>46</v>
      </c>
      <c r="E418" s="4">
        <v>24398</v>
      </c>
      <c r="F418" s="4">
        <v>9.5</v>
      </c>
      <c r="G418" s="4">
        <v>60</v>
      </c>
      <c r="H418" s="4" t="s">
        <v>26</v>
      </c>
      <c r="I418" s="4" t="s">
        <v>73</v>
      </c>
      <c r="J418" s="4" t="s">
        <v>21</v>
      </c>
      <c r="K418" s="4">
        <v>63998</v>
      </c>
      <c r="L418" s="4" t="s">
        <v>33</v>
      </c>
      <c r="M418" s="4">
        <v>0.37</v>
      </c>
      <c r="N418" s="4">
        <v>0.89</v>
      </c>
      <c r="O418" s="4">
        <v>5945.55</v>
      </c>
      <c r="P418" s="4">
        <v>0</v>
      </c>
      <c r="Q418" s="6">
        <f t="shared" si="76"/>
        <v>512.40341223443897</v>
      </c>
      <c r="R418" s="6">
        <f t="shared" si="69"/>
        <v>6346.2047340663376</v>
      </c>
      <c r="S418" s="4">
        <f t="shared" si="70"/>
        <v>27413.483146067414</v>
      </c>
      <c r="T418" s="4">
        <f t="shared" si="71"/>
        <v>5333.166666666667</v>
      </c>
      <c r="U418" s="4">
        <f t="shared" si="72"/>
        <v>1973.2716666666668</v>
      </c>
      <c r="V418" s="4">
        <f t="shared" ca="1" si="73"/>
        <v>39</v>
      </c>
      <c r="W418" s="20">
        <f t="shared" ca="1" si="77"/>
        <v>19983.733077143119</v>
      </c>
      <c r="X418" s="4">
        <f t="shared" si="74"/>
        <v>-18452.45</v>
      </c>
      <c r="Y418" s="13">
        <f t="shared" si="75"/>
        <v>-0.75630994343798674</v>
      </c>
    </row>
    <row r="419" spans="1:25" x14ac:dyDescent="0.3">
      <c r="A419" s="12" t="s">
        <v>880</v>
      </c>
      <c r="B419" s="7">
        <v>45239</v>
      </c>
      <c r="C419" s="4" t="s">
        <v>881</v>
      </c>
      <c r="D419" s="4" t="s">
        <v>40</v>
      </c>
      <c r="E419" s="4">
        <v>33857</v>
      </c>
      <c r="F419" s="4">
        <v>12.6</v>
      </c>
      <c r="G419" s="4">
        <v>60</v>
      </c>
      <c r="H419" s="4" t="s">
        <v>19</v>
      </c>
      <c r="I419" s="4" t="s">
        <v>57</v>
      </c>
      <c r="J419" s="4" t="s">
        <v>32</v>
      </c>
      <c r="K419" s="4">
        <v>57230</v>
      </c>
      <c r="L419" s="4" t="s">
        <v>33</v>
      </c>
      <c r="M419" s="4">
        <v>0.22</v>
      </c>
      <c r="N419" s="4">
        <v>0.71</v>
      </c>
      <c r="O419" s="4">
        <v>38122.980000000003</v>
      </c>
      <c r="P419" s="4">
        <v>0</v>
      </c>
      <c r="Q419" s="6">
        <f t="shared" si="76"/>
        <v>763.43586733551876</v>
      </c>
      <c r="R419" s="6">
        <f t="shared" si="69"/>
        <v>11949.152040131128</v>
      </c>
      <c r="S419" s="4">
        <f t="shared" si="70"/>
        <v>47685.915492957749</v>
      </c>
      <c r="T419" s="4">
        <f t="shared" si="71"/>
        <v>4769.166666666667</v>
      </c>
      <c r="U419" s="4">
        <f t="shared" si="72"/>
        <v>1049.2166666666667</v>
      </c>
      <c r="V419" s="4">
        <f t="shared" ca="1" si="73"/>
        <v>28</v>
      </c>
      <c r="W419" s="20">
        <f t="shared" ca="1" si="77"/>
        <v>21376.204285394524</v>
      </c>
      <c r="X419" s="4">
        <f t="shared" si="74"/>
        <v>4265.9800000000032</v>
      </c>
      <c r="Y419" s="13">
        <f t="shared" si="75"/>
        <v>0.12599994092802089</v>
      </c>
    </row>
    <row r="420" spans="1:25" x14ac:dyDescent="0.3">
      <c r="A420" s="12" t="s">
        <v>882</v>
      </c>
      <c r="B420" s="7">
        <v>44373</v>
      </c>
      <c r="C420" s="4" t="s">
        <v>883</v>
      </c>
      <c r="D420" s="4" t="s">
        <v>50</v>
      </c>
      <c r="E420" s="4">
        <v>11361</v>
      </c>
      <c r="F420" s="4">
        <v>7.6</v>
      </c>
      <c r="G420" s="4">
        <v>60</v>
      </c>
      <c r="H420" s="4" t="s">
        <v>26</v>
      </c>
      <c r="I420" s="4" t="s">
        <v>84</v>
      </c>
      <c r="J420" s="4" t="s">
        <v>47</v>
      </c>
      <c r="K420" s="4">
        <v>39076</v>
      </c>
      <c r="L420" s="4" t="s">
        <v>33</v>
      </c>
      <c r="M420" s="4">
        <v>0.25</v>
      </c>
      <c r="N420" s="4">
        <v>0.66</v>
      </c>
      <c r="O420" s="4">
        <v>2661.69</v>
      </c>
      <c r="P420" s="4">
        <v>0</v>
      </c>
      <c r="Q420" s="6">
        <f t="shared" si="76"/>
        <v>228.19139069541222</v>
      </c>
      <c r="R420" s="6">
        <f t="shared" si="69"/>
        <v>2330.483441724733</v>
      </c>
      <c r="S420" s="4">
        <f t="shared" si="70"/>
        <v>17213.636363636364</v>
      </c>
      <c r="T420" s="4">
        <f t="shared" si="71"/>
        <v>3256.3333333333335</v>
      </c>
      <c r="U420" s="4">
        <f t="shared" si="72"/>
        <v>814.08333333333337</v>
      </c>
      <c r="V420" s="4">
        <f t="shared" ca="1" si="73"/>
        <v>56</v>
      </c>
      <c r="W420" s="20">
        <f t="shared" ca="1" si="77"/>
        <v>12778.717878943084</v>
      </c>
      <c r="X420" s="4">
        <f t="shared" si="74"/>
        <v>-8699.31</v>
      </c>
      <c r="Y420" s="13">
        <f t="shared" si="75"/>
        <v>-0.7657169263269078</v>
      </c>
    </row>
    <row r="421" spans="1:25" x14ac:dyDescent="0.3">
      <c r="A421" s="12" t="s">
        <v>884</v>
      </c>
      <c r="B421" s="7">
        <v>44592</v>
      </c>
      <c r="C421" s="4" t="s">
        <v>885</v>
      </c>
      <c r="D421" s="4" t="s">
        <v>40</v>
      </c>
      <c r="E421" s="4">
        <v>17369</v>
      </c>
      <c r="F421" s="4">
        <v>13.3</v>
      </c>
      <c r="G421" s="4">
        <v>36</v>
      </c>
      <c r="H421" s="4" t="s">
        <v>19</v>
      </c>
      <c r="I421" s="4" t="s">
        <v>84</v>
      </c>
      <c r="J421" s="4" t="s">
        <v>32</v>
      </c>
      <c r="K421" s="4">
        <v>99341</v>
      </c>
      <c r="L421" s="4" t="s">
        <v>22</v>
      </c>
      <c r="M421" s="4">
        <v>0.32</v>
      </c>
      <c r="N421" s="4">
        <v>0.74</v>
      </c>
      <c r="O421" s="4">
        <v>19679.080000000002</v>
      </c>
      <c r="P421" s="4">
        <v>0</v>
      </c>
      <c r="Q421" s="6">
        <f t="shared" si="76"/>
        <v>587.74320348404115</v>
      </c>
      <c r="R421" s="6">
        <f t="shared" si="69"/>
        <v>3789.7553254254817</v>
      </c>
      <c r="S421" s="4">
        <f t="shared" si="70"/>
        <v>23471.621621621623</v>
      </c>
      <c r="T421" s="4">
        <f t="shared" si="71"/>
        <v>8278.4166666666661</v>
      </c>
      <c r="U421" s="4">
        <f t="shared" si="72"/>
        <v>2649.0933333333332</v>
      </c>
      <c r="V421" s="4">
        <f t="shared" ca="1" si="73"/>
        <v>49</v>
      </c>
      <c r="W421" s="20">
        <f t="shared" ca="1" si="77"/>
        <v>28799.416970718015</v>
      </c>
      <c r="X421" s="4">
        <f t="shared" si="74"/>
        <v>2310.0800000000017</v>
      </c>
      <c r="Y421" s="13">
        <f t="shared" si="75"/>
        <v>0.13300017272151543</v>
      </c>
    </row>
    <row r="422" spans="1:25" x14ac:dyDescent="0.3">
      <c r="A422" s="12" t="s">
        <v>886</v>
      </c>
      <c r="B422" s="7">
        <v>44641</v>
      </c>
      <c r="C422" s="4" t="s">
        <v>887</v>
      </c>
      <c r="D422" s="4" t="s">
        <v>40</v>
      </c>
      <c r="E422" s="4">
        <v>4041</v>
      </c>
      <c r="F422" s="4">
        <v>21</v>
      </c>
      <c r="G422" s="4">
        <v>60</v>
      </c>
      <c r="H422" s="4" t="s">
        <v>81</v>
      </c>
      <c r="I422" s="4" t="s">
        <v>84</v>
      </c>
      <c r="J422" s="4" t="s">
        <v>28</v>
      </c>
      <c r="K422" s="4">
        <v>61085</v>
      </c>
      <c r="L422" s="4" t="s">
        <v>33</v>
      </c>
      <c r="M422" s="4">
        <v>0.42</v>
      </c>
      <c r="N422" s="4">
        <v>0.82</v>
      </c>
      <c r="O422" s="4">
        <v>858.39</v>
      </c>
      <c r="P422" s="4">
        <v>1009</v>
      </c>
      <c r="Q422" s="6">
        <f t="shared" si="76"/>
        <v>109.3226269748892</v>
      </c>
      <c r="R422" s="6">
        <f t="shared" si="69"/>
        <v>2518.3576184933518</v>
      </c>
      <c r="S422" s="4">
        <f t="shared" si="70"/>
        <v>4928.0487804878048</v>
      </c>
      <c r="T422" s="4">
        <f t="shared" si="71"/>
        <v>5090.416666666667</v>
      </c>
      <c r="U422" s="4">
        <f t="shared" si="72"/>
        <v>2137.9749999999999</v>
      </c>
      <c r="V422" s="4">
        <f t="shared" ca="1" si="73"/>
        <v>47</v>
      </c>
      <c r="W422" s="20">
        <v>0</v>
      </c>
      <c r="X422" s="4">
        <f t="shared" si="74"/>
        <v>-2173.61</v>
      </c>
      <c r="Y422" s="13">
        <f t="shared" si="75"/>
        <v>-0.53788913635238811</v>
      </c>
    </row>
    <row r="423" spans="1:25" x14ac:dyDescent="0.3">
      <c r="A423" s="12" t="s">
        <v>888</v>
      </c>
      <c r="B423" s="7">
        <v>44272</v>
      </c>
      <c r="C423" s="4" t="s">
        <v>889</v>
      </c>
      <c r="D423" s="4" t="s">
        <v>56</v>
      </c>
      <c r="E423" s="4">
        <v>1105</v>
      </c>
      <c r="F423" s="4">
        <v>14.6</v>
      </c>
      <c r="G423" s="4">
        <v>60</v>
      </c>
      <c r="H423" s="4" t="s">
        <v>81</v>
      </c>
      <c r="I423" s="4" t="s">
        <v>27</v>
      </c>
      <c r="J423" s="4" t="s">
        <v>37</v>
      </c>
      <c r="K423" s="4">
        <v>85571</v>
      </c>
      <c r="L423" s="4" t="s">
        <v>33</v>
      </c>
      <c r="M423" s="4">
        <v>0.23</v>
      </c>
      <c r="N423" s="4">
        <v>0.7</v>
      </c>
      <c r="O423" s="4">
        <v>417.31</v>
      </c>
      <c r="P423" s="4">
        <v>388.04</v>
      </c>
      <c r="Q423" s="6">
        <f t="shared" si="76"/>
        <v>26.056432162353225</v>
      </c>
      <c r="R423" s="6">
        <f t="shared" si="69"/>
        <v>458.38592974119342</v>
      </c>
      <c r="S423" s="4">
        <f t="shared" si="70"/>
        <v>1578.5714285714287</v>
      </c>
      <c r="T423" s="4">
        <f t="shared" si="71"/>
        <v>7130.916666666667</v>
      </c>
      <c r="U423" s="4">
        <f t="shared" si="72"/>
        <v>1640.1108333333334</v>
      </c>
      <c r="V423" s="4">
        <f t="shared" ca="1" si="73"/>
        <v>60</v>
      </c>
      <c r="W423" s="20">
        <v>0</v>
      </c>
      <c r="X423" s="4">
        <f t="shared" si="74"/>
        <v>-299.64999999999998</v>
      </c>
      <c r="Y423" s="13">
        <f t="shared" si="75"/>
        <v>-0.2711764705882353</v>
      </c>
    </row>
    <row r="424" spans="1:25" x14ac:dyDescent="0.3">
      <c r="A424" s="12" t="s">
        <v>890</v>
      </c>
      <c r="B424" s="7">
        <v>44461</v>
      </c>
      <c r="C424" s="4" t="s">
        <v>891</v>
      </c>
      <c r="D424" s="4" t="s">
        <v>18</v>
      </c>
      <c r="E424" s="4">
        <v>10078</v>
      </c>
      <c r="F424" s="4">
        <v>5.4</v>
      </c>
      <c r="G424" s="4">
        <v>60</v>
      </c>
      <c r="H424" s="4" t="s">
        <v>315</v>
      </c>
      <c r="I424" s="4" t="s">
        <v>57</v>
      </c>
      <c r="J424" s="4" t="s">
        <v>47</v>
      </c>
      <c r="K424" s="4">
        <v>44715</v>
      </c>
      <c r="L424" s="4" t="s">
        <v>22</v>
      </c>
      <c r="M424" s="4">
        <v>0.33</v>
      </c>
      <c r="N424" s="4">
        <v>0.92</v>
      </c>
      <c r="O424" s="4">
        <v>0</v>
      </c>
      <c r="P424" s="4">
        <v>0</v>
      </c>
      <c r="Q424" s="6">
        <f t="shared" si="76"/>
        <v>192.03668799487423</v>
      </c>
      <c r="R424" s="6">
        <f t="shared" si="69"/>
        <v>1444.2012796924537</v>
      </c>
      <c r="S424" s="4">
        <f t="shared" si="70"/>
        <v>10954.347826086956</v>
      </c>
      <c r="T424" s="4">
        <f t="shared" si="71"/>
        <v>3726.25</v>
      </c>
      <c r="U424" s="4">
        <f t="shared" si="72"/>
        <v>1229.6625000000001</v>
      </c>
      <c r="V424" s="4">
        <f t="shared" ca="1" si="73"/>
        <v>53</v>
      </c>
      <c r="W424" s="20">
        <f ca="1">V424*Q424</f>
        <v>10177.944463728334</v>
      </c>
      <c r="X424" s="4">
        <f t="shared" si="74"/>
        <v>-10078</v>
      </c>
      <c r="Y424" s="13">
        <f t="shared" si="75"/>
        <v>-1</v>
      </c>
    </row>
    <row r="425" spans="1:25" x14ac:dyDescent="0.3">
      <c r="A425" s="12" t="s">
        <v>892</v>
      </c>
      <c r="B425" s="7">
        <v>44651</v>
      </c>
      <c r="C425" s="4" t="s">
        <v>893</v>
      </c>
      <c r="D425" s="4" t="s">
        <v>53</v>
      </c>
      <c r="E425" s="4">
        <v>26003</v>
      </c>
      <c r="F425" s="4">
        <v>13.4</v>
      </c>
      <c r="G425" s="4">
        <v>36</v>
      </c>
      <c r="H425" s="4" t="s">
        <v>19</v>
      </c>
      <c r="I425" s="4" t="s">
        <v>84</v>
      </c>
      <c r="J425" s="4" t="s">
        <v>47</v>
      </c>
      <c r="K425" s="4">
        <v>35750</v>
      </c>
      <c r="L425" s="4" t="s">
        <v>33</v>
      </c>
      <c r="M425" s="4">
        <v>0.24</v>
      </c>
      <c r="N425" s="4">
        <v>0.63</v>
      </c>
      <c r="O425" s="4">
        <v>29487.4</v>
      </c>
      <c r="P425" s="4">
        <v>0</v>
      </c>
      <c r="Q425" s="6">
        <f t="shared" si="76"/>
        <v>881.16209143974447</v>
      </c>
      <c r="R425" s="6">
        <f t="shared" si="69"/>
        <v>5718.835291830801</v>
      </c>
      <c r="S425" s="4">
        <f t="shared" si="70"/>
        <v>41274.603174603173</v>
      </c>
      <c r="T425" s="4">
        <f t="shared" si="71"/>
        <v>2979.1666666666665</v>
      </c>
      <c r="U425" s="4">
        <f t="shared" si="72"/>
        <v>714.99999999999989</v>
      </c>
      <c r="V425" s="4">
        <f t="shared" ca="1" si="73"/>
        <v>47</v>
      </c>
      <c r="W425" s="20">
        <f ca="1">V425*Q425</f>
        <v>41414.618297667992</v>
      </c>
      <c r="X425" s="4">
        <f t="shared" si="74"/>
        <v>3484.4000000000015</v>
      </c>
      <c r="Y425" s="13">
        <f t="shared" si="75"/>
        <v>0.13399992308579786</v>
      </c>
    </row>
    <row r="426" spans="1:25" x14ac:dyDescent="0.3">
      <c r="A426" s="12" t="s">
        <v>894</v>
      </c>
      <c r="B426" s="7">
        <v>44914</v>
      </c>
      <c r="C426" s="4" t="s">
        <v>895</v>
      </c>
      <c r="D426" s="4" t="s">
        <v>18</v>
      </c>
      <c r="E426" s="4">
        <v>7090</v>
      </c>
      <c r="F426" s="4">
        <v>5.5</v>
      </c>
      <c r="G426" s="4">
        <v>36</v>
      </c>
      <c r="H426" s="4" t="s">
        <v>81</v>
      </c>
      <c r="I426" s="4" t="s">
        <v>73</v>
      </c>
      <c r="J426" s="4" t="s">
        <v>37</v>
      </c>
      <c r="K426" s="4">
        <v>143931</v>
      </c>
      <c r="L426" s="4" t="s">
        <v>33</v>
      </c>
      <c r="M426" s="4">
        <v>0.43</v>
      </c>
      <c r="N426" s="4">
        <v>0.71</v>
      </c>
      <c r="O426" s="4">
        <v>2472.13</v>
      </c>
      <c r="P426" s="4">
        <v>1824.75</v>
      </c>
      <c r="Q426" s="6">
        <f t="shared" si="76"/>
        <v>214.08894379255992</v>
      </c>
      <c r="R426" s="6">
        <f t="shared" si="69"/>
        <v>617.20197653215655</v>
      </c>
      <c r="S426" s="4">
        <f t="shared" si="70"/>
        <v>9985.9154929577471</v>
      </c>
      <c r="T426" s="4">
        <f t="shared" si="71"/>
        <v>11994.25</v>
      </c>
      <c r="U426" s="4">
        <f t="shared" si="72"/>
        <v>5157.5275000000001</v>
      </c>
      <c r="V426" s="4">
        <f t="shared" ca="1" si="73"/>
        <v>39</v>
      </c>
      <c r="W426" s="20">
        <v>0</v>
      </c>
      <c r="X426" s="4">
        <f t="shared" si="74"/>
        <v>-2793.12</v>
      </c>
      <c r="Y426" s="13">
        <f t="shared" si="75"/>
        <v>-0.39395204513399151</v>
      </c>
    </row>
    <row r="427" spans="1:25" x14ac:dyDescent="0.3">
      <c r="A427" s="12" t="s">
        <v>896</v>
      </c>
      <c r="B427" s="7">
        <v>44931</v>
      </c>
      <c r="C427" s="4" t="s">
        <v>897</v>
      </c>
      <c r="D427" s="4" t="s">
        <v>50</v>
      </c>
      <c r="E427" s="4">
        <v>39850</v>
      </c>
      <c r="F427" s="4">
        <v>24.3</v>
      </c>
      <c r="G427" s="4">
        <v>60</v>
      </c>
      <c r="H427" s="4" t="s">
        <v>19</v>
      </c>
      <c r="I427" s="4" t="s">
        <v>20</v>
      </c>
      <c r="J427" s="4" t="s">
        <v>47</v>
      </c>
      <c r="K427" s="4">
        <v>108768</v>
      </c>
      <c r="L427" s="4" t="s">
        <v>33</v>
      </c>
      <c r="M427" s="4">
        <v>0.28999999999999998</v>
      </c>
      <c r="N427" s="4">
        <v>0.84</v>
      </c>
      <c r="O427" s="4">
        <v>49533.55</v>
      </c>
      <c r="P427" s="4">
        <v>0</v>
      </c>
      <c r="Q427" s="6">
        <f t="shared" si="76"/>
        <v>1153.3530800369122</v>
      </c>
      <c r="R427" s="6">
        <f t="shared" si="69"/>
        <v>29351.184802214731</v>
      </c>
      <c r="S427" s="4">
        <f t="shared" si="70"/>
        <v>47440.476190476191</v>
      </c>
      <c r="T427" s="4">
        <f t="shared" si="71"/>
        <v>9064</v>
      </c>
      <c r="U427" s="4">
        <f t="shared" si="72"/>
        <v>2628.56</v>
      </c>
      <c r="V427" s="4">
        <f t="shared" ca="1" si="73"/>
        <v>38</v>
      </c>
      <c r="W427" s="20">
        <f ca="1">V427*Q427</f>
        <v>43827.417041402659</v>
      </c>
      <c r="X427" s="4">
        <f t="shared" si="74"/>
        <v>9683.5500000000029</v>
      </c>
      <c r="Y427" s="13">
        <f t="shared" si="75"/>
        <v>0.24300000000000008</v>
      </c>
    </row>
    <row r="428" spans="1:25" x14ac:dyDescent="0.3">
      <c r="A428" s="12" t="s">
        <v>898</v>
      </c>
      <c r="B428" s="7">
        <v>45047</v>
      </c>
      <c r="C428" s="4" t="s">
        <v>899</v>
      </c>
      <c r="D428" s="4" t="s">
        <v>56</v>
      </c>
      <c r="E428" s="4">
        <v>2925</v>
      </c>
      <c r="F428" s="4">
        <v>7.5</v>
      </c>
      <c r="G428" s="4">
        <v>60</v>
      </c>
      <c r="H428" s="4" t="s">
        <v>26</v>
      </c>
      <c r="I428" s="4" t="s">
        <v>73</v>
      </c>
      <c r="J428" s="4" t="s">
        <v>37</v>
      </c>
      <c r="K428" s="4">
        <v>148544</v>
      </c>
      <c r="L428" s="4" t="s">
        <v>22</v>
      </c>
      <c r="M428" s="4">
        <v>0.13</v>
      </c>
      <c r="N428" s="4">
        <v>0.81</v>
      </c>
      <c r="O428" s="4">
        <v>289.72000000000003</v>
      </c>
      <c r="P428" s="4">
        <v>0</v>
      </c>
      <c r="Q428" s="6">
        <f t="shared" si="76"/>
        <v>58.610999642199509</v>
      </c>
      <c r="R428" s="6">
        <f t="shared" si="69"/>
        <v>591.65997853197041</v>
      </c>
      <c r="S428" s="4">
        <f t="shared" si="70"/>
        <v>3611.1111111111109</v>
      </c>
      <c r="T428" s="4">
        <f t="shared" si="71"/>
        <v>12378.666666666666</v>
      </c>
      <c r="U428" s="4">
        <f t="shared" si="72"/>
        <v>1609.2266666666667</v>
      </c>
      <c r="V428" s="4">
        <f t="shared" ca="1" si="73"/>
        <v>34</v>
      </c>
      <c r="W428" s="20">
        <f ca="1">V428*Q428</f>
        <v>1992.7739878347834</v>
      </c>
      <c r="X428" s="4">
        <f t="shared" si="74"/>
        <v>-2635.2799999999997</v>
      </c>
      <c r="Y428" s="13">
        <f t="shared" si="75"/>
        <v>-0.9009504273504273</v>
      </c>
    </row>
    <row r="429" spans="1:25" x14ac:dyDescent="0.3">
      <c r="A429" s="12" t="s">
        <v>900</v>
      </c>
      <c r="B429" s="7">
        <v>44340</v>
      </c>
      <c r="C429" s="4" t="s">
        <v>901</v>
      </c>
      <c r="D429" s="4" t="s">
        <v>46</v>
      </c>
      <c r="E429" s="4">
        <v>19440</v>
      </c>
      <c r="F429" s="4">
        <v>19.2</v>
      </c>
      <c r="G429" s="4">
        <v>36</v>
      </c>
      <c r="H429" s="4" t="s">
        <v>19</v>
      </c>
      <c r="I429" s="4" t="s">
        <v>36</v>
      </c>
      <c r="J429" s="4" t="s">
        <v>47</v>
      </c>
      <c r="K429" s="4">
        <v>65903</v>
      </c>
      <c r="L429" s="4" t="s">
        <v>22</v>
      </c>
      <c r="M429" s="4">
        <v>0.17</v>
      </c>
      <c r="N429" s="4">
        <v>0.89</v>
      </c>
      <c r="O429" s="4">
        <v>23172.48</v>
      </c>
      <c r="P429" s="4">
        <v>0</v>
      </c>
      <c r="Q429" s="6">
        <f t="shared" si="76"/>
        <v>714.56032097858736</v>
      </c>
      <c r="R429" s="6">
        <f t="shared" si="69"/>
        <v>6284.1715552291462</v>
      </c>
      <c r="S429" s="4">
        <f t="shared" si="70"/>
        <v>21842.696629213482</v>
      </c>
      <c r="T429" s="4">
        <f t="shared" si="71"/>
        <v>5491.916666666667</v>
      </c>
      <c r="U429" s="4">
        <f t="shared" si="72"/>
        <v>933.6258333333335</v>
      </c>
      <c r="V429" s="4">
        <f t="shared" ca="1" si="73"/>
        <v>57</v>
      </c>
      <c r="W429" s="20">
        <f ca="1">V429*Q429</f>
        <v>40729.938295779481</v>
      </c>
      <c r="X429" s="4">
        <f t="shared" si="74"/>
        <v>3732.4799999999996</v>
      </c>
      <c r="Y429" s="13">
        <f t="shared" si="75"/>
        <v>0.19199999999999998</v>
      </c>
    </row>
    <row r="430" spans="1:25" x14ac:dyDescent="0.3">
      <c r="A430" s="12" t="s">
        <v>902</v>
      </c>
      <c r="B430" s="7">
        <v>45081</v>
      </c>
      <c r="C430" s="4" t="s">
        <v>903</v>
      </c>
      <c r="D430" s="4" t="s">
        <v>40</v>
      </c>
      <c r="E430" s="4">
        <v>27015</v>
      </c>
      <c r="F430" s="4">
        <v>24.5</v>
      </c>
      <c r="G430" s="4">
        <v>36</v>
      </c>
      <c r="H430" s="4" t="s">
        <v>19</v>
      </c>
      <c r="I430" s="4" t="s">
        <v>36</v>
      </c>
      <c r="J430" s="4" t="s">
        <v>32</v>
      </c>
      <c r="K430" s="4">
        <v>102489</v>
      </c>
      <c r="L430" s="4" t="s">
        <v>33</v>
      </c>
      <c r="M430" s="4">
        <v>0.12</v>
      </c>
      <c r="N430" s="4">
        <v>0.95</v>
      </c>
      <c r="O430" s="4">
        <v>33633.68</v>
      </c>
      <c r="P430" s="4">
        <v>0</v>
      </c>
      <c r="Q430" s="6">
        <f t="shared" si="76"/>
        <v>1066.980664986884</v>
      </c>
      <c r="R430" s="6">
        <f t="shared" si="69"/>
        <v>11396.303939527825</v>
      </c>
      <c r="S430" s="4">
        <f t="shared" si="70"/>
        <v>28436.84210526316</v>
      </c>
      <c r="T430" s="4">
        <f t="shared" si="71"/>
        <v>8540.75</v>
      </c>
      <c r="U430" s="4">
        <f t="shared" si="72"/>
        <v>1024.8899999999999</v>
      </c>
      <c r="V430" s="4">
        <f t="shared" ca="1" si="73"/>
        <v>33</v>
      </c>
      <c r="W430" s="20">
        <f ca="1">V430*Q430</f>
        <v>35210.361944567172</v>
      </c>
      <c r="X430" s="4">
        <f t="shared" si="74"/>
        <v>6618.68</v>
      </c>
      <c r="Y430" s="13">
        <f t="shared" si="75"/>
        <v>0.24500018508236165</v>
      </c>
    </row>
    <row r="431" spans="1:25" x14ac:dyDescent="0.3">
      <c r="A431" s="12" t="s">
        <v>904</v>
      </c>
      <c r="B431" s="7">
        <v>45289</v>
      </c>
      <c r="C431" s="4" t="s">
        <v>905</v>
      </c>
      <c r="D431" s="4" t="s">
        <v>25</v>
      </c>
      <c r="E431" s="4">
        <v>34320</v>
      </c>
      <c r="F431" s="4">
        <v>21.5</v>
      </c>
      <c r="G431" s="4">
        <v>60</v>
      </c>
      <c r="H431" s="4" t="s">
        <v>81</v>
      </c>
      <c r="I431" s="4" t="s">
        <v>20</v>
      </c>
      <c r="J431" s="4" t="s">
        <v>47</v>
      </c>
      <c r="K431" s="4">
        <v>62093</v>
      </c>
      <c r="L431" s="4" t="s">
        <v>33</v>
      </c>
      <c r="M431" s="4">
        <v>0.3</v>
      </c>
      <c r="N431" s="4">
        <v>0.69</v>
      </c>
      <c r="O431" s="4">
        <v>4545.24</v>
      </c>
      <c r="P431" s="4">
        <v>12356.63</v>
      </c>
      <c r="Q431" s="6">
        <f t="shared" si="76"/>
        <v>938.15026532126171</v>
      </c>
      <c r="R431" s="6">
        <f t="shared" si="69"/>
        <v>21969.015919275706</v>
      </c>
      <c r="S431" s="4">
        <f t="shared" si="70"/>
        <v>49739.130434782615</v>
      </c>
      <c r="T431" s="4">
        <f t="shared" si="71"/>
        <v>5174.416666666667</v>
      </c>
      <c r="U431" s="4">
        <f t="shared" si="72"/>
        <v>1552.325</v>
      </c>
      <c r="V431" s="4">
        <f t="shared" ca="1" si="73"/>
        <v>26</v>
      </c>
      <c r="W431" s="20">
        <v>0</v>
      </c>
      <c r="X431" s="4">
        <f t="shared" si="74"/>
        <v>-17418.13</v>
      </c>
      <c r="Y431" s="13">
        <f t="shared" si="75"/>
        <v>-0.50752127039627037</v>
      </c>
    </row>
    <row r="432" spans="1:25" x14ac:dyDescent="0.3">
      <c r="A432" s="12" t="s">
        <v>906</v>
      </c>
      <c r="B432" s="7">
        <v>44592</v>
      </c>
      <c r="C432" s="4" t="s">
        <v>907</v>
      </c>
      <c r="D432" s="4" t="s">
        <v>56</v>
      </c>
      <c r="E432" s="4">
        <v>26291</v>
      </c>
      <c r="F432" s="4">
        <v>19</v>
      </c>
      <c r="G432" s="4">
        <v>36</v>
      </c>
      <c r="H432" s="4" t="s">
        <v>19</v>
      </c>
      <c r="I432" s="4" t="s">
        <v>27</v>
      </c>
      <c r="J432" s="4" t="s">
        <v>21</v>
      </c>
      <c r="K432" s="4">
        <v>121036</v>
      </c>
      <c r="L432" s="4" t="s">
        <v>22</v>
      </c>
      <c r="M432" s="4">
        <v>0.14000000000000001</v>
      </c>
      <c r="N432" s="4">
        <v>0.55000000000000004</v>
      </c>
      <c r="O432" s="4">
        <v>31286.29</v>
      </c>
      <c r="P432" s="4">
        <v>0</v>
      </c>
      <c r="Q432" s="6">
        <f t="shared" si="76"/>
        <v>963.72342243974481</v>
      </c>
      <c r="R432" s="6">
        <f t="shared" si="69"/>
        <v>8403.0432078308149</v>
      </c>
      <c r="S432" s="4">
        <f t="shared" si="70"/>
        <v>47801.818181818177</v>
      </c>
      <c r="T432" s="4">
        <f t="shared" si="71"/>
        <v>10086.333333333334</v>
      </c>
      <c r="U432" s="4">
        <f t="shared" si="72"/>
        <v>1412.0866666666668</v>
      </c>
      <c r="V432" s="4">
        <f t="shared" ca="1" si="73"/>
        <v>49</v>
      </c>
      <c r="W432" s="20">
        <f t="shared" ref="W432:W442" ca="1" si="78">V432*Q432</f>
        <v>47222.447699547498</v>
      </c>
      <c r="X432" s="4">
        <f t="shared" si="74"/>
        <v>4995.2900000000009</v>
      </c>
      <c r="Y432" s="13">
        <f t="shared" si="75"/>
        <v>0.19000000000000003</v>
      </c>
    </row>
    <row r="433" spans="1:25" x14ac:dyDescent="0.3">
      <c r="A433" s="12" t="s">
        <v>908</v>
      </c>
      <c r="B433" s="7">
        <v>45245</v>
      </c>
      <c r="C433" s="4" t="s">
        <v>909</v>
      </c>
      <c r="D433" s="4" t="s">
        <v>72</v>
      </c>
      <c r="E433" s="4">
        <v>37679</v>
      </c>
      <c r="F433" s="4">
        <v>21.8</v>
      </c>
      <c r="G433" s="4">
        <v>60</v>
      </c>
      <c r="H433" s="4" t="s">
        <v>26</v>
      </c>
      <c r="I433" s="4" t="s">
        <v>84</v>
      </c>
      <c r="J433" s="4" t="s">
        <v>37</v>
      </c>
      <c r="K433" s="4">
        <v>117954</v>
      </c>
      <c r="L433" s="4" t="s">
        <v>33</v>
      </c>
      <c r="M433" s="4">
        <v>0.15</v>
      </c>
      <c r="N433" s="4">
        <v>0.51</v>
      </c>
      <c r="O433" s="4">
        <v>9138.7099999999991</v>
      </c>
      <c r="P433" s="4">
        <v>0</v>
      </c>
      <c r="Q433" s="6">
        <f t="shared" si="76"/>
        <v>1036.372907003954</v>
      </c>
      <c r="R433" s="6">
        <f t="shared" si="69"/>
        <v>24503.37442023724</v>
      </c>
      <c r="S433" s="4">
        <f t="shared" si="70"/>
        <v>73880.392156862741</v>
      </c>
      <c r="T433" s="4">
        <f t="shared" si="71"/>
        <v>9829.5</v>
      </c>
      <c r="U433" s="4">
        <f t="shared" si="72"/>
        <v>1474.425</v>
      </c>
      <c r="V433" s="4">
        <f t="shared" ca="1" si="73"/>
        <v>28</v>
      </c>
      <c r="W433" s="20">
        <f t="shared" ca="1" si="78"/>
        <v>29018.441396110713</v>
      </c>
      <c r="X433" s="4">
        <f t="shared" si="74"/>
        <v>-28540.29</v>
      </c>
      <c r="Y433" s="13">
        <f t="shared" si="75"/>
        <v>-0.75745879667719418</v>
      </c>
    </row>
    <row r="434" spans="1:25" x14ac:dyDescent="0.3">
      <c r="A434" s="12" t="s">
        <v>910</v>
      </c>
      <c r="B434" s="7">
        <v>45144</v>
      </c>
      <c r="C434" s="4" t="s">
        <v>911</v>
      </c>
      <c r="D434" s="4" t="s">
        <v>76</v>
      </c>
      <c r="E434" s="4">
        <v>27289</v>
      </c>
      <c r="F434" s="4">
        <v>24.6</v>
      </c>
      <c r="G434" s="4">
        <v>36</v>
      </c>
      <c r="H434" s="4" t="s">
        <v>26</v>
      </c>
      <c r="I434" s="4" t="s">
        <v>57</v>
      </c>
      <c r="J434" s="4" t="s">
        <v>47</v>
      </c>
      <c r="K434" s="4">
        <v>149277</v>
      </c>
      <c r="L434" s="4" t="s">
        <v>22</v>
      </c>
      <c r="M434" s="4">
        <v>0.48</v>
      </c>
      <c r="N434" s="4">
        <v>0.83</v>
      </c>
      <c r="O434" s="4">
        <v>2575.9699999999998</v>
      </c>
      <c r="P434" s="4">
        <v>0</v>
      </c>
      <c r="Q434" s="6">
        <f t="shared" si="76"/>
        <v>1079.2411132749185</v>
      </c>
      <c r="R434" s="6">
        <f t="shared" si="69"/>
        <v>11563.680077897065</v>
      </c>
      <c r="S434" s="4">
        <f t="shared" si="70"/>
        <v>32878.313253012049</v>
      </c>
      <c r="T434" s="4">
        <f t="shared" si="71"/>
        <v>12439.75</v>
      </c>
      <c r="U434" s="4">
        <f t="shared" si="72"/>
        <v>5971.08</v>
      </c>
      <c r="V434" s="4">
        <f t="shared" ca="1" si="73"/>
        <v>31</v>
      </c>
      <c r="W434" s="20">
        <f t="shared" ca="1" si="78"/>
        <v>33456.474511522472</v>
      </c>
      <c r="X434" s="4">
        <f t="shared" si="74"/>
        <v>-24713.03</v>
      </c>
      <c r="Y434" s="13">
        <f t="shared" si="75"/>
        <v>-0.90560408955989591</v>
      </c>
    </row>
    <row r="435" spans="1:25" x14ac:dyDescent="0.3">
      <c r="A435" s="12" t="s">
        <v>912</v>
      </c>
      <c r="B435" s="7">
        <v>45087</v>
      </c>
      <c r="C435" s="4" t="s">
        <v>913</v>
      </c>
      <c r="D435" s="4" t="s">
        <v>18</v>
      </c>
      <c r="E435" s="4">
        <v>4389</v>
      </c>
      <c r="F435" s="4">
        <v>17.399999999999999</v>
      </c>
      <c r="G435" s="4">
        <v>60</v>
      </c>
      <c r="H435" s="4" t="s">
        <v>26</v>
      </c>
      <c r="I435" s="4" t="s">
        <v>73</v>
      </c>
      <c r="J435" s="4" t="s">
        <v>37</v>
      </c>
      <c r="K435" s="4">
        <v>64314</v>
      </c>
      <c r="L435" s="4" t="s">
        <v>33</v>
      </c>
      <c r="M435" s="4">
        <v>0.45</v>
      </c>
      <c r="N435" s="4">
        <v>0.89</v>
      </c>
      <c r="O435" s="4">
        <v>1442.19</v>
      </c>
      <c r="P435" s="4">
        <v>0</v>
      </c>
      <c r="Q435" s="6">
        <f t="shared" si="76"/>
        <v>110.02415350277488</v>
      </c>
      <c r="R435" s="6">
        <f t="shared" si="69"/>
        <v>2212.4492101664928</v>
      </c>
      <c r="S435" s="4">
        <f t="shared" si="70"/>
        <v>4931.4606741573034</v>
      </c>
      <c r="T435" s="4">
        <f t="shared" si="71"/>
        <v>5359.5</v>
      </c>
      <c r="U435" s="4">
        <f t="shared" si="72"/>
        <v>2411.7750000000001</v>
      </c>
      <c r="V435" s="4">
        <f t="shared" ca="1" si="73"/>
        <v>33</v>
      </c>
      <c r="W435" s="20">
        <f t="shared" ca="1" si="78"/>
        <v>3630.797065591571</v>
      </c>
      <c r="X435" s="4">
        <f t="shared" si="74"/>
        <v>-2946.81</v>
      </c>
      <c r="Y435" s="13">
        <f t="shared" si="75"/>
        <v>-0.6714080656185919</v>
      </c>
    </row>
    <row r="436" spans="1:25" x14ac:dyDescent="0.3">
      <c r="A436" s="12" t="s">
        <v>914</v>
      </c>
      <c r="B436" s="7">
        <v>44765</v>
      </c>
      <c r="C436" s="4" t="s">
        <v>915</v>
      </c>
      <c r="D436" s="4" t="s">
        <v>56</v>
      </c>
      <c r="E436" s="4">
        <v>26683</v>
      </c>
      <c r="F436" s="4">
        <v>16.2</v>
      </c>
      <c r="G436" s="4">
        <v>60</v>
      </c>
      <c r="H436" s="4" t="s">
        <v>19</v>
      </c>
      <c r="I436" s="4" t="s">
        <v>27</v>
      </c>
      <c r="J436" s="4" t="s">
        <v>21</v>
      </c>
      <c r="K436" s="4">
        <v>78225</v>
      </c>
      <c r="L436" s="4" t="s">
        <v>22</v>
      </c>
      <c r="M436" s="4">
        <v>0.28000000000000003</v>
      </c>
      <c r="N436" s="4">
        <v>0.6</v>
      </c>
      <c r="O436" s="4">
        <v>31005.65</v>
      </c>
      <c r="P436" s="4">
        <v>0</v>
      </c>
      <c r="Q436" s="6">
        <f t="shared" si="76"/>
        <v>651.71763558289229</v>
      </c>
      <c r="R436" s="6">
        <f t="shared" si="69"/>
        <v>12420.058134973537</v>
      </c>
      <c r="S436" s="4">
        <f t="shared" si="70"/>
        <v>44471.666666666672</v>
      </c>
      <c r="T436" s="4">
        <f t="shared" si="71"/>
        <v>6518.75</v>
      </c>
      <c r="U436" s="4">
        <f t="shared" si="72"/>
        <v>1825.2500000000002</v>
      </c>
      <c r="V436" s="4">
        <f t="shared" ca="1" si="73"/>
        <v>43</v>
      </c>
      <c r="W436" s="20">
        <f t="shared" ca="1" si="78"/>
        <v>28023.85833006437</v>
      </c>
      <c r="X436" s="4">
        <f t="shared" si="74"/>
        <v>4322.6500000000015</v>
      </c>
      <c r="Y436" s="13">
        <f t="shared" si="75"/>
        <v>0.16200014990818129</v>
      </c>
    </row>
    <row r="437" spans="1:25" x14ac:dyDescent="0.3">
      <c r="A437" s="12" t="s">
        <v>916</v>
      </c>
      <c r="B437" s="7">
        <v>45259</v>
      </c>
      <c r="C437" s="4" t="s">
        <v>917</v>
      </c>
      <c r="D437" s="4" t="s">
        <v>72</v>
      </c>
      <c r="E437" s="4">
        <v>14629</v>
      </c>
      <c r="F437" s="4">
        <v>17.600000000000001</v>
      </c>
      <c r="G437" s="4">
        <v>36</v>
      </c>
      <c r="H437" s="4" t="s">
        <v>19</v>
      </c>
      <c r="I437" s="4" t="s">
        <v>57</v>
      </c>
      <c r="J437" s="4" t="s">
        <v>47</v>
      </c>
      <c r="K437" s="4">
        <v>117985</v>
      </c>
      <c r="L437" s="4" t="s">
        <v>29</v>
      </c>
      <c r="M437" s="4">
        <v>0.49</v>
      </c>
      <c r="N437" s="4">
        <v>0.56999999999999995</v>
      </c>
      <c r="O437" s="4">
        <v>17203.7</v>
      </c>
      <c r="P437" s="4">
        <v>0</v>
      </c>
      <c r="Q437" s="6">
        <f t="shared" si="76"/>
        <v>525.94257729878541</v>
      </c>
      <c r="R437" s="6">
        <f t="shared" si="69"/>
        <v>4304.9327827562738</v>
      </c>
      <c r="S437" s="4">
        <f t="shared" si="70"/>
        <v>25664.912280701756</v>
      </c>
      <c r="T437" s="4">
        <f t="shared" si="71"/>
        <v>9832.0833333333339</v>
      </c>
      <c r="U437" s="4">
        <f t="shared" si="72"/>
        <v>4817.7208333333338</v>
      </c>
      <c r="V437" s="4">
        <f t="shared" ca="1" si="73"/>
        <v>27</v>
      </c>
      <c r="W437" s="20">
        <f t="shared" ca="1" si="78"/>
        <v>14200.449587067205</v>
      </c>
      <c r="X437" s="4">
        <f t="shared" si="74"/>
        <v>2574.7000000000007</v>
      </c>
      <c r="Y437" s="13">
        <f t="shared" si="75"/>
        <v>0.17599972657051069</v>
      </c>
    </row>
    <row r="438" spans="1:25" x14ac:dyDescent="0.3">
      <c r="A438" s="12" t="s">
        <v>918</v>
      </c>
      <c r="B438" s="7">
        <v>44305</v>
      </c>
      <c r="C438" s="4" t="s">
        <v>919</v>
      </c>
      <c r="D438" s="4" t="s">
        <v>53</v>
      </c>
      <c r="E438" s="4">
        <v>25826</v>
      </c>
      <c r="F438" s="4">
        <v>15.7</v>
      </c>
      <c r="G438" s="4">
        <v>60</v>
      </c>
      <c r="H438" s="4" t="s">
        <v>26</v>
      </c>
      <c r="I438" s="4" t="s">
        <v>20</v>
      </c>
      <c r="J438" s="4" t="s">
        <v>47</v>
      </c>
      <c r="K438" s="4">
        <v>113014</v>
      </c>
      <c r="L438" s="4" t="s">
        <v>29</v>
      </c>
      <c r="M438" s="4">
        <v>0.1</v>
      </c>
      <c r="N438" s="4">
        <v>0.53</v>
      </c>
      <c r="O438" s="4">
        <v>2961.24</v>
      </c>
      <c r="P438" s="4">
        <v>0</v>
      </c>
      <c r="Q438" s="6">
        <f t="shared" si="76"/>
        <v>623.92892088706026</v>
      </c>
      <c r="R438" s="6">
        <f t="shared" si="69"/>
        <v>11609.735253223618</v>
      </c>
      <c r="S438" s="4">
        <f t="shared" si="70"/>
        <v>48728.301886792447</v>
      </c>
      <c r="T438" s="4">
        <f t="shared" si="71"/>
        <v>9417.8333333333339</v>
      </c>
      <c r="U438" s="4">
        <f t="shared" si="72"/>
        <v>941.78333333333342</v>
      </c>
      <c r="V438" s="4">
        <f t="shared" ca="1" si="73"/>
        <v>59</v>
      </c>
      <c r="W438" s="20">
        <f t="shared" ca="1" si="78"/>
        <v>36811.806332336557</v>
      </c>
      <c r="X438" s="4">
        <f t="shared" si="74"/>
        <v>-22864.760000000002</v>
      </c>
      <c r="Y438" s="13">
        <f t="shared" si="75"/>
        <v>-0.88533880585456526</v>
      </c>
    </row>
    <row r="439" spans="1:25" x14ac:dyDescent="0.3">
      <c r="A439" s="12" t="s">
        <v>920</v>
      </c>
      <c r="B439" s="7">
        <v>45262</v>
      </c>
      <c r="C439" s="4" t="s">
        <v>921</v>
      </c>
      <c r="D439" s="4" t="s">
        <v>50</v>
      </c>
      <c r="E439" s="4">
        <v>36198</v>
      </c>
      <c r="F439" s="4">
        <v>17.7</v>
      </c>
      <c r="G439" s="4">
        <v>60</v>
      </c>
      <c r="H439" s="4" t="s">
        <v>19</v>
      </c>
      <c r="I439" s="4" t="s">
        <v>27</v>
      </c>
      <c r="J439" s="4" t="s">
        <v>21</v>
      </c>
      <c r="K439" s="4">
        <v>65179</v>
      </c>
      <c r="L439" s="4" t="s">
        <v>22</v>
      </c>
      <c r="M439" s="4">
        <v>0.35</v>
      </c>
      <c r="N439" s="4">
        <v>0.87</v>
      </c>
      <c r="O439" s="4">
        <v>42605.05</v>
      </c>
      <c r="P439" s="4">
        <v>0</v>
      </c>
      <c r="Q439" s="6">
        <f t="shared" si="76"/>
        <v>913.2940207312397</v>
      </c>
      <c r="R439" s="6">
        <f t="shared" si="69"/>
        <v>18599.641243874379</v>
      </c>
      <c r="S439" s="4">
        <f t="shared" si="70"/>
        <v>41606.896551724138</v>
      </c>
      <c r="T439" s="4">
        <f t="shared" si="71"/>
        <v>5431.583333333333</v>
      </c>
      <c r="U439" s="4">
        <f t="shared" si="72"/>
        <v>1901.0541666666663</v>
      </c>
      <c r="V439" s="4">
        <f t="shared" ca="1" si="73"/>
        <v>27</v>
      </c>
      <c r="W439" s="20">
        <f t="shared" ca="1" si="78"/>
        <v>24658.93855974347</v>
      </c>
      <c r="X439" s="4">
        <f t="shared" si="74"/>
        <v>6407.0500000000029</v>
      </c>
      <c r="Y439" s="13">
        <f t="shared" si="75"/>
        <v>0.1770001105033428</v>
      </c>
    </row>
    <row r="440" spans="1:25" x14ac:dyDescent="0.3">
      <c r="A440" s="12" t="s">
        <v>922</v>
      </c>
      <c r="B440" s="7">
        <v>45131</v>
      </c>
      <c r="C440" s="4" t="s">
        <v>923</v>
      </c>
      <c r="D440" s="4" t="s">
        <v>50</v>
      </c>
      <c r="E440" s="4">
        <v>27630</v>
      </c>
      <c r="F440" s="4">
        <v>14</v>
      </c>
      <c r="G440" s="4">
        <v>60</v>
      </c>
      <c r="H440" s="4" t="s">
        <v>19</v>
      </c>
      <c r="I440" s="4" t="s">
        <v>36</v>
      </c>
      <c r="J440" s="4" t="s">
        <v>21</v>
      </c>
      <c r="K440" s="4">
        <v>147305</v>
      </c>
      <c r="L440" s="4" t="s">
        <v>29</v>
      </c>
      <c r="M440" s="4">
        <v>0.35</v>
      </c>
      <c r="N440" s="4">
        <v>0.64</v>
      </c>
      <c r="O440" s="4">
        <v>31498.2</v>
      </c>
      <c r="P440" s="4">
        <v>0</v>
      </c>
      <c r="Q440" s="6">
        <f t="shared" si="76"/>
        <v>642.90177096858213</v>
      </c>
      <c r="R440" s="6">
        <f t="shared" si="69"/>
        <v>10944.106258114931</v>
      </c>
      <c r="S440" s="4">
        <f t="shared" si="70"/>
        <v>43171.875</v>
      </c>
      <c r="T440" s="4">
        <f t="shared" si="71"/>
        <v>12275.416666666666</v>
      </c>
      <c r="U440" s="4">
        <f t="shared" si="72"/>
        <v>4296.395833333333</v>
      </c>
      <c r="V440" s="4">
        <f t="shared" ca="1" si="73"/>
        <v>31</v>
      </c>
      <c r="W440" s="20">
        <f t="shared" ca="1" si="78"/>
        <v>19929.954900026045</v>
      </c>
      <c r="X440" s="4">
        <f t="shared" si="74"/>
        <v>3868.2000000000007</v>
      </c>
      <c r="Y440" s="13">
        <f t="shared" si="75"/>
        <v>0.14000000000000001</v>
      </c>
    </row>
    <row r="441" spans="1:25" x14ac:dyDescent="0.3">
      <c r="A441" s="12" t="s">
        <v>924</v>
      </c>
      <c r="B441" s="7">
        <v>44594</v>
      </c>
      <c r="C441" s="4" t="s">
        <v>925</v>
      </c>
      <c r="D441" s="4" t="s">
        <v>40</v>
      </c>
      <c r="E441" s="4">
        <v>34226</v>
      </c>
      <c r="F441" s="4">
        <v>9.4</v>
      </c>
      <c r="G441" s="4">
        <v>36</v>
      </c>
      <c r="H441" s="4" t="s">
        <v>19</v>
      </c>
      <c r="I441" s="4" t="s">
        <v>27</v>
      </c>
      <c r="J441" s="4" t="s">
        <v>21</v>
      </c>
      <c r="K441" s="4">
        <v>142417</v>
      </c>
      <c r="L441" s="4" t="s">
        <v>33</v>
      </c>
      <c r="M441" s="4">
        <v>0.28000000000000003</v>
      </c>
      <c r="N441" s="4">
        <v>0.68</v>
      </c>
      <c r="O441" s="4">
        <v>37443.24</v>
      </c>
      <c r="P441" s="4">
        <v>0</v>
      </c>
      <c r="Q441" s="6">
        <f t="shared" si="76"/>
        <v>1094.7605247721738</v>
      </c>
      <c r="R441" s="6">
        <f t="shared" si="69"/>
        <v>5185.3788917982529</v>
      </c>
      <c r="S441" s="4">
        <f t="shared" si="70"/>
        <v>50332.352941176468</v>
      </c>
      <c r="T441" s="4">
        <f t="shared" si="71"/>
        <v>11868.083333333334</v>
      </c>
      <c r="U441" s="4">
        <f t="shared" si="72"/>
        <v>3323.063333333334</v>
      </c>
      <c r="V441" s="4">
        <f t="shared" ca="1" si="73"/>
        <v>49</v>
      </c>
      <c r="W441" s="20">
        <f t="shared" ca="1" si="78"/>
        <v>53643.265713836518</v>
      </c>
      <c r="X441" s="4">
        <f t="shared" si="74"/>
        <v>3217.239999999998</v>
      </c>
      <c r="Y441" s="13">
        <f t="shared" si="75"/>
        <v>9.3999883129784315E-2</v>
      </c>
    </row>
    <row r="442" spans="1:25" x14ac:dyDescent="0.3">
      <c r="A442" s="12" t="s">
        <v>926</v>
      </c>
      <c r="B442" s="7">
        <v>44830</v>
      </c>
      <c r="C442" s="4" t="s">
        <v>927</v>
      </c>
      <c r="D442" s="4" t="s">
        <v>40</v>
      </c>
      <c r="E442" s="4">
        <v>33975</v>
      </c>
      <c r="F442" s="4">
        <v>7.4</v>
      </c>
      <c r="G442" s="4">
        <v>36</v>
      </c>
      <c r="H442" s="4" t="s">
        <v>19</v>
      </c>
      <c r="I442" s="4" t="s">
        <v>27</v>
      </c>
      <c r="J442" s="4" t="s">
        <v>37</v>
      </c>
      <c r="K442" s="4">
        <v>55338</v>
      </c>
      <c r="L442" s="4" t="s">
        <v>22</v>
      </c>
      <c r="M442" s="4">
        <v>0.26</v>
      </c>
      <c r="N442" s="4">
        <v>0.73</v>
      </c>
      <c r="O442" s="4">
        <v>36489.15</v>
      </c>
      <c r="P442" s="4">
        <v>0</v>
      </c>
      <c r="Q442" s="6">
        <f t="shared" si="76"/>
        <v>1055.2740926883585</v>
      </c>
      <c r="R442" s="6">
        <f t="shared" si="69"/>
        <v>4014.8673367809024</v>
      </c>
      <c r="S442" s="4">
        <f t="shared" si="70"/>
        <v>46541.095890410958</v>
      </c>
      <c r="T442" s="4">
        <f t="shared" si="71"/>
        <v>4611.5</v>
      </c>
      <c r="U442" s="4">
        <f t="shared" si="72"/>
        <v>1198.99</v>
      </c>
      <c r="V442" s="4">
        <f t="shared" ca="1" si="73"/>
        <v>41</v>
      </c>
      <c r="W442" s="20">
        <f t="shared" ca="1" si="78"/>
        <v>43266.237800222698</v>
      </c>
      <c r="X442" s="4">
        <f t="shared" si="74"/>
        <v>2514.1500000000015</v>
      </c>
      <c r="Y442" s="13">
        <f t="shared" si="75"/>
        <v>7.4000000000000038E-2</v>
      </c>
    </row>
    <row r="443" spans="1:25" x14ac:dyDescent="0.3">
      <c r="A443" s="12" t="s">
        <v>928</v>
      </c>
      <c r="B443" s="7">
        <v>44929</v>
      </c>
      <c r="C443" s="4" t="s">
        <v>929</v>
      </c>
      <c r="D443" s="4" t="s">
        <v>56</v>
      </c>
      <c r="E443" s="4">
        <v>1899</v>
      </c>
      <c r="F443" s="4">
        <v>6.4</v>
      </c>
      <c r="G443" s="4">
        <v>36</v>
      </c>
      <c r="H443" s="4" t="s">
        <v>81</v>
      </c>
      <c r="I443" s="4" t="s">
        <v>57</v>
      </c>
      <c r="J443" s="4" t="s">
        <v>21</v>
      </c>
      <c r="K443" s="4">
        <v>122435</v>
      </c>
      <c r="L443" s="4" t="s">
        <v>22</v>
      </c>
      <c r="M443" s="4">
        <v>0.28000000000000003</v>
      </c>
      <c r="N443" s="4">
        <v>0.88</v>
      </c>
      <c r="O443" s="4">
        <v>487.5</v>
      </c>
      <c r="P443" s="4">
        <v>737.8</v>
      </c>
      <c r="Q443" s="6">
        <f t="shared" si="76"/>
        <v>58.116060679707822</v>
      </c>
      <c r="R443" s="6">
        <f t="shared" si="69"/>
        <v>193.17818446948149</v>
      </c>
      <c r="S443" s="4">
        <f t="shared" si="70"/>
        <v>2157.9545454545455</v>
      </c>
      <c r="T443" s="4">
        <f t="shared" si="71"/>
        <v>10202.916666666666</v>
      </c>
      <c r="U443" s="4">
        <f t="shared" si="72"/>
        <v>2856.8166666666666</v>
      </c>
      <c r="V443" s="4">
        <f t="shared" ca="1" si="73"/>
        <v>38</v>
      </c>
      <c r="W443" s="20">
        <v>0</v>
      </c>
      <c r="X443" s="4">
        <f t="shared" si="74"/>
        <v>-673.7</v>
      </c>
      <c r="Y443" s="13">
        <f t="shared" si="75"/>
        <v>-0.35476566614007377</v>
      </c>
    </row>
    <row r="444" spans="1:25" x14ac:dyDescent="0.3">
      <c r="A444" s="12" t="s">
        <v>930</v>
      </c>
      <c r="B444" s="7">
        <v>44431</v>
      </c>
      <c r="C444" s="4" t="s">
        <v>931</v>
      </c>
      <c r="D444" s="4" t="s">
        <v>56</v>
      </c>
      <c r="E444" s="4">
        <v>12653</v>
      </c>
      <c r="F444" s="4">
        <v>10.3</v>
      </c>
      <c r="G444" s="4">
        <v>60</v>
      </c>
      <c r="H444" s="4" t="s">
        <v>19</v>
      </c>
      <c r="I444" s="4" t="s">
        <v>20</v>
      </c>
      <c r="J444" s="4" t="s">
        <v>37</v>
      </c>
      <c r="K444" s="4">
        <v>99681</v>
      </c>
      <c r="L444" s="4" t="s">
        <v>33</v>
      </c>
      <c r="M444" s="4">
        <v>0.27</v>
      </c>
      <c r="N444" s="4">
        <v>0.79</v>
      </c>
      <c r="O444" s="4">
        <v>13956.26</v>
      </c>
      <c r="P444" s="4">
        <v>0</v>
      </c>
      <c r="Q444" s="6">
        <f t="shared" si="76"/>
        <v>270.71040067189944</v>
      </c>
      <c r="R444" s="6">
        <f t="shared" si="69"/>
        <v>3589.6240403139655</v>
      </c>
      <c r="S444" s="4">
        <f t="shared" si="70"/>
        <v>16016.455696202531</v>
      </c>
      <c r="T444" s="4">
        <f t="shared" si="71"/>
        <v>8306.75</v>
      </c>
      <c r="U444" s="4">
        <f t="shared" si="72"/>
        <v>2242.8225000000002</v>
      </c>
      <c r="V444" s="4">
        <f t="shared" ca="1" si="73"/>
        <v>54</v>
      </c>
      <c r="W444" s="20">
        <f t="shared" ref="W444:W455" ca="1" si="79">V444*Q444</f>
        <v>14618.361636282569</v>
      </c>
      <c r="X444" s="4">
        <f t="shared" si="74"/>
        <v>1303.2600000000002</v>
      </c>
      <c r="Y444" s="13">
        <f t="shared" si="75"/>
        <v>0.1030000790326405</v>
      </c>
    </row>
    <row r="445" spans="1:25" x14ac:dyDescent="0.3">
      <c r="A445" s="12" t="s">
        <v>932</v>
      </c>
      <c r="B445" s="7">
        <v>44854</v>
      </c>
      <c r="C445" s="4" t="s">
        <v>933</v>
      </c>
      <c r="D445" s="4" t="s">
        <v>46</v>
      </c>
      <c r="E445" s="4">
        <v>28961</v>
      </c>
      <c r="F445" s="4">
        <v>5.9</v>
      </c>
      <c r="G445" s="4">
        <v>36</v>
      </c>
      <c r="H445" s="4" t="s">
        <v>26</v>
      </c>
      <c r="I445" s="4" t="s">
        <v>27</v>
      </c>
      <c r="J445" s="4" t="s">
        <v>32</v>
      </c>
      <c r="K445" s="4">
        <v>62101</v>
      </c>
      <c r="L445" s="4" t="s">
        <v>33</v>
      </c>
      <c r="M445" s="4">
        <v>0.39</v>
      </c>
      <c r="N445" s="4">
        <v>0.78</v>
      </c>
      <c r="O445" s="4">
        <v>1542.14</v>
      </c>
      <c r="P445" s="4">
        <v>0</v>
      </c>
      <c r="Q445" s="6">
        <f t="shared" si="76"/>
        <v>879.73809988458322</v>
      </c>
      <c r="R445" s="6">
        <f t="shared" si="69"/>
        <v>2709.5715958449946</v>
      </c>
      <c r="S445" s="4">
        <f t="shared" si="70"/>
        <v>37129.48717948718</v>
      </c>
      <c r="T445" s="4">
        <f t="shared" si="71"/>
        <v>5175.083333333333</v>
      </c>
      <c r="U445" s="4">
        <f t="shared" si="72"/>
        <v>2018.2825</v>
      </c>
      <c r="V445" s="4">
        <f t="shared" ca="1" si="73"/>
        <v>40</v>
      </c>
      <c r="W445" s="20">
        <f t="shared" ca="1" si="79"/>
        <v>35189.52399538333</v>
      </c>
      <c r="X445" s="4">
        <f t="shared" si="74"/>
        <v>-27418.86</v>
      </c>
      <c r="Y445" s="13">
        <f t="shared" si="75"/>
        <v>-0.94675114809571492</v>
      </c>
    </row>
    <row r="446" spans="1:25" x14ac:dyDescent="0.3">
      <c r="A446" s="12" t="s">
        <v>934</v>
      </c>
      <c r="B446" s="7">
        <v>44947</v>
      </c>
      <c r="C446" s="4" t="s">
        <v>935</v>
      </c>
      <c r="D446" s="4" t="s">
        <v>76</v>
      </c>
      <c r="E446" s="4">
        <v>17405</v>
      </c>
      <c r="F446" s="4">
        <v>16.3</v>
      </c>
      <c r="G446" s="4">
        <v>60</v>
      </c>
      <c r="H446" s="4" t="s">
        <v>19</v>
      </c>
      <c r="I446" s="4" t="s">
        <v>57</v>
      </c>
      <c r="J446" s="4" t="s">
        <v>47</v>
      </c>
      <c r="K446" s="4">
        <v>32775</v>
      </c>
      <c r="L446" s="4" t="s">
        <v>22</v>
      </c>
      <c r="M446" s="4">
        <v>0.15</v>
      </c>
      <c r="N446" s="4">
        <v>0.57999999999999996</v>
      </c>
      <c r="O446" s="4">
        <v>20242.02</v>
      </c>
      <c r="P446" s="4">
        <v>0</v>
      </c>
      <c r="Q446" s="6">
        <f t="shared" si="76"/>
        <v>426.0351380084121</v>
      </c>
      <c r="R446" s="6">
        <f t="shared" si="69"/>
        <v>8157.1082805047263</v>
      </c>
      <c r="S446" s="4">
        <f t="shared" si="70"/>
        <v>30008.620689655174</v>
      </c>
      <c r="T446" s="4">
        <f t="shared" si="71"/>
        <v>2731.25</v>
      </c>
      <c r="U446" s="4">
        <f t="shared" si="72"/>
        <v>409.6875</v>
      </c>
      <c r="V446" s="4">
        <f t="shared" ca="1" si="73"/>
        <v>37</v>
      </c>
      <c r="W446" s="20">
        <f t="shared" ca="1" si="79"/>
        <v>15763.300106311248</v>
      </c>
      <c r="X446" s="4">
        <f t="shared" si="74"/>
        <v>2837.0200000000004</v>
      </c>
      <c r="Y446" s="13">
        <f t="shared" si="75"/>
        <v>0.16300028727377194</v>
      </c>
    </row>
    <row r="447" spans="1:25" x14ac:dyDescent="0.3">
      <c r="A447" s="12" t="s">
        <v>936</v>
      </c>
      <c r="B447" s="7">
        <v>44784</v>
      </c>
      <c r="C447" s="4" t="s">
        <v>937</v>
      </c>
      <c r="D447" s="4" t="s">
        <v>65</v>
      </c>
      <c r="E447" s="4">
        <v>9601</v>
      </c>
      <c r="F447" s="4">
        <v>10.7</v>
      </c>
      <c r="G447" s="4">
        <v>60</v>
      </c>
      <c r="H447" s="4" t="s">
        <v>19</v>
      </c>
      <c r="I447" s="4" t="s">
        <v>84</v>
      </c>
      <c r="J447" s="4" t="s">
        <v>47</v>
      </c>
      <c r="K447" s="4">
        <v>141497</v>
      </c>
      <c r="L447" s="4" t="s">
        <v>33</v>
      </c>
      <c r="M447" s="4">
        <v>0.18</v>
      </c>
      <c r="N447" s="4">
        <v>0.73</v>
      </c>
      <c r="O447" s="4">
        <v>10628.31</v>
      </c>
      <c r="P447" s="4">
        <v>0</v>
      </c>
      <c r="Q447" s="6">
        <f t="shared" si="76"/>
        <v>207.31544634554885</v>
      </c>
      <c r="R447" s="6">
        <f t="shared" si="69"/>
        <v>2837.9267807329306</v>
      </c>
      <c r="S447" s="4">
        <f t="shared" si="70"/>
        <v>13152.054794520549</v>
      </c>
      <c r="T447" s="4">
        <f t="shared" si="71"/>
        <v>11791.416666666666</v>
      </c>
      <c r="U447" s="4">
        <f t="shared" si="72"/>
        <v>2122.4549999999999</v>
      </c>
      <c r="V447" s="4">
        <f t="shared" ca="1" si="73"/>
        <v>43</v>
      </c>
      <c r="W447" s="20">
        <f t="shared" ca="1" si="79"/>
        <v>8914.564192858601</v>
      </c>
      <c r="X447" s="4">
        <f t="shared" si="74"/>
        <v>1027.3099999999995</v>
      </c>
      <c r="Y447" s="13">
        <f t="shared" si="75"/>
        <v>0.10700031246745126</v>
      </c>
    </row>
    <row r="448" spans="1:25" x14ac:dyDescent="0.3">
      <c r="A448" s="12" t="s">
        <v>938</v>
      </c>
      <c r="B448" s="7">
        <v>45229</v>
      </c>
      <c r="C448" s="4" t="s">
        <v>939</v>
      </c>
      <c r="D448" s="4" t="s">
        <v>53</v>
      </c>
      <c r="E448" s="4">
        <v>34662</v>
      </c>
      <c r="F448" s="4">
        <v>21.5</v>
      </c>
      <c r="G448" s="4">
        <v>36</v>
      </c>
      <c r="H448" s="4" t="s">
        <v>19</v>
      </c>
      <c r="I448" s="4" t="s">
        <v>20</v>
      </c>
      <c r="J448" s="4" t="s">
        <v>28</v>
      </c>
      <c r="K448" s="4">
        <v>127183</v>
      </c>
      <c r="L448" s="4" t="s">
        <v>22</v>
      </c>
      <c r="M448" s="4">
        <v>0.17</v>
      </c>
      <c r="N448" s="4">
        <v>0.82</v>
      </c>
      <c r="O448" s="4">
        <v>42114.33</v>
      </c>
      <c r="P448" s="4">
        <v>0</v>
      </c>
      <c r="Q448" s="6">
        <f t="shared" si="76"/>
        <v>1314.8084716549702</v>
      </c>
      <c r="R448" s="6">
        <f t="shared" si="69"/>
        <v>12671.104979578929</v>
      </c>
      <c r="S448" s="4">
        <f t="shared" si="70"/>
        <v>42270.731707317078</v>
      </c>
      <c r="T448" s="4">
        <f t="shared" si="71"/>
        <v>10598.583333333334</v>
      </c>
      <c r="U448" s="4">
        <f t="shared" si="72"/>
        <v>1801.7591666666669</v>
      </c>
      <c r="V448" s="4">
        <f t="shared" ca="1" si="73"/>
        <v>28</v>
      </c>
      <c r="W448" s="20">
        <f t="shared" ca="1" si="79"/>
        <v>36814.637206339161</v>
      </c>
      <c r="X448" s="4">
        <f t="shared" si="74"/>
        <v>7452.3300000000017</v>
      </c>
      <c r="Y448" s="13">
        <f t="shared" si="75"/>
        <v>0.21500000000000005</v>
      </c>
    </row>
    <row r="449" spans="1:25" x14ac:dyDescent="0.3">
      <c r="A449" s="12" t="s">
        <v>940</v>
      </c>
      <c r="B449" s="7">
        <v>45150</v>
      </c>
      <c r="C449" s="4" t="s">
        <v>941</v>
      </c>
      <c r="D449" s="4" t="s">
        <v>40</v>
      </c>
      <c r="E449" s="4">
        <v>34282</v>
      </c>
      <c r="F449" s="4">
        <v>6.5</v>
      </c>
      <c r="G449" s="4">
        <v>36</v>
      </c>
      <c r="H449" s="4" t="s">
        <v>19</v>
      </c>
      <c r="I449" s="4" t="s">
        <v>57</v>
      </c>
      <c r="J449" s="4" t="s">
        <v>32</v>
      </c>
      <c r="K449" s="4">
        <v>75619</v>
      </c>
      <c r="L449" s="4" t="s">
        <v>33</v>
      </c>
      <c r="M449" s="4">
        <v>0.2</v>
      </c>
      <c r="N449" s="4">
        <v>0.94</v>
      </c>
      <c r="O449" s="4">
        <v>36510.33</v>
      </c>
      <c r="P449" s="4">
        <v>0</v>
      </c>
      <c r="Q449" s="6">
        <f t="shared" si="76"/>
        <v>1050.7091166125085</v>
      </c>
      <c r="R449" s="6">
        <f t="shared" si="69"/>
        <v>3543.5281980503059</v>
      </c>
      <c r="S449" s="4">
        <f t="shared" si="70"/>
        <v>36470.212765957447</v>
      </c>
      <c r="T449" s="4">
        <f t="shared" si="71"/>
        <v>6301.583333333333</v>
      </c>
      <c r="U449" s="4">
        <f t="shared" si="72"/>
        <v>1260.3166666666666</v>
      </c>
      <c r="V449" s="4">
        <f t="shared" ca="1" si="73"/>
        <v>31</v>
      </c>
      <c r="W449" s="20">
        <f t="shared" ca="1" si="79"/>
        <v>32571.982614987763</v>
      </c>
      <c r="X449" s="4">
        <f t="shared" si="74"/>
        <v>2228.3300000000017</v>
      </c>
      <c r="Y449" s="13">
        <f t="shared" si="75"/>
        <v>6.5000000000000058E-2</v>
      </c>
    </row>
    <row r="450" spans="1:25" x14ac:dyDescent="0.3">
      <c r="A450" s="12" t="s">
        <v>942</v>
      </c>
      <c r="B450" s="7">
        <v>44688</v>
      </c>
      <c r="C450" s="4" t="s">
        <v>943</v>
      </c>
      <c r="D450" s="4" t="s">
        <v>65</v>
      </c>
      <c r="E450" s="4">
        <v>22288</v>
      </c>
      <c r="F450" s="4">
        <v>9.5</v>
      </c>
      <c r="G450" s="4">
        <v>60</v>
      </c>
      <c r="H450" s="4" t="s">
        <v>19</v>
      </c>
      <c r="I450" s="4" t="s">
        <v>57</v>
      </c>
      <c r="J450" s="4" t="s">
        <v>21</v>
      </c>
      <c r="K450" s="4">
        <v>75838</v>
      </c>
      <c r="L450" s="4" t="s">
        <v>22</v>
      </c>
      <c r="M450" s="4">
        <v>0.31</v>
      </c>
      <c r="N450" s="4">
        <v>0.59</v>
      </c>
      <c r="O450" s="4">
        <v>24405.360000000001</v>
      </c>
      <c r="P450" s="4">
        <v>0</v>
      </c>
      <c r="Q450" s="6">
        <f t="shared" si="76"/>
        <v>468.0894848709392</v>
      </c>
      <c r="R450" s="6">
        <f t="shared" ref="R450:R513" si="80">(Q450*G450)-E450</f>
        <v>5797.369092256351</v>
      </c>
      <c r="S450" s="4">
        <f t="shared" ref="S450:S513" si="81">E450 / N450</f>
        <v>37776.271186440681</v>
      </c>
      <c r="T450" s="4">
        <f t="shared" ref="T450:T513" si="82">K450/12</f>
        <v>6319.833333333333</v>
      </c>
      <c r="U450" s="4">
        <f t="shared" ref="U450:U513" si="83">M450*T450</f>
        <v>1959.1483333333333</v>
      </c>
      <c r="V450" s="4">
        <f t="shared" ref="V450:V513" ca="1" si="84">DATEDIF(B450, TODAY(), "m")</f>
        <v>46</v>
      </c>
      <c r="W450" s="20">
        <f t="shared" ca="1" si="79"/>
        <v>21532.116304063202</v>
      </c>
      <c r="X450" s="4">
        <f t="shared" ref="X450:X513" si="85">(O450 + P450) - E450</f>
        <v>2117.3600000000006</v>
      </c>
      <c r="Y450" s="13">
        <f t="shared" ref="Y450:Y513" si="86">(X450/E450)</f>
        <v>9.5000000000000029E-2</v>
      </c>
    </row>
    <row r="451" spans="1:25" x14ac:dyDescent="0.3">
      <c r="A451" s="12" t="s">
        <v>944</v>
      </c>
      <c r="B451" s="7">
        <v>45109</v>
      </c>
      <c r="C451" s="4" t="s">
        <v>945</v>
      </c>
      <c r="D451" s="4" t="s">
        <v>65</v>
      </c>
      <c r="E451" s="4">
        <v>30545</v>
      </c>
      <c r="F451" s="4">
        <v>19.600000000000001</v>
      </c>
      <c r="G451" s="4">
        <v>60</v>
      </c>
      <c r="H451" s="4" t="s">
        <v>26</v>
      </c>
      <c r="I451" s="4" t="s">
        <v>36</v>
      </c>
      <c r="J451" s="4" t="s">
        <v>21</v>
      </c>
      <c r="K451" s="4">
        <v>49539</v>
      </c>
      <c r="L451" s="4" t="s">
        <v>33</v>
      </c>
      <c r="M451" s="4">
        <v>0.14000000000000001</v>
      </c>
      <c r="N451" s="4">
        <v>0.5</v>
      </c>
      <c r="O451" s="4">
        <v>5878.95</v>
      </c>
      <c r="P451" s="4">
        <v>0</v>
      </c>
      <c r="Q451" s="6">
        <f t="shared" ref="Q451:Q514" si="87">PMT(F451/100/12, G451, -E451)</f>
        <v>802.47242905521182</v>
      </c>
      <c r="R451" s="6">
        <f t="shared" si="80"/>
        <v>17603.345743312711</v>
      </c>
      <c r="S451" s="4">
        <f t="shared" si="81"/>
        <v>61090</v>
      </c>
      <c r="T451" s="4">
        <f t="shared" si="82"/>
        <v>4128.25</v>
      </c>
      <c r="U451" s="4">
        <f t="shared" si="83"/>
        <v>577.95500000000004</v>
      </c>
      <c r="V451" s="4">
        <f t="shared" ca="1" si="84"/>
        <v>32</v>
      </c>
      <c r="W451" s="20">
        <f t="shared" ca="1" si="79"/>
        <v>25679.117729766778</v>
      </c>
      <c r="X451" s="4">
        <f t="shared" si="85"/>
        <v>-24666.05</v>
      </c>
      <c r="Y451" s="13">
        <f t="shared" si="86"/>
        <v>-0.80753151088557862</v>
      </c>
    </row>
    <row r="452" spans="1:25" x14ac:dyDescent="0.3">
      <c r="A452" s="12" t="s">
        <v>946</v>
      </c>
      <c r="B452" s="7">
        <v>44366</v>
      </c>
      <c r="C452" s="4" t="s">
        <v>947</v>
      </c>
      <c r="D452" s="4" t="s">
        <v>76</v>
      </c>
      <c r="E452" s="4">
        <v>37877</v>
      </c>
      <c r="F452" s="4">
        <v>17</v>
      </c>
      <c r="G452" s="4">
        <v>36</v>
      </c>
      <c r="H452" s="4" t="s">
        <v>19</v>
      </c>
      <c r="I452" s="4" t="s">
        <v>20</v>
      </c>
      <c r="J452" s="4" t="s">
        <v>32</v>
      </c>
      <c r="K452" s="4">
        <v>132274</v>
      </c>
      <c r="L452" s="4" t="s">
        <v>33</v>
      </c>
      <c r="M452" s="4">
        <v>0.45</v>
      </c>
      <c r="N452" s="4">
        <v>0.53</v>
      </c>
      <c r="O452" s="4">
        <v>44316.09</v>
      </c>
      <c r="P452" s="4">
        <v>0</v>
      </c>
      <c r="Q452" s="6">
        <f t="shared" si="87"/>
        <v>1350.4183605305082</v>
      </c>
      <c r="R452" s="6">
        <f t="shared" si="80"/>
        <v>10738.060979098293</v>
      </c>
      <c r="S452" s="4">
        <f t="shared" si="81"/>
        <v>71466.037735849051</v>
      </c>
      <c r="T452" s="4">
        <f t="shared" si="82"/>
        <v>11022.833333333334</v>
      </c>
      <c r="U452" s="4">
        <f t="shared" si="83"/>
        <v>4960.2750000000005</v>
      </c>
      <c r="V452" s="4">
        <f t="shared" ca="1" si="84"/>
        <v>57</v>
      </c>
      <c r="W452" s="20">
        <f t="shared" ca="1" si="79"/>
        <v>76973.846550238959</v>
      </c>
      <c r="X452" s="4">
        <f t="shared" si="85"/>
        <v>6439.0899999999965</v>
      </c>
      <c r="Y452" s="13">
        <f t="shared" si="86"/>
        <v>0.1699999999999999</v>
      </c>
    </row>
    <row r="453" spans="1:25" x14ac:dyDescent="0.3">
      <c r="A453" s="12" t="s">
        <v>948</v>
      </c>
      <c r="B453" s="7">
        <v>45142</v>
      </c>
      <c r="C453" s="4" t="s">
        <v>949</v>
      </c>
      <c r="D453" s="4" t="s">
        <v>25</v>
      </c>
      <c r="E453" s="4">
        <v>16313</v>
      </c>
      <c r="F453" s="4">
        <v>6.3</v>
      </c>
      <c r="G453" s="4">
        <v>36</v>
      </c>
      <c r="H453" s="4" t="s">
        <v>19</v>
      </c>
      <c r="I453" s="4" t="s">
        <v>20</v>
      </c>
      <c r="J453" s="4" t="s">
        <v>21</v>
      </c>
      <c r="K453" s="4">
        <v>87124</v>
      </c>
      <c r="L453" s="4" t="s">
        <v>29</v>
      </c>
      <c r="M453" s="4">
        <v>0.22</v>
      </c>
      <c r="N453" s="4">
        <v>0.67</v>
      </c>
      <c r="O453" s="4">
        <v>17340.72</v>
      </c>
      <c r="P453" s="4">
        <v>0</v>
      </c>
      <c r="Q453" s="6">
        <f t="shared" si="87"/>
        <v>498.49352201318197</v>
      </c>
      <c r="R453" s="6">
        <f t="shared" si="80"/>
        <v>1632.766792474551</v>
      </c>
      <c r="S453" s="4">
        <f t="shared" si="81"/>
        <v>24347.761194029848</v>
      </c>
      <c r="T453" s="4">
        <f t="shared" si="82"/>
        <v>7260.333333333333</v>
      </c>
      <c r="U453" s="4">
        <f t="shared" si="83"/>
        <v>1597.2733333333333</v>
      </c>
      <c r="V453" s="4">
        <f t="shared" ca="1" si="84"/>
        <v>31</v>
      </c>
      <c r="W453" s="20">
        <f t="shared" ca="1" si="79"/>
        <v>15453.299182408642</v>
      </c>
      <c r="X453" s="4">
        <f t="shared" si="85"/>
        <v>1027.7200000000012</v>
      </c>
      <c r="Y453" s="13">
        <f t="shared" si="86"/>
        <v>6.3000061300803115E-2</v>
      </c>
    </row>
    <row r="454" spans="1:25" x14ac:dyDescent="0.3">
      <c r="A454" s="12" t="s">
        <v>950</v>
      </c>
      <c r="B454" s="7">
        <v>44991</v>
      </c>
      <c r="C454" s="4" t="s">
        <v>951</v>
      </c>
      <c r="D454" s="4" t="s">
        <v>25</v>
      </c>
      <c r="E454" s="4">
        <v>16349</v>
      </c>
      <c r="F454" s="4">
        <v>22.5</v>
      </c>
      <c r="G454" s="4">
        <v>36</v>
      </c>
      <c r="H454" s="4" t="s">
        <v>19</v>
      </c>
      <c r="I454" s="4" t="s">
        <v>20</v>
      </c>
      <c r="J454" s="4" t="s">
        <v>28</v>
      </c>
      <c r="K454" s="4">
        <v>95149</v>
      </c>
      <c r="L454" s="4" t="s">
        <v>29</v>
      </c>
      <c r="M454" s="4">
        <v>0.17</v>
      </c>
      <c r="N454" s="4">
        <v>0.87</v>
      </c>
      <c r="O454" s="4">
        <v>20027.53</v>
      </c>
      <c r="P454" s="4">
        <v>0</v>
      </c>
      <c r="Q454" s="6">
        <f t="shared" si="87"/>
        <v>628.61256401633307</v>
      </c>
      <c r="R454" s="6">
        <f t="shared" si="80"/>
        <v>6281.0523045879891</v>
      </c>
      <c r="S454" s="4">
        <f t="shared" si="81"/>
        <v>18791.954022988506</v>
      </c>
      <c r="T454" s="4">
        <f t="shared" si="82"/>
        <v>7929.083333333333</v>
      </c>
      <c r="U454" s="4">
        <f t="shared" si="83"/>
        <v>1347.9441666666667</v>
      </c>
      <c r="V454" s="4">
        <f t="shared" ca="1" si="84"/>
        <v>36</v>
      </c>
      <c r="W454" s="20">
        <f t="shared" ca="1" si="79"/>
        <v>22630.052304587989</v>
      </c>
      <c r="X454" s="4">
        <f t="shared" si="85"/>
        <v>3678.5299999999988</v>
      </c>
      <c r="Y454" s="13">
        <f t="shared" si="86"/>
        <v>0.22500030582910263</v>
      </c>
    </row>
    <row r="455" spans="1:25" x14ac:dyDescent="0.3">
      <c r="A455" s="12" t="s">
        <v>952</v>
      </c>
      <c r="B455" s="7">
        <v>44830</v>
      </c>
      <c r="C455" s="4" t="s">
        <v>953</v>
      </c>
      <c r="D455" s="4" t="s">
        <v>40</v>
      </c>
      <c r="E455" s="4">
        <v>8179</v>
      </c>
      <c r="F455" s="4">
        <v>22.5</v>
      </c>
      <c r="G455" s="4">
        <v>60</v>
      </c>
      <c r="H455" s="4" t="s">
        <v>19</v>
      </c>
      <c r="I455" s="4" t="s">
        <v>84</v>
      </c>
      <c r="J455" s="4" t="s">
        <v>37</v>
      </c>
      <c r="K455" s="4">
        <v>56616</v>
      </c>
      <c r="L455" s="4" t="s">
        <v>29</v>
      </c>
      <c r="M455" s="4">
        <v>0.37</v>
      </c>
      <c r="N455" s="4">
        <v>0.5</v>
      </c>
      <c r="O455" s="4">
        <v>10019.280000000001</v>
      </c>
      <c r="P455" s="4">
        <v>0</v>
      </c>
      <c r="Q455" s="6">
        <f t="shared" si="87"/>
        <v>228.22636709026978</v>
      </c>
      <c r="R455" s="6">
        <f t="shared" si="80"/>
        <v>5514.5820254161863</v>
      </c>
      <c r="S455" s="4">
        <f t="shared" si="81"/>
        <v>16358</v>
      </c>
      <c r="T455" s="4">
        <f t="shared" si="82"/>
        <v>4718</v>
      </c>
      <c r="U455" s="4">
        <f t="shared" si="83"/>
        <v>1745.66</v>
      </c>
      <c r="V455" s="4">
        <f t="shared" ca="1" si="84"/>
        <v>41</v>
      </c>
      <c r="W455" s="20">
        <f t="shared" ca="1" si="79"/>
        <v>9357.2810507010599</v>
      </c>
      <c r="X455" s="4">
        <f t="shared" si="85"/>
        <v>1840.2800000000007</v>
      </c>
      <c r="Y455" s="13">
        <f t="shared" si="86"/>
        <v>0.22500061132167753</v>
      </c>
    </row>
    <row r="456" spans="1:25" x14ac:dyDescent="0.3">
      <c r="A456" s="12" t="s">
        <v>954</v>
      </c>
      <c r="B456" s="7">
        <v>44225</v>
      </c>
      <c r="C456" s="4" t="s">
        <v>955</v>
      </c>
      <c r="D456" s="4" t="s">
        <v>72</v>
      </c>
      <c r="E456" s="4">
        <v>11326</v>
      </c>
      <c r="F456" s="4">
        <v>11.6</v>
      </c>
      <c r="G456" s="4">
        <v>60</v>
      </c>
      <c r="H456" s="4" t="s">
        <v>81</v>
      </c>
      <c r="I456" s="4" t="s">
        <v>20</v>
      </c>
      <c r="J456" s="4" t="s">
        <v>47</v>
      </c>
      <c r="K456" s="4">
        <v>109655</v>
      </c>
      <c r="L456" s="4" t="s">
        <v>33</v>
      </c>
      <c r="M456" s="4">
        <v>0.12</v>
      </c>
      <c r="N456" s="4">
        <v>0.71</v>
      </c>
      <c r="O456" s="4">
        <v>3433.56</v>
      </c>
      <c r="P456" s="4">
        <v>1960.48</v>
      </c>
      <c r="Q456" s="6">
        <f t="shared" si="87"/>
        <v>249.65724138764469</v>
      </c>
      <c r="R456" s="6">
        <f t="shared" si="80"/>
        <v>3653.4344832586812</v>
      </c>
      <c r="S456" s="4">
        <f t="shared" si="81"/>
        <v>15952.112676056338</v>
      </c>
      <c r="T456" s="4">
        <f t="shared" si="82"/>
        <v>9137.9166666666661</v>
      </c>
      <c r="U456" s="4">
        <f t="shared" si="83"/>
        <v>1096.55</v>
      </c>
      <c r="V456" s="4">
        <f t="shared" ca="1" si="84"/>
        <v>61</v>
      </c>
      <c r="W456" s="20">
        <v>0</v>
      </c>
      <c r="X456" s="4">
        <f t="shared" si="85"/>
        <v>-5931.96</v>
      </c>
      <c r="Y456" s="13">
        <f t="shared" si="86"/>
        <v>-0.52374713049620347</v>
      </c>
    </row>
    <row r="457" spans="1:25" x14ac:dyDescent="0.3">
      <c r="A457" s="12" t="s">
        <v>956</v>
      </c>
      <c r="B457" s="7">
        <v>44535</v>
      </c>
      <c r="C457" s="4" t="s">
        <v>957</v>
      </c>
      <c r="D457" s="4" t="s">
        <v>76</v>
      </c>
      <c r="E457" s="4">
        <v>2560</v>
      </c>
      <c r="F457" s="4">
        <v>11.8</v>
      </c>
      <c r="G457" s="4">
        <v>60</v>
      </c>
      <c r="H457" s="4" t="s">
        <v>19</v>
      </c>
      <c r="I457" s="4" t="s">
        <v>20</v>
      </c>
      <c r="J457" s="4" t="s">
        <v>32</v>
      </c>
      <c r="K457" s="4">
        <v>120695</v>
      </c>
      <c r="L457" s="4" t="s">
        <v>22</v>
      </c>
      <c r="M457" s="4">
        <v>0.35</v>
      </c>
      <c r="N457" s="4">
        <v>0.65</v>
      </c>
      <c r="O457" s="4">
        <v>2862.08</v>
      </c>
      <c r="P457" s="4">
        <v>0</v>
      </c>
      <c r="Q457" s="6">
        <f t="shared" si="87"/>
        <v>56.68739380673663</v>
      </c>
      <c r="R457" s="6">
        <f t="shared" si="80"/>
        <v>841.24362840419781</v>
      </c>
      <c r="S457" s="4">
        <f t="shared" si="81"/>
        <v>3938.4615384615381</v>
      </c>
      <c r="T457" s="4">
        <f t="shared" si="82"/>
        <v>10057.916666666666</v>
      </c>
      <c r="U457" s="4">
        <f t="shared" si="83"/>
        <v>3520.270833333333</v>
      </c>
      <c r="V457" s="4">
        <f t="shared" ca="1" si="84"/>
        <v>51</v>
      </c>
      <c r="W457" s="20">
        <f t="shared" ref="W457:W463" ca="1" si="88">V457*Q457</f>
        <v>2891.0570841435683</v>
      </c>
      <c r="X457" s="4">
        <f t="shared" si="85"/>
        <v>302.07999999999993</v>
      </c>
      <c r="Y457" s="13">
        <f t="shared" si="86"/>
        <v>0.11799999999999997</v>
      </c>
    </row>
    <row r="458" spans="1:25" x14ac:dyDescent="0.3">
      <c r="A458" s="12" t="s">
        <v>958</v>
      </c>
      <c r="B458" s="7">
        <v>44696</v>
      </c>
      <c r="C458" s="4" t="s">
        <v>959</v>
      </c>
      <c r="D458" s="4" t="s">
        <v>76</v>
      </c>
      <c r="E458" s="4">
        <v>14612</v>
      </c>
      <c r="F458" s="4">
        <v>24.8</v>
      </c>
      <c r="G458" s="4">
        <v>60</v>
      </c>
      <c r="H458" s="4" t="s">
        <v>19</v>
      </c>
      <c r="I458" s="4" t="s">
        <v>20</v>
      </c>
      <c r="J458" s="4" t="s">
        <v>47</v>
      </c>
      <c r="K458" s="4">
        <v>84567</v>
      </c>
      <c r="L458" s="4" t="s">
        <v>33</v>
      </c>
      <c r="M458" s="4">
        <v>0.38</v>
      </c>
      <c r="N458" s="4">
        <v>0.52</v>
      </c>
      <c r="O458" s="4">
        <v>18235.78</v>
      </c>
      <c r="P458" s="4">
        <v>0</v>
      </c>
      <c r="Q458" s="6">
        <f t="shared" si="87"/>
        <v>427.1699315881404</v>
      </c>
      <c r="R458" s="6">
        <f t="shared" si="80"/>
        <v>11018.195895288423</v>
      </c>
      <c r="S458" s="4">
        <f t="shared" si="81"/>
        <v>28100</v>
      </c>
      <c r="T458" s="4">
        <f t="shared" si="82"/>
        <v>7047.25</v>
      </c>
      <c r="U458" s="4">
        <f t="shared" si="83"/>
        <v>2677.9549999999999</v>
      </c>
      <c r="V458" s="4">
        <f t="shared" ca="1" si="84"/>
        <v>46</v>
      </c>
      <c r="W458" s="20">
        <f t="shared" ca="1" si="88"/>
        <v>19649.816853054457</v>
      </c>
      <c r="X458" s="4">
        <f t="shared" si="85"/>
        <v>3623.7799999999988</v>
      </c>
      <c r="Y458" s="13">
        <f t="shared" si="86"/>
        <v>0.24800027374760464</v>
      </c>
    </row>
    <row r="459" spans="1:25" x14ac:dyDescent="0.3">
      <c r="A459" s="12" t="s">
        <v>960</v>
      </c>
      <c r="B459" s="7">
        <v>44707</v>
      </c>
      <c r="C459" s="4" t="s">
        <v>961</v>
      </c>
      <c r="D459" s="4" t="s">
        <v>18</v>
      </c>
      <c r="E459" s="4">
        <v>18650</v>
      </c>
      <c r="F459" s="4">
        <v>17.5</v>
      </c>
      <c r="G459" s="4">
        <v>60</v>
      </c>
      <c r="H459" s="4" t="s">
        <v>19</v>
      </c>
      <c r="I459" s="4" t="s">
        <v>27</v>
      </c>
      <c r="J459" s="4" t="s">
        <v>37</v>
      </c>
      <c r="K459" s="4">
        <v>67099</v>
      </c>
      <c r="L459" s="4" t="s">
        <v>29</v>
      </c>
      <c r="M459" s="4">
        <v>0.19</v>
      </c>
      <c r="N459" s="4">
        <v>0.7</v>
      </c>
      <c r="O459" s="4">
        <v>21913.75</v>
      </c>
      <c r="P459" s="4">
        <v>0</v>
      </c>
      <c r="Q459" s="6">
        <f t="shared" si="87"/>
        <v>468.52928600570027</v>
      </c>
      <c r="R459" s="6">
        <f t="shared" si="80"/>
        <v>9461.7571603420147</v>
      </c>
      <c r="S459" s="4">
        <f t="shared" si="81"/>
        <v>26642.857142857145</v>
      </c>
      <c r="T459" s="4">
        <f t="shared" si="82"/>
        <v>5591.583333333333</v>
      </c>
      <c r="U459" s="4">
        <f t="shared" si="83"/>
        <v>1062.4008333333334</v>
      </c>
      <c r="V459" s="4">
        <f t="shared" ca="1" si="84"/>
        <v>45</v>
      </c>
      <c r="W459" s="20">
        <f t="shared" ca="1" si="88"/>
        <v>21083.817870256513</v>
      </c>
      <c r="X459" s="4">
        <f t="shared" si="85"/>
        <v>3263.75</v>
      </c>
      <c r="Y459" s="13">
        <f t="shared" si="86"/>
        <v>0.17499999999999999</v>
      </c>
    </row>
    <row r="460" spans="1:25" x14ac:dyDescent="0.3">
      <c r="A460" s="12" t="s">
        <v>962</v>
      </c>
      <c r="B460" s="7">
        <v>44413</v>
      </c>
      <c r="C460" s="4" t="s">
        <v>963</v>
      </c>
      <c r="D460" s="4" t="s">
        <v>65</v>
      </c>
      <c r="E460" s="4">
        <v>27745</v>
      </c>
      <c r="F460" s="4">
        <v>15.6</v>
      </c>
      <c r="G460" s="4">
        <v>36</v>
      </c>
      <c r="H460" s="4" t="s">
        <v>60</v>
      </c>
      <c r="I460" s="4" t="s">
        <v>20</v>
      </c>
      <c r="J460" s="4" t="s">
        <v>32</v>
      </c>
      <c r="K460" s="4">
        <v>105831</v>
      </c>
      <c r="L460" s="4" t="s">
        <v>33</v>
      </c>
      <c r="M460" s="4">
        <v>0.12</v>
      </c>
      <c r="N460" s="4">
        <v>0.61</v>
      </c>
      <c r="O460" s="4">
        <v>0</v>
      </c>
      <c r="P460" s="4">
        <v>0</v>
      </c>
      <c r="Q460" s="6">
        <f t="shared" si="87"/>
        <v>969.96163555344776</v>
      </c>
      <c r="R460" s="6">
        <f t="shared" si="80"/>
        <v>7173.6188799241208</v>
      </c>
      <c r="S460" s="4">
        <f t="shared" si="81"/>
        <v>45483.606557377047</v>
      </c>
      <c r="T460" s="4">
        <f t="shared" si="82"/>
        <v>8819.25</v>
      </c>
      <c r="U460" s="4">
        <f t="shared" si="83"/>
        <v>1058.31</v>
      </c>
      <c r="V460" s="4">
        <f t="shared" ca="1" si="84"/>
        <v>55</v>
      </c>
      <c r="W460" s="20">
        <f t="shared" ca="1" si="88"/>
        <v>53347.889955439627</v>
      </c>
      <c r="X460" s="4">
        <f t="shared" si="85"/>
        <v>-27745</v>
      </c>
      <c r="Y460" s="13">
        <f t="shared" si="86"/>
        <v>-1</v>
      </c>
    </row>
    <row r="461" spans="1:25" x14ac:dyDescent="0.3">
      <c r="A461" s="12" t="s">
        <v>964</v>
      </c>
      <c r="B461" s="7">
        <v>45290</v>
      </c>
      <c r="C461" s="4" t="s">
        <v>965</v>
      </c>
      <c r="D461" s="4" t="s">
        <v>18</v>
      </c>
      <c r="E461" s="4">
        <v>32890</v>
      </c>
      <c r="F461" s="4">
        <v>21.8</v>
      </c>
      <c r="G461" s="4">
        <v>36</v>
      </c>
      <c r="H461" s="4" t="s">
        <v>19</v>
      </c>
      <c r="I461" s="4" t="s">
        <v>57</v>
      </c>
      <c r="J461" s="4" t="s">
        <v>37</v>
      </c>
      <c r="K461" s="4">
        <v>130246</v>
      </c>
      <c r="L461" s="4" t="s">
        <v>29</v>
      </c>
      <c r="M461" s="4">
        <v>0.25</v>
      </c>
      <c r="N461" s="4">
        <v>0.66</v>
      </c>
      <c r="O461" s="4">
        <v>40060.019999999997</v>
      </c>
      <c r="P461" s="4">
        <v>0</v>
      </c>
      <c r="Q461" s="6">
        <f t="shared" si="87"/>
        <v>1252.6835606278269</v>
      </c>
      <c r="R461" s="6">
        <f t="shared" si="80"/>
        <v>12206.608182601769</v>
      </c>
      <c r="S461" s="4">
        <f t="shared" si="81"/>
        <v>49833.333333333328</v>
      </c>
      <c r="T461" s="4">
        <f t="shared" si="82"/>
        <v>10853.833333333334</v>
      </c>
      <c r="U461" s="4">
        <f t="shared" si="83"/>
        <v>2713.4583333333335</v>
      </c>
      <c r="V461" s="4">
        <f t="shared" ca="1" si="84"/>
        <v>26</v>
      </c>
      <c r="W461" s="20">
        <f t="shared" ca="1" si="88"/>
        <v>32569.772576323499</v>
      </c>
      <c r="X461" s="4">
        <f t="shared" si="85"/>
        <v>7170.0199999999968</v>
      </c>
      <c r="Y461" s="13">
        <f t="shared" si="86"/>
        <v>0.21799999999999992</v>
      </c>
    </row>
    <row r="462" spans="1:25" x14ac:dyDescent="0.3">
      <c r="A462" s="12" t="s">
        <v>966</v>
      </c>
      <c r="B462" s="7">
        <v>44641</v>
      </c>
      <c r="C462" s="4" t="s">
        <v>967</v>
      </c>
      <c r="D462" s="4" t="s">
        <v>65</v>
      </c>
      <c r="E462" s="4">
        <v>21022</v>
      </c>
      <c r="F462" s="4">
        <v>10.7</v>
      </c>
      <c r="G462" s="4">
        <v>60</v>
      </c>
      <c r="H462" s="4" t="s">
        <v>26</v>
      </c>
      <c r="I462" s="4" t="s">
        <v>57</v>
      </c>
      <c r="J462" s="4" t="s">
        <v>21</v>
      </c>
      <c r="K462" s="4">
        <v>91799</v>
      </c>
      <c r="L462" s="4" t="s">
        <v>29</v>
      </c>
      <c r="M462" s="4">
        <v>0.14000000000000001</v>
      </c>
      <c r="N462" s="4">
        <v>0.82</v>
      </c>
      <c r="O462" s="4">
        <v>5630.06</v>
      </c>
      <c r="P462" s="4">
        <v>0</v>
      </c>
      <c r="Q462" s="6">
        <f t="shared" si="87"/>
        <v>453.93035236705839</v>
      </c>
      <c r="R462" s="6">
        <f t="shared" si="80"/>
        <v>6213.821142023502</v>
      </c>
      <c r="S462" s="4">
        <f t="shared" si="81"/>
        <v>25636.585365853662</v>
      </c>
      <c r="T462" s="4">
        <f t="shared" si="82"/>
        <v>7649.916666666667</v>
      </c>
      <c r="U462" s="4">
        <f t="shared" si="83"/>
        <v>1070.9883333333335</v>
      </c>
      <c r="V462" s="4">
        <f t="shared" ca="1" si="84"/>
        <v>47</v>
      </c>
      <c r="W462" s="20">
        <f t="shared" ca="1" si="88"/>
        <v>21334.726561251744</v>
      </c>
      <c r="X462" s="4">
        <f t="shared" si="85"/>
        <v>-15391.939999999999</v>
      </c>
      <c r="Y462" s="13">
        <f t="shared" si="86"/>
        <v>-0.73218247550185511</v>
      </c>
    </row>
    <row r="463" spans="1:25" x14ac:dyDescent="0.3">
      <c r="A463" s="12" t="s">
        <v>968</v>
      </c>
      <c r="B463" s="7">
        <v>45072</v>
      </c>
      <c r="C463" s="4" t="s">
        <v>969</v>
      </c>
      <c r="D463" s="4" t="s">
        <v>25</v>
      </c>
      <c r="E463" s="4">
        <v>5780</v>
      </c>
      <c r="F463" s="4">
        <v>13.6</v>
      </c>
      <c r="G463" s="4">
        <v>60</v>
      </c>
      <c r="H463" s="4" t="s">
        <v>19</v>
      </c>
      <c r="I463" s="4" t="s">
        <v>73</v>
      </c>
      <c r="J463" s="4" t="s">
        <v>21</v>
      </c>
      <c r="K463" s="4">
        <v>120221</v>
      </c>
      <c r="L463" s="4" t="s">
        <v>22</v>
      </c>
      <c r="M463" s="4">
        <v>0.15</v>
      </c>
      <c r="N463" s="4">
        <v>0.73</v>
      </c>
      <c r="O463" s="4">
        <v>6566.08</v>
      </c>
      <c r="P463" s="4">
        <v>0</v>
      </c>
      <c r="Q463" s="6">
        <f t="shared" si="87"/>
        <v>133.2948725732046</v>
      </c>
      <c r="R463" s="6">
        <f t="shared" si="80"/>
        <v>2217.6923543922758</v>
      </c>
      <c r="S463" s="4">
        <f t="shared" si="81"/>
        <v>7917.8082191780823</v>
      </c>
      <c r="T463" s="4">
        <f t="shared" si="82"/>
        <v>10018.416666666666</v>
      </c>
      <c r="U463" s="4">
        <f t="shared" si="83"/>
        <v>1502.7624999999998</v>
      </c>
      <c r="V463" s="4">
        <f t="shared" ca="1" si="84"/>
        <v>33</v>
      </c>
      <c r="W463" s="20">
        <f t="shared" ca="1" si="88"/>
        <v>4398.7307949157521</v>
      </c>
      <c r="X463" s="4">
        <f t="shared" si="85"/>
        <v>786.07999999999993</v>
      </c>
      <c r="Y463" s="13">
        <f t="shared" si="86"/>
        <v>0.13599999999999998</v>
      </c>
    </row>
    <row r="464" spans="1:25" x14ac:dyDescent="0.3">
      <c r="A464" s="12" t="s">
        <v>970</v>
      </c>
      <c r="B464" s="7">
        <v>44363</v>
      </c>
      <c r="C464" s="4" t="s">
        <v>971</v>
      </c>
      <c r="D464" s="4" t="s">
        <v>40</v>
      </c>
      <c r="E464" s="4">
        <v>19311</v>
      </c>
      <c r="F464" s="4">
        <v>10.4</v>
      </c>
      <c r="G464" s="4">
        <v>36</v>
      </c>
      <c r="H464" s="4" t="s">
        <v>81</v>
      </c>
      <c r="I464" s="4" t="s">
        <v>27</v>
      </c>
      <c r="J464" s="4" t="s">
        <v>21</v>
      </c>
      <c r="K464" s="4">
        <v>144879</v>
      </c>
      <c r="L464" s="4" t="s">
        <v>22</v>
      </c>
      <c r="M464" s="4">
        <v>0.2</v>
      </c>
      <c r="N464" s="4">
        <v>0.56000000000000005</v>
      </c>
      <c r="O464" s="4">
        <v>7598.51</v>
      </c>
      <c r="P464" s="4">
        <v>3245.92</v>
      </c>
      <c r="Q464" s="6">
        <f t="shared" si="87"/>
        <v>626.74450701321177</v>
      </c>
      <c r="R464" s="6">
        <f t="shared" si="80"/>
        <v>3251.8022524756234</v>
      </c>
      <c r="S464" s="4">
        <f t="shared" si="81"/>
        <v>34483.928571428565</v>
      </c>
      <c r="T464" s="4">
        <f t="shared" si="82"/>
        <v>12073.25</v>
      </c>
      <c r="U464" s="4">
        <f t="shared" si="83"/>
        <v>2414.65</v>
      </c>
      <c r="V464" s="4">
        <f t="shared" ca="1" si="84"/>
        <v>57</v>
      </c>
      <c r="W464" s="20">
        <v>0</v>
      </c>
      <c r="X464" s="4">
        <f t="shared" si="85"/>
        <v>-8466.57</v>
      </c>
      <c r="Y464" s="13">
        <f t="shared" si="86"/>
        <v>-0.43843249961162029</v>
      </c>
    </row>
    <row r="465" spans="1:25" x14ac:dyDescent="0.3">
      <c r="A465" s="12" t="s">
        <v>972</v>
      </c>
      <c r="B465" s="7">
        <v>44287</v>
      </c>
      <c r="C465" s="4" t="s">
        <v>973</v>
      </c>
      <c r="D465" s="4" t="s">
        <v>53</v>
      </c>
      <c r="E465" s="4">
        <v>29380</v>
      </c>
      <c r="F465" s="4">
        <v>20.8</v>
      </c>
      <c r="G465" s="4">
        <v>36</v>
      </c>
      <c r="H465" s="4" t="s">
        <v>81</v>
      </c>
      <c r="I465" s="4" t="s">
        <v>73</v>
      </c>
      <c r="J465" s="4" t="s">
        <v>37</v>
      </c>
      <c r="K465" s="4">
        <v>55479</v>
      </c>
      <c r="L465" s="4" t="s">
        <v>29</v>
      </c>
      <c r="M465" s="4">
        <v>0.22</v>
      </c>
      <c r="N465" s="4">
        <v>0.93</v>
      </c>
      <c r="O465" s="4">
        <v>10642.35</v>
      </c>
      <c r="P465" s="4">
        <v>10361.469999999999</v>
      </c>
      <c r="Q465" s="6">
        <f t="shared" si="87"/>
        <v>1103.8788096588555</v>
      </c>
      <c r="R465" s="6">
        <f t="shared" si="80"/>
        <v>10359.6371477188</v>
      </c>
      <c r="S465" s="4">
        <f t="shared" si="81"/>
        <v>31591.397849462363</v>
      </c>
      <c r="T465" s="4">
        <f t="shared" si="82"/>
        <v>4623.25</v>
      </c>
      <c r="U465" s="4">
        <f t="shared" si="83"/>
        <v>1017.115</v>
      </c>
      <c r="V465" s="4">
        <f t="shared" ca="1" si="84"/>
        <v>59</v>
      </c>
      <c r="W465" s="20">
        <v>0</v>
      </c>
      <c r="X465" s="4">
        <f t="shared" si="85"/>
        <v>-8376.18</v>
      </c>
      <c r="Y465" s="13">
        <f t="shared" si="86"/>
        <v>-0.28509802586793737</v>
      </c>
    </row>
    <row r="466" spans="1:25" x14ac:dyDescent="0.3">
      <c r="A466" s="12" t="s">
        <v>974</v>
      </c>
      <c r="B466" s="7">
        <v>44910</v>
      </c>
      <c r="C466" s="4" t="s">
        <v>975</v>
      </c>
      <c r="D466" s="4" t="s">
        <v>25</v>
      </c>
      <c r="E466" s="4">
        <v>3356</v>
      </c>
      <c r="F466" s="4">
        <v>16.5</v>
      </c>
      <c r="G466" s="4">
        <v>36</v>
      </c>
      <c r="H466" s="4" t="s">
        <v>26</v>
      </c>
      <c r="I466" s="4" t="s">
        <v>36</v>
      </c>
      <c r="J466" s="4" t="s">
        <v>37</v>
      </c>
      <c r="K466" s="4">
        <v>76172</v>
      </c>
      <c r="L466" s="4" t="s">
        <v>29</v>
      </c>
      <c r="M466" s="4">
        <v>0.31</v>
      </c>
      <c r="N466" s="4">
        <v>0.79</v>
      </c>
      <c r="O466" s="4">
        <v>710.07</v>
      </c>
      <c r="P466" s="4">
        <v>0</v>
      </c>
      <c r="Q466" s="6">
        <f t="shared" si="87"/>
        <v>118.81710783787707</v>
      </c>
      <c r="R466" s="6">
        <f t="shared" si="80"/>
        <v>921.41588216357468</v>
      </c>
      <c r="S466" s="4">
        <f t="shared" si="81"/>
        <v>4248.1012658227846</v>
      </c>
      <c r="T466" s="4">
        <f t="shared" si="82"/>
        <v>6347.666666666667</v>
      </c>
      <c r="U466" s="4">
        <f t="shared" si="83"/>
        <v>1967.7766666666666</v>
      </c>
      <c r="V466" s="4">
        <f t="shared" ca="1" si="84"/>
        <v>39</v>
      </c>
      <c r="W466" s="20">
        <f t="shared" ref="W466:W497" ca="1" si="89">V466*Q466</f>
        <v>4633.8672056772057</v>
      </c>
      <c r="X466" s="4">
        <f t="shared" si="85"/>
        <v>-2645.93</v>
      </c>
      <c r="Y466" s="13">
        <f t="shared" si="86"/>
        <v>-0.78841775923718704</v>
      </c>
    </row>
    <row r="467" spans="1:25" x14ac:dyDescent="0.3">
      <c r="A467" s="12" t="s">
        <v>976</v>
      </c>
      <c r="B467" s="7">
        <v>44235</v>
      </c>
      <c r="C467" s="4" t="s">
        <v>977</v>
      </c>
      <c r="D467" s="4" t="s">
        <v>76</v>
      </c>
      <c r="E467" s="4">
        <v>5790</v>
      </c>
      <c r="F467" s="4">
        <v>18.2</v>
      </c>
      <c r="G467" s="4">
        <v>36</v>
      </c>
      <c r="H467" s="4" t="s">
        <v>19</v>
      </c>
      <c r="I467" s="4" t="s">
        <v>36</v>
      </c>
      <c r="J467" s="4" t="s">
        <v>37</v>
      </c>
      <c r="K467" s="4">
        <v>129165</v>
      </c>
      <c r="L467" s="4" t="s">
        <v>33</v>
      </c>
      <c r="M467" s="4">
        <v>0.37</v>
      </c>
      <c r="N467" s="4">
        <v>0.84</v>
      </c>
      <c r="O467" s="4">
        <v>6843.78</v>
      </c>
      <c r="P467" s="4">
        <v>0</v>
      </c>
      <c r="Q467" s="6">
        <f t="shared" si="87"/>
        <v>209.90373788656083</v>
      </c>
      <c r="R467" s="6">
        <f t="shared" si="80"/>
        <v>1766.5345639161897</v>
      </c>
      <c r="S467" s="4">
        <f t="shared" si="81"/>
        <v>6892.8571428571431</v>
      </c>
      <c r="T467" s="4">
        <f t="shared" si="82"/>
        <v>10763.75</v>
      </c>
      <c r="U467" s="4">
        <f t="shared" si="83"/>
        <v>3982.5875000000001</v>
      </c>
      <c r="V467" s="4">
        <f t="shared" ca="1" si="84"/>
        <v>61</v>
      </c>
      <c r="W467" s="20">
        <f t="shared" ca="1" si="89"/>
        <v>12804.128011080211</v>
      </c>
      <c r="X467" s="4">
        <f t="shared" si="85"/>
        <v>1053.7799999999997</v>
      </c>
      <c r="Y467" s="13">
        <f t="shared" si="86"/>
        <v>0.18199999999999997</v>
      </c>
    </row>
    <row r="468" spans="1:25" x14ac:dyDescent="0.3">
      <c r="A468" s="12" t="s">
        <v>978</v>
      </c>
      <c r="B468" s="7">
        <v>44369</v>
      </c>
      <c r="C468" s="4" t="s">
        <v>979</v>
      </c>
      <c r="D468" s="4" t="s">
        <v>53</v>
      </c>
      <c r="E468" s="4">
        <v>27911</v>
      </c>
      <c r="F468" s="4">
        <v>10</v>
      </c>
      <c r="G468" s="4">
        <v>60</v>
      </c>
      <c r="H468" s="4" t="s">
        <v>19</v>
      </c>
      <c r="I468" s="4" t="s">
        <v>57</v>
      </c>
      <c r="J468" s="4" t="s">
        <v>47</v>
      </c>
      <c r="K468" s="4">
        <v>85863</v>
      </c>
      <c r="L468" s="4" t="s">
        <v>29</v>
      </c>
      <c r="M468" s="4">
        <v>0.34</v>
      </c>
      <c r="N468" s="4">
        <v>0.54</v>
      </c>
      <c r="O468" s="4">
        <v>30702.1</v>
      </c>
      <c r="P468" s="4">
        <v>0</v>
      </c>
      <c r="Q468" s="6">
        <f t="shared" si="87"/>
        <v>593.0262649362088</v>
      </c>
      <c r="R468" s="6">
        <f t="shared" si="80"/>
        <v>7670.5758961725296</v>
      </c>
      <c r="S468" s="4">
        <f t="shared" si="81"/>
        <v>51687.037037037036</v>
      </c>
      <c r="T468" s="4">
        <f t="shared" si="82"/>
        <v>7155.25</v>
      </c>
      <c r="U468" s="4">
        <f t="shared" si="83"/>
        <v>2432.7850000000003</v>
      </c>
      <c r="V468" s="4">
        <f t="shared" ca="1" si="84"/>
        <v>56</v>
      </c>
      <c r="W468" s="20">
        <f t="shared" ca="1" si="89"/>
        <v>33209.470836427696</v>
      </c>
      <c r="X468" s="4">
        <f t="shared" si="85"/>
        <v>2791.0999999999985</v>
      </c>
      <c r="Y468" s="13">
        <f t="shared" si="86"/>
        <v>9.999999999999995E-2</v>
      </c>
    </row>
    <row r="469" spans="1:25" x14ac:dyDescent="0.3">
      <c r="A469" s="12" t="s">
        <v>980</v>
      </c>
      <c r="B469" s="7">
        <v>44849</v>
      </c>
      <c r="C469" s="4" t="s">
        <v>981</v>
      </c>
      <c r="D469" s="4" t="s">
        <v>56</v>
      </c>
      <c r="E469" s="4">
        <v>25363</v>
      </c>
      <c r="F469" s="4">
        <v>9.4</v>
      </c>
      <c r="G469" s="4">
        <v>36</v>
      </c>
      <c r="H469" s="4" t="s">
        <v>19</v>
      </c>
      <c r="I469" s="4" t="s">
        <v>27</v>
      </c>
      <c r="J469" s="4" t="s">
        <v>37</v>
      </c>
      <c r="K469" s="4">
        <v>72043</v>
      </c>
      <c r="L469" s="4" t="s">
        <v>33</v>
      </c>
      <c r="M469" s="4">
        <v>0.16</v>
      </c>
      <c r="N469" s="4">
        <v>0.52</v>
      </c>
      <c r="O469" s="4">
        <v>27747.119999999999</v>
      </c>
      <c r="P469" s="4">
        <v>0</v>
      </c>
      <c r="Q469" s="6">
        <f t="shared" si="87"/>
        <v>811.2666157247894</v>
      </c>
      <c r="R469" s="6">
        <f t="shared" si="80"/>
        <v>3842.598166092419</v>
      </c>
      <c r="S469" s="4">
        <f t="shared" si="81"/>
        <v>48775</v>
      </c>
      <c r="T469" s="4">
        <f t="shared" si="82"/>
        <v>6003.583333333333</v>
      </c>
      <c r="U469" s="4">
        <f t="shared" si="83"/>
        <v>960.57333333333327</v>
      </c>
      <c r="V469" s="4">
        <f t="shared" ca="1" si="84"/>
        <v>41</v>
      </c>
      <c r="W469" s="20">
        <f t="shared" ca="1" si="89"/>
        <v>33261.931244716368</v>
      </c>
      <c r="X469" s="4">
        <f t="shared" si="85"/>
        <v>2384.119999999999</v>
      </c>
      <c r="Y469" s="13">
        <f t="shared" si="86"/>
        <v>9.3999921144974921E-2</v>
      </c>
    </row>
    <row r="470" spans="1:25" x14ac:dyDescent="0.3">
      <c r="A470" s="12" t="s">
        <v>982</v>
      </c>
      <c r="B470" s="7">
        <v>44950</v>
      </c>
      <c r="C470" s="4" t="s">
        <v>983</v>
      </c>
      <c r="D470" s="4" t="s">
        <v>53</v>
      </c>
      <c r="E470" s="4">
        <v>21049</v>
      </c>
      <c r="F470" s="4">
        <v>14.8</v>
      </c>
      <c r="G470" s="4">
        <v>60</v>
      </c>
      <c r="H470" s="4" t="s">
        <v>19</v>
      </c>
      <c r="I470" s="4" t="s">
        <v>27</v>
      </c>
      <c r="J470" s="4" t="s">
        <v>21</v>
      </c>
      <c r="K470" s="4">
        <v>112569</v>
      </c>
      <c r="L470" s="4" t="s">
        <v>29</v>
      </c>
      <c r="M470" s="4">
        <v>0.17</v>
      </c>
      <c r="N470" s="4">
        <v>0.51</v>
      </c>
      <c r="O470" s="4">
        <v>24164.25</v>
      </c>
      <c r="P470" s="4">
        <v>0</v>
      </c>
      <c r="Q470" s="6">
        <f t="shared" si="87"/>
        <v>498.54717865868906</v>
      </c>
      <c r="R470" s="6">
        <f t="shared" si="80"/>
        <v>8863.830719521342</v>
      </c>
      <c r="S470" s="4">
        <f t="shared" si="81"/>
        <v>41272.549019607839</v>
      </c>
      <c r="T470" s="4">
        <f t="shared" si="82"/>
        <v>9380.75</v>
      </c>
      <c r="U470" s="4">
        <f t="shared" si="83"/>
        <v>1594.7275000000002</v>
      </c>
      <c r="V470" s="4">
        <f t="shared" ca="1" si="84"/>
        <v>37</v>
      </c>
      <c r="W470" s="20">
        <f t="shared" ca="1" si="89"/>
        <v>18446.245610371494</v>
      </c>
      <c r="X470" s="4">
        <f t="shared" si="85"/>
        <v>3115.25</v>
      </c>
      <c r="Y470" s="13">
        <f t="shared" si="86"/>
        <v>0.14799990498360968</v>
      </c>
    </row>
    <row r="471" spans="1:25" x14ac:dyDescent="0.3">
      <c r="A471" s="12" t="s">
        <v>984</v>
      </c>
      <c r="B471" s="7">
        <v>45278</v>
      </c>
      <c r="C471" s="4" t="s">
        <v>985</v>
      </c>
      <c r="D471" s="4" t="s">
        <v>53</v>
      </c>
      <c r="E471" s="4">
        <v>11181</v>
      </c>
      <c r="F471" s="4">
        <v>19.8</v>
      </c>
      <c r="G471" s="4">
        <v>36</v>
      </c>
      <c r="H471" s="4" t="s">
        <v>19</v>
      </c>
      <c r="I471" s="4" t="s">
        <v>36</v>
      </c>
      <c r="J471" s="4" t="s">
        <v>28</v>
      </c>
      <c r="K471" s="4">
        <v>132438</v>
      </c>
      <c r="L471" s="4" t="s">
        <v>22</v>
      </c>
      <c r="M471" s="4">
        <v>0.45</v>
      </c>
      <c r="N471" s="4">
        <v>0.57999999999999996</v>
      </c>
      <c r="O471" s="4">
        <v>13394.84</v>
      </c>
      <c r="P471" s="4">
        <v>0</v>
      </c>
      <c r="Q471" s="6">
        <f t="shared" si="87"/>
        <v>414.38749887178096</v>
      </c>
      <c r="R471" s="6">
        <f t="shared" si="80"/>
        <v>3736.9499593841138</v>
      </c>
      <c r="S471" s="4">
        <f t="shared" si="81"/>
        <v>19277.586206896554</v>
      </c>
      <c r="T471" s="4">
        <f t="shared" si="82"/>
        <v>11036.5</v>
      </c>
      <c r="U471" s="4">
        <f t="shared" si="83"/>
        <v>4966.4250000000002</v>
      </c>
      <c r="V471" s="4">
        <f t="shared" ca="1" si="84"/>
        <v>27</v>
      </c>
      <c r="W471" s="20">
        <f t="shared" ca="1" si="89"/>
        <v>11188.462469538086</v>
      </c>
      <c r="X471" s="4">
        <f t="shared" si="85"/>
        <v>2213.84</v>
      </c>
      <c r="Y471" s="13">
        <f t="shared" si="86"/>
        <v>0.19800017887487703</v>
      </c>
    </row>
    <row r="472" spans="1:25" x14ac:dyDescent="0.3">
      <c r="A472" s="12" t="s">
        <v>986</v>
      </c>
      <c r="B472" s="7">
        <v>44672</v>
      </c>
      <c r="C472" s="4" t="s">
        <v>987</v>
      </c>
      <c r="D472" s="4" t="s">
        <v>25</v>
      </c>
      <c r="E472" s="4">
        <v>17082</v>
      </c>
      <c r="F472" s="4">
        <v>15.5</v>
      </c>
      <c r="G472" s="4">
        <v>36</v>
      </c>
      <c r="H472" s="4" t="s">
        <v>19</v>
      </c>
      <c r="I472" s="4" t="s">
        <v>57</v>
      </c>
      <c r="J472" s="4" t="s">
        <v>37</v>
      </c>
      <c r="K472" s="4">
        <v>140107</v>
      </c>
      <c r="L472" s="4" t="s">
        <v>22</v>
      </c>
      <c r="M472" s="4">
        <v>0.32</v>
      </c>
      <c r="N472" s="4">
        <v>0.69</v>
      </c>
      <c r="O472" s="4">
        <v>19729.71</v>
      </c>
      <c r="P472" s="4">
        <v>0</v>
      </c>
      <c r="Q472" s="6">
        <f t="shared" si="87"/>
        <v>596.34425321430967</v>
      </c>
      <c r="R472" s="6">
        <f t="shared" si="80"/>
        <v>4386.3931157151492</v>
      </c>
      <c r="S472" s="4">
        <f t="shared" si="81"/>
        <v>24756.521739130436</v>
      </c>
      <c r="T472" s="4">
        <f t="shared" si="82"/>
        <v>11675.583333333334</v>
      </c>
      <c r="U472" s="4">
        <f t="shared" si="83"/>
        <v>3736.186666666667</v>
      </c>
      <c r="V472" s="4">
        <f t="shared" ca="1" si="84"/>
        <v>46</v>
      </c>
      <c r="W472" s="20">
        <f t="shared" ca="1" si="89"/>
        <v>27431.835647858246</v>
      </c>
      <c r="X472" s="4">
        <f t="shared" si="85"/>
        <v>2647.7099999999991</v>
      </c>
      <c r="Y472" s="13">
        <f t="shared" si="86"/>
        <v>0.15499999999999994</v>
      </c>
    </row>
    <row r="473" spans="1:25" x14ac:dyDescent="0.3">
      <c r="A473" s="12" t="s">
        <v>988</v>
      </c>
      <c r="B473" s="7">
        <v>44652</v>
      </c>
      <c r="C473" s="4" t="s">
        <v>989</v>
      </c>
      <c r="D473" s="4" t="s">
        <v>76</v>
      </c>
      <c r="E473" s="4">
        <v>1661</v>
      </c>
      <c r="F473" s="4">
        <v>5.7</v>
      </c>
      <c r="G473" s="4">
        <v>36</v>
      </c>
      <c r="H473" s="4" t="s">
        <v>26</v>
      </c>
      <c r="I473" s="4" t="s">
        <v>73</v>
      </c>
      <c r="J473" s="4" t="s">
        <v>28</v>
      </c>
      <c r="K473" s="4">
        <v>45408</v>
      </c>
      <c r="L473" s="4" t="s">
        <v>29</v>
      </c>
      <c r="M473" s="4">
        <v>0.45</v>
      </c>
      <c r="N473" s="4">
        <v>0.92</v>
      </c>
      <c r="O473" s="4">
        <v>117.05</v>
      </c>
      <c r="P473" s="4">
        <v>0</v>
      </c>
      <c r="Q473" s="6">
        <f t="shared" si="87"/>
        <v>50.305365599693552</v>
      </c>
      <c r="R473" s="6">
        <f t="shared" si="80"/>
        <v>149.99316158896795</v>
      </c>
      <c r="S473" s="4">
        <f t="shared" si="81"/>
        <v>1805.4347826086955</v>
      </c>
      <c r="T473" s="4">
        <f t="shared" si="82"/>
        <v>3784</v>
      </c>
      <c r="U473" s="4">
        <f t="shared" si="83"/>
        <v>1702.8</v>
      </c>
      <c r="V473" s="4">
        <f t="shared" ca="1" si="84"/>
        <v>47</v>
      </c>
      <c r="W473" s="20">
        <f t="shared" ca="1" si="89"/>
        <v>2364.3521831855969</v>
      </c>
      <c r="X473" s="4">
        <f t="shared" si="85"/>
        <v>-1543.95</v>
      </c>
      <c r="Y473" s="13">
        <f t="shared" si="86"/>
        <v>-0.92953040337146298</v>
      </c>
    </row>
    <row r="474" spans="1:25" x14ac:dyDescent="0.3">
      <c r="A474" s="12" t="s">
        <v>990</v>
      </c>
      <c r="B474" s="7">
        <v>45025</v>
      </c>
      <c r="C474" s="4" t="s">
        <v>991</v>
      </c>
      <c r="D474" s="4" t="s">
        <v>53</v>
      </c>
      <c r="E474" s="4">
        <v>38412</v>
      </c>
      <c r="F474" s="4">
        <v>22.4</v>
      </c>
      <c r="G474" s="4">
        <v>60</v>
      </c>
      <c r="H474" s="4" t="s">
        <v>19</v>
      </c>
      <c r="I474" s="4" t="s">
        <v>57</v>
      </c>
      <c r="J474" s="4" t="s">
        <v>21</v>
      </c>
      <c r="K474" s="4">
        <v>87980</v>
      </c>
      <c r="L474" s="4" t="s">
        <v>33</v>
      </c>
      <c r="M474" s="4">
        <v>0.25</v>
      </c>
      <c r="N474" s="4">
        <v>0.71</v>
      </c>
      <c r="O474" s="4">
        <v>47016.29</v>
      </c>
      <c r="P474" s="4">
        <v>0</v>
      </c>
      <c r="Q474" s="6">
        <f t="shared" si="87"/>
        <v>1069.6520030689217</v>
      </c>
      <c r="R474" s="6">
        <f t="shared" si="80"/>
        <v>25767.120184135303</v>
      </c>
      <c r="S474" s="4">
        <f t="shared" si="81"/>
        <v>54101.408450704228</v>
      </c>
      <c r="T474" s="4">
        <f t="shared" si="82"/>
        <v>7331.666666666667</v>
      </c>
      <c r="U474" s="4">
        <f t="shared" si="83"/>
        <v>1832.9166666666667</v>
      </c>
      <c r="V474" s="4">
        <f t="shared" ca="1" si="84"/>
        <v>35</v>
      </c>
      <c r="W474" s="20">
        <f t="shared" ca="1" si="89"/>
        <v>37437.820107412255</v>
      </c>
      <c r="X474" s="4">
        <f t="shared" si="85"/>
        <v>8604.2900000000009</v>
      </c>
      <c r="Y474" s="13">
        <f t="shared" si="86"/>
        <v>0.22400005206706239</v>
      </c>
    </row>
    <row r="475" spans="1:25" x14ac:dyDescent="0.3">
      <c r="A475" s="12" t="s">
        <v>992</v>
      </c>
      <c r="B475" s="7">
        <v>45091</v>
      </c>
      <c r="C475" s="4" t="s">
        <v>993</v>
      </c>
      <c r="D475" s="4" t="s">
        <v>25</v>
      </c>
      <c r="E475" s="4">
        <v>3920</v>
      </c>
      <c r="F475" s="4">
        <v>6.3</v>
      </c>
      <c r="G475" s="4">
        <v>60</v>
      </c>
      <c r="H475" s="4" t="s">
        <v>19</v>
      </c>
      <c r="I475" s="4" t="s">
        <v>84</v>
      </c>
      <c r="J475" s="4" t="s">
        <v>37</v>
      </c>
      <c r="K475" s="4">
        <v>112956</v>
      </c>
      <c r="L475" s="4" t="s">
        <v>33</v>
      </c>
      <c r="M475" s="4">
        <v>0.35</v>
      </c>
      <c r="N475" s="4">
        <v>0.63</v>
      </c>
      <c r="O475" s="4">
        <v>4166.96</v>
      </c>
      <c r="P475" s="4">
        <v>0</v>
      </c>
      <c r="Q475" s="6">
        <f t="shared" si="87"/>
        <v>76.332611190291502</v>
      </c>
      <c r="R475" s="6">
        <f t="shared" si="80"/>
        <v>659.95667141748982</v>
      </c>
      <c r="S475" s="4">
        <f t="shared" si="81"/>
        <v>6222.2222222222226</v>
      </c>
      <c r="T475" s="4">
        <f t="shared" si="82"/>
        <v>9413</v>
      </c>
      <c r="U475" s="4">
        <f t="shared" si="83"/>
        <v>3294.5499999999997</v>
      </c>
      <c r="V475" s="4">
        <f t="shared" ca="1" si="84"/>
        <v>33</v>
      </c>
      <c r="W475" s="20">
        <f t="shared" ca="1" si="89"/>
        <v>2518.9761692796196</v>
      </c>
      <c r="X475" s="4">
        <f t="shared" si="85"/>
        <v>246.96000000000004</v>
      </c>
      <c r="Y475" s="13">
        <f t="shared" si="86"/>
        <v>6.3000000000000014E-2</v>
      </c>
    </row>
    <row r="476" spans="1:25" x14ac:dyDescent="0.3">
      <c r="A476" s="12" t="s">
        <v>994</v>
      </c>
      <c r="B476" s="7">
        <v>45221</v>
      </c>
      <c r="C476" s="4" t="s">
        <v>995</v>
      </c>
      <c r="D476" s="4" t="s">
        <v>25</v>
      </c>
      <c r="E476" s="4">
        <v>26658</v>
      </c>
      <c r="F476" s="4">
        <v>24.1</v>
      </c>
      <c r="G476" s="4">
        <v>36</v>
      </c>
      <c r="H476" s="4" t="s">
        <v>19</v>
      </c>
      <c r="I476" s="4" t="s">
        <v>20</v>
      </c>
      <c r="J476" s="4" t="s">
        <v>47</v>
      </c>
      <c r="K476" s="4">
        <v>46351</v>
      </c>
      <c r="L476" s="4" t="s">
        <v>33</v>
      </c>
      <c r="M476" s="4">
        <v>0.31</v>
      </c>
      <c r="N476" s="4">
        <v>0.75</v>
      </c>
      <c r="O476" s="4">
        <v>33082.58</v>
      </c>
      <c r="P476" s="4">
        <v>0</v>
      </c>
      <c r="Q476" s="6">
        <f t="shared" si="87"/>
        <v>1047.269589863688</v>
      </c>
      <c r="R476" s="6">
        <f t="shared" si="80"/>
        <v>11043.70523509277</v>
      </c>
      <c r="S476" s="4">
        <f t="shared" si="81"/>
        <v>35544</v>
      </c>
      <c r="T476" s="4">
        <f t="shared" si="82"/>
        <v>3862.5833333333335</v>
      </c>
      <c r="U476" s="4">
        <f t="shared" si="83"/>
        <v>1197.4008333333334</v>
      </c>
      <c r="V476" s="4">
        <f t="shared" ca="1" si="84"/>
        <v>28</v>
      </c>
      <c r="W476" s="20">
        <f t="shared" ca="1" si="89"/>
        <v>29323.548516183262</v>
      </c>
      <c r="X476" s="4">
        <f t="shared" si="85"/>
        <v>6424.5800000000017</v>
      </c>
      <c r="Y476" s="13">
        <f t="shared" si="86"/>
        <v>0.241000075024383</v>
      </c>
    </row>
    <row r="477" spans="1:25" x14ac:dyDescent="0.3">
      <c r="A477" s="12" t="s">
        <v>996</v>
      </c>
      <c r="B477" s="7">
        <v>44583</v>
      </c>
      <c r="C477" s="4" t="s">
        <v>997</v>
      </c>
      <c r="D477" s="4" t="s">
        <v>53</v>
      </c>
      <c r="E477" s="4">
        <v>15025</v>
      </c>
      <c r="F477" s="4">
        <v>5.5</v>
      </c>
      <c r="G477" s="4">
        <v>60</v>
      </c>
      <c r="H477" s="4" t="s">
        <v>315</v>
      </c>
      <c r="I477" s="4" t="s">
        <v>20</v>
      </c>
      <c r="J477" s="4" t="s">
        <v>47</v>
      </c>
      <c r="K477" s="4">
        <v>34131</v>
      </c>
      <c r="L477" s="4" t="s">
        <v>29</v>
      </c>
      <c r="M477" s="4">
        <v>0.23</v>
      </c>
      <c r="N477" s="4">
        <v>0.55000000000000004</v>
      </c>
      <c r="O477" s="4">
        <v>0</v>
      </c>
      <c r="P477" s="4">
        <v>0</v>
      </c>
      <c r="Q477" s="6">
        <f t="shared" si="87"/>
        <v>286.99496163102822</v>
      </c>
      <c r="R477" s="6">
        <f t="shared" si="80"/>
        <v>2194.6976978616949</v>
      </c>
      <c r="S477" s="4">
        <f t="shared" si="81"/>
        <v>27318.181818181816</v>
      </c>
      <c r="T477" s="4">
        <f t="shared" si="82"/>
        <v>2844.25</v>
      </c>
      <c r="U477" s="4">
        <f t="shared" si="83"/>
        <v>654.17750000000001</v>
      </c>
      <c r="V477" s="4">
        <f t="shared" ca="1" si="84"/>
        <v>49</v>
      </c>
      <c r="W477" s="20">
        <f t="shared" ca="1" si="89"/>
        <v>14062.753119920382</v>
      </c>
      <c r="X477" s="4">
        <f t="shared" si="85"/>
        <v>-15025</v>
      </c>
      <c r="Y477" s="13">
        <f t="shared" si="86"/>
        <v>-1</v>
      </c>
    </row>
    <row r="478" spans="1:25" x14ac:dyDescent="0.3">
      <c r="A478" s="12" t="s">
        <v>998</v>
      </c>
      <c r="B478" s="7">
        <v>44544</v>
      </c>
      <c r="C478" s="4" t="s">
        <v>999</v>
      </c>
      <c r="D478" s="4" t="s">
        <v>65</v>
      </c>
      <c r="E478" s="4">
        <v>9946</v>
      </c>
      <c r="F478" s="4">
        <v>18.899999999999999</v>
      </c>
      <c r="G478" s="4">
        <v>60</v>
      </c>
      <c r="H478" s="4" t="s">
        <v>19</v>
      </c>
      <c r="I478" s="4" t="s">
        <v>57</v>
      </c>
      <c r="J478" s="4" t="s">
        <v>28</v>
      </c>
      <c r="K478" s="4">
        <v>146836</v>
      </c>
      <c r="L478" s="4" t="s">
        <v>29</v>
      </c>
      <c r="M478" s="4">
        <v>0.28999999999999998</v>
      </c>
      <c r="N478" s="4">
        <v>0.77</v>
      </c>
      <c r="O478" s="4">
        <v>11825.79</v>
      </c>
      <c r="P478" s="4">
        <v>0</v>
      </c>
      <c r="Q478" s="6">
        <f t="shared" si="87"/>
        <v>257.45776297341388</v>
      </c>
      <c r="R478" s="6">
        <f t="shared" si="80"/>
        <v>5501.4657784048322</v>
      </c>
      <c r="S478" s="4">
        <f t="shared" si="81"/>
        <v>12916.883116883117</v>
      </c>
      <c r="T478" s="4">
        <f t="shared" si="82"/>
        <v>12236.333333333334</v>
      </c>
      <c r="U478" s="4">
        <f t="shared" si="83"/>
        <v>3548.5366666666664</v>
      </c>
      <c r="V478" s="4">
        <f t="shared" ca="1" si="84"/>
        <v>51</v>
      </c>
      <c r="W478" s="20">
        <f t="shared" ca="1" si="89"/>
        <v>13130.345911644108</v>
      </c>
      <c r="X478" s="4">
        <f t="shared" si="85"/>
        <v>1879.7900000000009</v>
      </c>
      <c r="Y478" s="13">
        <f t="shared" si="86"/>
        <v>0.18899959782827275</v>
      </c>
    </row>
    <row r="479" spans="1:25" x14ac:dyDescent="0.3">
      <c r="A479" s="12" t="s">
        <v>1000</v>
      </c>
      <c r="B479" s="7">
        <v>44386</v>
      </c>
      <c r="C479" s="4" t="s">
        <v>1001</v>
      </c>
      <c r="D479" s="4" t="s">
        <v>76</v>
      </c>
      <c r="E479" s="4">
        <v>29706</v>
      </c>
      <c r="F479" s="4">
        <v>6.6</v>
      </c>
      <c r="G479" s="4">
        <v>36</v>
      </c>
      <c r="H479" s="4" t="s">
        <v>26</v>
      </c>
      <c r="I479" s="4" t="s">
        <v>20</v>
      </c>
      <c r="J479" s="4" t="s">
        <v>47</v>
      </c>
      <c r="K479" s="4">
        <v>74825</v>
      </c>
      <c r="L479" s="4" t="s">
        <v>22</v>
      </c>
      <c r="M479" s="4">
        <v>0.3</v>
      </c>
      <c r="N479" s="4">
        <v>0.76</v>
      </c>
      <c r="O479" s="4">
        <v>12789.38</v>
      </c>
      <c r="P479" s="4">
        <v>0</v>
      </c>
      <c r="Q479" s="6">
        <f t="shared" si="87"/>
        <v>911.81198827138587</v>
      </c>
      <c r="R479" s="6">
        <f t="shared" si="80"/>
        <v>3119.2315777698896</v>
      </c>
      <c r="S479" s="4">
        <f t="shared" si="81"/>
        <v>39086.84210526316</v>
      </c>
      <c r="T479" s="4">
        <f t="shared" si="82"/>
        <v>6235.416666666667</v>
      </c>
      <c r="U479" s="4">
        <f t="shared" si="83"/>
        <v>1870.625</v>
      </c>
      <c r="V479" s="4">
        <f t="shared" ca="1" si="84"/>
        <v>56</v>
      </c>
      <c r="W479" s="20">
        <f t="shared" ca="1" si="89"/>
        <v>51061.471343197612</v>
      </c>
      <c r="X479" s="4">
        <f t="shared" si="85"/>
        <v>-16916.620000000003</v>
      </c>
      <c r="Y479" s="13">
        <f t="shared" si="86"/>
        <v>-0.5694681209183331</v>
      </c>
    </row>
    <row r="480" spans="1:25" x14ac:dyDescent="0.3">
      <c r="A480" s="12" t="s">
        <v>1002</v>
      </c>
      <c r="B480" s="7">
        <v>44701</v>
      </c>
      <c r="C480" s="4" t="s">
        <v>1003</v>
      </c>
      <c r="D480" s="4" t="s">
        <v>50</v>
      </c>
      <c r="E480" s="4">
        <v>17309</v>
      </c>
      <c r="F480" s="4">
        <v>23.2</v>
      </c>
      <c r="G480" s="4">
        <v>36</v>
      </c>
      <c r="H480" s="4" t="s">
        <v>19</v>
      </c>
      <c r="I480" s="4" t="s">
        <v>73</v>
      </c>
      <c r="J480" s="4" t="s">
        <v>47</v>
      </c>
      <c r="K480" s="4">
        <v>41349</v>
      </c>
      <c r="L480" s="4" t="s">
        <v>22</v>
      </c>
      <c r="M480" s="4">
        <v>0.18</v>
      </c>
      <c r="N480" s="4">
        <v>0.86</v>
      </c>
      <c r="O480" s="4">
        <v>21324.69</v>
      </c>
      <c r="P480" s="4">
        <v>0</v>
      </c>
      <c r="Q480" s="6">
        <f t="shared" si="87"/>
        <v>671.83220791503174</v>
      </c>
      <c r="R480" s="6">
        <f t="shared" si="80"/>
        <v>6876.9594849411442</v>
      </c>
      <c r="S480" s="4">
        <f t="shared" si="81"/>
        <v>20126.744186046511</v>
      </c>
      <c r="T480" s="4">
        <f t="shared" si="82"/>
        <v>3445.75</v>
      </c>
      <c r="U480" s="4">
        <f t="shared" si="83"/>
        <v>620.23500000000001</v>
      </c>
      <c r="V480" s="4">
        <f t="shared" ca="1" si="84"/>
        <v>45</v>
      </c>
      <c r="W480" s="20">
        <f t="shared" ca="1" si="89"/>
        <v>30232.449356176428</v>
      </c>
      <c r="X480" s="4">
        <f t="shared" si="85"/>
        <v>4015.6899999999987</v>
      </c>
      <c r="Y480" s="13">
        <f t="shared" si="86"/>
        <v>0.23200011554682529</v>
      </c>
    </row>
    <row r="481" spans="1:25" x14ac:dyDescent="0.3">
      <c r="A481" s="12" t="s">
        <v>1004</v>
      </c>
      <c r="B481" s="7">
        <v>45020</v>
      </c>
      <c r="C481" s="4" t="s">
        <v>1005</v>
      </c>
      <c r="D481" s="4" t="s">
        <v>53</v>
      </c>
      <c r="E481" s="4">
        <v>34120</v>
      </c>
      <c r="F481" s="4">
        <v>14.3</v>
      </c>
      <c r="G481" s="4">
        <v>60</v>
      </c>
      <c r="H481" s="4" t="s">
        <v>19</v>
      </c>
      <c r="I481" s="4" t="s">
        <v>20</v>
      </c>
      <c r="J481" s="4" t="s">
        <v>47</v>
      </c>
      <c r="K481" s="4">
        <v>90931</v>
      </c>
      <c r="L481" s="4" t="s">
        <v>29</v>
      </c>
      <c r="M481" s="4">
        <v>0.23</v>
      </c>
      <c r="N481" s="4">
        <v>0.94</v>
      </c>
      <c r="O481" s="4">
        <v>38999.160000000003</v>
      </c>
      <c r="P481" s="4">
        <v>0</v>
      </c>
      <c r="Q481" s="6">
        <f t="shared" si="87"/>
        <v>799.22941718869458</v>
      </c>
      <c r="R481" s="6">
        <f t="shared" si="80"/>
        <v>13833.765031321673</v>
      </c>
      <c r="S481" s="4">
        <f t="shared" si="81"/>
        <v>36297.872340425536</v>
      </c>
      <c r="T481" s="4">
        <f t="shared" si="82"/>
        <v>7577.583333333333</v>
      </c>
      <c r="U481" s="4">
        <f t="shared" si="83"/>
        <v>1742.8441666666668</v>
      </c>
      <c r="V481" s="4">
        <f t="shared" ca="1" si="84"/>
        <v>35</v>
      </c>
      <c r="W481" s="20">
        <f t="shared" ca="1" si="89"/>
        <v>27973.02960160431</v>
      </c>
      <c r="X481" s="4">
        <f t="shared" si="85"/>
        <v>4879.1600000000035</v>
      </c>
      <c r="Y481" s="13">
        <f t="shared" si="86"/>
        <v>0.1430000000000001</v>
      </c>
    </row>
    <row r="482" spans="1:25" x14ac:dyDescent="0.3">
      <c r="A482" s="12" t="s">
        <v>1006</v>
      </c>
      <c r="B482" s="7">
        <v>45125</v>
      </c>
      <c r="C482" s="4" t="s">
        <v>1007</v>
      </c>
      <c r="D482" s="4" t="s">
        <v>18</v>
      </c>
      <c r="E482" s="4">
        <v>31027</v>
      </c>
      <c r="F482" s="4">
        <v>7.8</v>
      </c>
      <c r="G482" s="4">
        <v>60</v>
      </c>
      <c r="H482" s="4" t="s">
        <v>19</v>
      </c>
      <c r="I482" s="4" t="s">
        <v>57</v>
      </c>
      <c r="J482" s="4" t="s">
        <v>21</v>
      </c>
      <c r="K482" s="4">
        <v>74254</v>
      </c>
      <c r="L482" s="4" t="s">
        <v>22</v>
      </c>
      <c r="M482" s="4">
        <v>0.42</v>
      </c>
      <c r="N482" s="4">
        <v>0.61</v>
      </c>
      <c r="O482" s="4">
        <v>33447.11</v>
      </c>
      <c r="P482" s="4">
        <v>0</v>
      </c>
      <c r="Q482" s="6">
        <f t="shared" si="87"/>
        <v>626.15007890401876</v>
      </c>
      <c r="R482" s="6">
        <f t="shared" si="80"/>
        <v>6542.0047342411272</v>
      </c>
      <c r="S482" s="4">
        <f t="shared" si="81"/>
        <v>50863.934426229513</v>
      </c>
      <c r="T482" s="4">
        <f t="shared" si="82"/>
        <v>6187.833333333333</v>
      </c>
      <c r="U482" s="4">
        <f t="shared" si="83"/>
        <v>2598.89</v>
      </c>
      <c r="V482" s="4">
        <f t="shared" ca="1" si="84"/>
        <v>32</v>
      </c>
      <c r="W482" s="20">
        <f t="shared" ca="1" si="89"/>
        <v>20036.8025249286</v>
      </c>
      <c r="X482" s="4">
        <f t="shared" si="85"/>
        <v>2420.1100000000006</v>
      </c>
      <c r="Y482" s="13">
        <f t="shared" si="86"/>
        <v>7.8000128919972947E-2</v>
      </c>
    </row>
    <row r="483" spans="1:25" x14ac:dyDescent="0.3">
      <c r="A483" s="12" t="s">
        <v>1008</v>
      </c>
      <c r="B483" s="7">
        <v>45130</v>
      </c>
      <c r="C483" s="4" t="s">
        <v>1009</v>
      </c>
      <c r="D483" s="4" t="s">
        <v>18</v>
      </c>
      <c r="E483" s="4">
        <v>8005</v>
      </c>
      <c r="F483" s="4">
        <v>11.8</v>
      </c>
      <c r="G483" s="4">
        <v>60</v>
      </c>
      <c r="H483" s="4" t="s">
        <v>19</v>
      </c>
      <c r="I483" s="4" t="s">
        <v>36</v>
      </c>
      <c r="J483" s="4" t="s">
        <v>47</v>
      </c>
      <c r="K483" s="4">
        <v>68225</v>
      </c>
      <c r="L483" s="4" t="s">
        <v>33</v>
      </c>
      <c r="M483" s="4">
        <v>0.47</v>
      </c>
      <c r="N483" s="4">
        <v>0.73</v>
      </c>
      <c r="O483" s="4">
        <v>8949.59</v>
      </c>
      <c r="P483" s="4">
        <v>0</v>
      </c>
      <c r="Q483" s="6">
        <f t="shared" si="87"/>
        <v>177.25882321208073</v>
      </c>
      <c r="R483" s="6">
        <f t="shared" si="80"/>
        <v>2630.529392724844</v>
      </c>
      <c r="S483" s="4">
        <f t="shared" si="81"/>
        <v>10965.753424657534</v>
      </c>
      <c r="T483" s="4">
        <f t="shared" si="82"/>
        <v>5685.416666666667</v>
      </c>
      <c r="U483" s="4">
        <f t="shared" si="83"/>
        <v>2672.1458333333335</v>
      </c>
      <c r="V483" s="4">
        <f t="shared" ca="1" si="84"/>
        <v>31</v>
      </c>
      <c r="W483" s="20">
        <f t="shared" ca="1" si="89"/>
        <v>5495.0235195745026</v>
      </c>
      <c r="X483" s="4">
        <f t="shared" si="85"/>
        <v>944.59000000000015</v>
      </c>
      <c r="Y483" s="13">
        <f t="shared" si="86"/>
        <v>0.11800000000000002</v>
      </c>
    </row>
    <row r="484" spans="1:25" x14ac:dyDescent="0.3">
      <c r="A484" s="12" t="s">
        <v>1010</v>
      </c>
      <c r="B484" s="7">
        <v>44330</v>
      </c>
      <c r="C484" s="4" t="s">
        <v>1011</v>
      </c>
      <c r="D484" s="4" t="s">
        <v>56</v>
      </c>
      <c r="E484" s="4">
        <v>1956</v>
      </c>
      <c r="F484" s="4">
        <v>8.3000000000000007</v>
      </c>
      <c r="G484" s="4">
        <v>36</v>
      </c>
      <c r="H484" s="4" t="s">
        <v>26</v>
      </c>
      <c r="I484" s="4" t="s">
        <v>57</v>
      </c>
      <c r="J484" s="4" t="s">
        <v>32</v>
      </c>
      <c r="K484" s="4">
        <v>134383</v>
      </c>
      <c r="L484" s="4" t="s">
        <v>33</v>
      </c>
      <c r="M484" s="4">
        <v>0.24</v>
      </c>
      <c r="N484" s="4">
        <v>0.91</v>
      </c>
      <c r="O484" s="4">
        <v>899.87</v>
      </c>
      <c r="P484" s="4">
        <v>0</v>
      </c>
      <c r="Q484" s="6">
        <f t="shared" si="87"/>
        <v>61.564993920563595</v>
      </c>
      <c r="R484" s="6">
        <f t="shared" si="80"/>
        <v>260.33978114028923</v>
      </c>
      <c r="S484" s="4">
        <f t="shared" si="81"/>
        <v>2149.4505494505493</v>
      </c>
      <c r="T484" s="4">
        <f t="shared" si="82"/>
        <v>11198.583333333334</v>
      </c>
      <c r="U484" s="4">
        <f t="shared" si="83"/>
        <v>2687.66</v>
      </c>
      <c r="V484" s="4">
        <f t="shared" ca="1" si="84"/>
        <v>58</v>
      </c>
      <c r="W484" s="20">
        <f t="shared" ca="1" si="89"/>
        <v>3570.7696473926885</v>
      </c>
      <c r="X484" s="4">
        <f t="shared" si="85"/>
        <v>-1056.1300000000001</v>
      </c>
      <c r="Y484" s="13">
        <f t="shared" si="86"/>
        <v>-0.53994376278118617</v>
      </c>
    </row>
    <row r="485" spans="1:25" x14ac:dyDescent="0.3">
      <c r="A485" s="12" t="s">
        <v>1012</v>
      </c>
      <c r="B485" s="7">
        <v>44254</v>
      </c>
      <c r="C485" s="4" t="s">
        <v>1013</v>
      </c>
      <c r="D485" s="4" t="s">
        <v>76</v>
      </c>
      <c r="E485" s="4">
        <v>35839</v>
      </c>
      <c r="F485" s="4">
        <v>8.4</v>
      </c>
      <c r="G485" s="4">
        <v>36</v>
      </c>
      <c r="H485" s="4" t="s">
        <v>26</v>
      </c>
      <c r="I485" s="4" t="s">
        <v>27</v>
      </c>
      <c r="J485" s="4" t="s">
        <v>37</v>
      </c>
      <c r="K485" s="4">
        <v>42453</v>
      </c>
      <c r="L485" s="4" t="s">
        <v>29</v>
      </c>
      <c r="M485" s="4">
        <v>0.22</v>
      </c>
      <c r="N485" s="4">
        <v>0.85</v>
      </c>
      <c r="O485" s="4">
        <v>15026.66</v>
      </c>
      <c r="P485" s="4">
        <v>0</v>
      </c>
      <c r="Q485" s="6">
        <f t="shared" si="87"/>
        <v>1129.6890438697712</v>
      </c>
      <c r="R485" s="6">
        <f t="shared" si="80"/>
        <v>4829.8055793117674</v>
      </c>
      <c r="S485" s="4">
        <f t="shared" si="81"/>
        <v>42163.529411764706</v>
      </c>
      <c r="T485" s="4">
        <f t="shared" si="82"/>
        <v>3537.75</v>
      </c>
      <c r="U485" s="4">
        <f t="shared" si="83"/>
        <v>778.30499999999995</v>
      </c>
      <c r="V485" s="4">
        <f t="shared" ca="1" si="84"/>
        <v>60</v>
      </c>
      <c r="W485" s="20">
        <f t="shared" ca="1" si="89"/>
        <v>67781.342632186279</v>
      </c>
      <c r="X485" s="4">
        <f t="shared" si="85"/>
        <v>-20812.34</v>
      </c>
      <c r="Y485" s="13">
        <f t="shared" si="86"/>
        <v>-0.58071765395239827</v>
      </c>
    </row>
    <row r="486" spans="1:25" x14ac:dyDescent="0.3">
      <c r="A486" s="12" t="s">
        <v>1014</v>
      </c>
      <c r="B486" s="7">
        <v>44881</v>
      </c>
      <c r="C486" s="4" t="s">
        <v>1015</v>
      </c>
      <c r="D486" s="4" t="s">
        <v>25</v>
      </c>
      <c r="E486" s="4">
        <v>9595</v>
      </c>
      <c r="F486" s="4">
        <v>24</v>
      </c>
      <c r="G486" s="4">
        <v>60</v>
      </c>
      <c r="H486" s="4" t="s">
        <v>19</v>
      </c>
      <c r="I486" s="4" t="s">
        <v>20</v>
      </c>
      <c r="J486" s="4" t="s">
        <v>47</v>
      </c>
      <c r="K486" s="4">
        <v>48814</v>
      </c>
      <c r="L486" s="4" t="s">
        <v>33</v>
      </c>
      <c r="M486" s="4">
        <v>0.18</v>
      </c>
      <c r="N486" s="4">
        <v>0.72</v>
      </c>
      <c r="O486" s="4">
        <v>11897.8</v>
      </c>
      <c r="P486" s="4">
        <v>0</v>
      </c>
      <c r="Q486" s="6">
        <f t="shared" si="87"/>
        <v>276.02863209861181</v>
      </c>
      <c r="R486" s="6">
        <f t="shared" si="80"/>
        <v>6966.7179259167096</v>
      </c>
      <c r="S486" s="4">
        <f t="shared" si="81"/>
        <v>13326.388888888889</v>
      </c>
      <c r="T486" s="4">
        <f t="shared" si="82"/>
        <v>4067.8333333333335</v>
      </c>
      <c r="U486" s="4">
        <f t="shared" si="83"/>
        <v>732.21</v>
      </c>
      <c r="V486" s="4">
        <f t="shared" ca="1" si="84"/>
        <v>40</v>
      </c>
      <c r="W486" s="20">
        <f t="shared" ca="1" si="89"/>
        <v>11041.145283944472</v>
      </c>
      <c r="X486" s="4">
        <f t="shared" si="85"/>
        <v>2302.7999999999993</v>
      </c>
      <c r="Y486" s="13">
        <f t="shared" si="86"/>
        <v>0.23999999999999994</v>
      </c>
    </row>
    <row r="487" spans="1:25" x14ac:dyDescent="0.3">
      <c r="A487" s="12" t="s">
        <v>1016</v>
      </c>
      <c r="B487" s="7">
        <v>44868</v>
      </c>
      <c r="C487" s="4" t="s">
        <v>1017</v>
      </c>
      <c r="D487" s="4" t="s">
        <v>46</v>
      </c>
      <c r="E487" s="4">
        <v>13803</v>
      </c>
      <c r="F487" s="4">
        <v>13.9</v>
      </c>
      <c r="G487" s="4">
        <v>36</v>
      </c>
      <c r="H487" s="4" t="s">
        <v>60</v>
      </c>
      <c r="I487" s="4" t="s">
        <v>20</v>
      </c>
      <c r="J487" s="4" t="s">
        <v>47</v>
      </c>
      <c r="K487" s="4">
        <v>48263</v>
      </c>
      <c r="L487" s="4" t="s">
        <v>29</v>
      </c>
      <c r="M487" s="4">
        <v>0.37</v>
      </c>
      <c r="N487" s="4">
        <v>0.93</v>
      </c>
      <c r="O487" s="4">
        <v>0</v>
      </c>
      <c r="P487" s="4">
        <v>0</v>
      </c>
      <c r="Q487" s="6">
        <f t="shared" si="87"/>
        <v>471.08370217879826</v>
      </c>
      <c r="R487" s="6">
        <f t="shared" si="80"/>
        <v>3156.0132784367379</v>
      </c>
      <c r="S487" s="4">
        <f t="shared" si="81"/>
        <v>14841.935483870968</v>
      </c>
      <c r="T487" s="4">
        <f t="shared" si="82"/>
        <v>4021.9166666666665</v>
      </c>
      <c r="U487" s="4">
        <f t="shared" si="83"/>
        <v>1488.1091666666666</v>
      </c>
      <c r="V487" s="4">
        <f t="shared" ca="1" si="84"/>
        <v>40</v>
      </c>
      <c r="W487" s="20">
        <f t="shared" ca="1" si="89"/>
        <v>18843.348087151931</v>
      </c>
      <c r="X487" s="4">
        <f t="shared" si="85"/>
        <v>-13803</v>
      </c>
      <c r="Y487" s="13">
        <f t="shared" si="86"/>
        <v>-1</v>
      </c>
    </row>
    <row r="488" spans="1:25" x14ac:dyDescent="0.3">
      <c r="A488" s="12" t="s">
        <v>1018</v>
      </c>
      <c r="B488" s="7">
        <v>44369</v>
      </c>
      <c r="C488" s="4" t="s">
        <v>1019</v>
      </c>
      <c r="D488" s="4" t="s">
        <v>40</v>
      </c>
      <c r="E488" s="4">
        <v>26963</v>
      </c>
      <c r="F488" s="4">
        <v>20.8</v>
      </c>
      <c r="G488" s="4">
        <v>36</v>
      </c>
      <c r="H488" s="4" t="s">
        <v>19</v>
      </c>
      <c r="I488" s="4" t="s">
        <v>84</v>
      </c>
      <c r="J488" s="4" t="s">
        <v>47</v>
      </c>
      <c r="K488" s="4">
        <v>107694</v>
      </c>
      <c r="L488" s="4" t="s">
        <v>33</v>
      </c>
      <c r="M488" s="4">
        <v>0.23</v>
      </c>
      <c r="N488" s="4">
        <v>0.53</v>
      </c>
      <c r="O488" s="4">
        <v>32571.3</v>
      </c>
      <c r="P488" s="4">
        <v>0</v>
      </c>
      <c r="Q488" s="6">
        <f t="shared" si="87"/>
        <v>1013.0661791978121</v>
      </c>
      <c r="R488" s="6">
        <f t="shared" si="80"/>
        <v>9507.382451121237</v>
      </c>
      <c r="S488" s="4">
        <f t="shared" si="81"/>
        <v>50873.584905660377</v>
      </c>
      <c r="T488" s="4">
        <f t="shared" si="82"/>
        <v>8974.5</v>
      </c>
      <c r="U488" s="4">
        <f t="shared" si="83"/>
        <v>2064.1350000000002</v>
      </c>
      <c r="V488" s="4">
        <f t="shared" ca="1" si="84"/>
        <v>56</v>
      </c>
      <c r="W488" s="20">
        <f t="shared" ca="1" si="89"/>
        <v>56731.706035077477</v>
      </c>
      <c r="X488" s="4">
        <f t="shared" si="85"/>
        <v>5608.2999999999993</v>
      </c>
      <c r="Y488" s="13">
        <f t="shared" si="86"/>
        <v>0.20799985164855539</v>
      </c>
    </row>
    <row r="489" spans="1:25" x14ac:dyDescent="0.3">
      <c r="A489" s="12" t="s">
        <v>1020</v>
      </c>
      <c r="B489" s="7">
        <v>45011</v>
      </c>
      <c r="C489" s="4" t="s">
        <v>1021</v>
      </c>
      <c r="D489" s="4" t="s">
        <v>72</v>
      </c>
      <c r="E489" s="4">
        <v>37221</v>
      </c>
      <c r="F489" s="4">
        <v>17.8</v>
      </c>
      <c r="G489" s="4">
        <v>60</v>
      </c>
      <c r="H489" s="4" t="s">
        <v>315</v>
      </c>
      <c r="I489" s="4" t="s">
        <v>27</v>
      </c>
      <c r="J489" s="4" t="s">
        <v>32</v>
      </c>
      <c r="K489" s="4">
        <v>45735</v>
      </c>
      <c r="L489" s="4" t="s">
        <v>29</v>
      </c>
      <c r="M489" s="4">
        <v>0.5</v>
      </c>
      <c r="N489" s="4">
        <v>0.92</v>
      </c>
      <c r="O489" s="4">
        <v>0</v>
      </c>
      <c r="P489" s="4">
        <v>0</v>
      </c>
      <c r="Q489" s="6">
        <f t="shared" si="87"/>
        <v>941.12380433737144</v>
      </c>
      <c r="R489" s="6">
        <f t="shared" si="80"/>
        <v>19246.42826024229</v>
      </c>
      <c r="S489" s="4">
        <f t="shared" si="81"/>
        <v>40457.608695652169</v>
      </c>
      <c r="T489" s="4">
        <f t="shared" si="82"/>
        <v>3811.25</v>
      </c>
      <c r="U489" s="4">
        <f t="shared" si="83"/>
        <v>1905.625</v>
      </c>
      <c r="V489" s="4">
        <f t="shared" ca="1" si="84"/>
        <v>35</v>
      </c>
      <c r="W489" s="20">
        <f t="shared" ca="1" si="89"/>
        <v>32939.333151808001</v>
      </c>
      <c r="X489" s="4">
        <f t="shared" si="85"/>
        <v>-37221</v>
      </c>
      <c r="Y489" s="13">
        <f t="shared" si="86"/>
        <v>-1</v>
      </c>
    </row>
    <row r="490" spans="1:25" x14ac:dyDescent="0.3">
      <c r="A490" s="12" t="s">
        <v>1022</v>
      </c>
      <c r="B490" s="7">
        <v>44276</v>
      </c>
      <c r="C490" s="4" t="s">
        <v>1023</v>
      </c>
      <c r="D490" s="4" t="s">
        <v>46</v>
      </c>
      <c r="E490" s="4">
        <v>34723</v>
      </c>
      <c r="F490" s="4">
        <v>18.5</v>
      </c>
      <c r="G490" s="4">
        <v>60</v>
      </c>
      <c r="H490" s="4" t="s">
        <v>315</v>
      </c>
      <c r="I490" s="4" t="s">
        <v>57</v>
      </c>
      <c r="J490" s="4" t="s">
        <v>47</v>
      </c>
      <c r="K490" s="4">
        <v>45830</v>
      </c>
      <c r="L490" s="4" t="s">
        <v>33</v>
      </c>
      <c r="M490" s="4">
        <v>0.23</v>
      </c>
      <c r="N490" s="4">
        <v>0.52</v>
      </c>
      <c r="O490" s="4">
        <v>0</v>
      </c>
      <c r="P490" s="4">
        <v>0</v>
      </c>
      <c r="Q490" s="6">
        <f t="shared" si="87"/>
        <v>891.20778122555021</v>
      </c>
      <c r="R490" s="6">
        <f t="shared" si="80"/>
        <v>18749.466873533012</v>
      </c>
      <c r="S490" s="4">
        <f t="shared" si="81"/>
        <v>66775</v>
      </c>
      <c r="T490" s="4">
        <f t="shared" si="82"/>
        <v>3819.1666666666665</v>
      </c>
      <c r="U490" s="4">
        <f t="shared" si="83"/>
        <v>878.4083333333333</v>
      </c>
      <c r="V490" s="4">
        <f t="shared" ca="1" si="84"/>
        <v>59</v>
      </c>
      <c r="W490" s="20">
        <f t="shared" ca="1" si="89"/>
        <v>52581.25909230746</v>
      </c>
      <c r="X490" s="4">
        <f t="shared" si="85"/>
        <v>-34723</v>
      </c>
      <c r="Y490" s="13">
        <f t="shared" si="86"/>
        <v>-1</v>
      </c>
    </row>
    <row r="491" spans="1:25" x14ac:dyDescent="0.3">
      <c r="A491" s="12" t="s">
        <v>1024</v>
      </c>
      <c r="B491" s="7">
        <v>45082</v>
      </c>
      <c r="C491" s="4" t="s">
        <v>1025</v>
      </c>
      <c r="D491" s="4" t="s">
        <v>76</v>
      </c>
      <c r="E491" s="4">
        <v>16282</v>
      </c>
      <c r="F491" s="4">
        <v>7.6</v>
      </c>
      <c r="G491" s="4">
        <v>36</v>
      </c>
      <c r="H491" s="4" t="s">
        <v>19</v>
      </c>
      <c r="I491" s="4" t="s">
        <v>36</v>
      </c>
      <c r="J491" s="4" t="s">
        <v>47</v>
      </c>
      <c r="K491" s="4">
        <v>77893</v>
      </c>
      <c r="L491" s="4" t="s">
        <v>33</v>
      </c>
      <c r="M491" s="4">
        <v>0.26</v>
      </c>
      <c r="N491" s="4">
        <v>0.75</v>
      </c>
      <c r="O491" s="4">
        <v>17519.43</v>
      </c>
      <c r="P491" s="4">
        <v>0</v>
      </c>
      <c r="Q491" s="6">
        <f t="shared" si="87"/>
        <v>507.21956001856222</v>
      </c>
      <c r="R491" s="6">
        <f t="shared" si="80"/>
        <v>1977.9041606682404</v>
      </c>
      <c r="S491" s="4">
        <f t="shared" si="81"/>
        <v>21709.333333333332</v>
      </c>
      <c r="T491" s="4">
        <f t="shared" si="82"/>
        <v>6491.083333333333</v>
      </c>
      <c r="U491" s="4">
        <f t="shared" si="83"/>
        <v>1687.6816666666666</v>
      </c>
      <c r="V491" s="4">
        <f t="shared" ca="1" si="84"/>
        <v>33</v>
      </c>
      <c r="W491" s="20">
        <f t="shared" ca="1" si="89"/>
        <v>16738.245480612553</v>
      </c>
      <c r="X491" s="4">
        <f t="shared" si="85"/>
        <v>1237.4300000000003</v>
      </c>
      <c r="Y491" s="13">
        <f t="shared" si="86"/>
        <v>7.5999877164967464E-2</v>
      </c>
    </row>
    <row r="492" spans="1:25" x14ac:dyDescent="0.3">
      <c r="A492" s="12" t="s">
        <v>1026</v>
      </c>
      <c r="B492" s="7">
        <v>44399</v>
      </c>
      <c r="C492" s="4" t="s">
        <v>1027</v>
      </c>
      <c r="D492" s="4" t="s">
        <v>76</v>
      </c>
      <c r="E492" s="4">
        <v>5703</v>
      </c>
      <c r="F492" s="4">
        <v>9.6999999999999993</v>
      </c>
      <c r="G492" s="4">
        <v>36</v>
      </c>
      <c r="H492" s="4" t="s">
        <v>19</v>
      </c>
      <c r="I492" s="4" t="s">
        <v>36</v>
      </c>
      <c r="J492" s="4" t="s">
        <v>37</v>
      </c>
      <c r="K492" s="4">
        <v>74673</v>
      </c>
      <c r="L492" s="4" t="s">
        <v>22</v>
      </c>
      <c r="M492" s="4">
        <v>0.34</v>
      </c>
      <c r="N492" s="4">
        <v>0.9</v>
      </c>
      <c r="O492" s="4">
        <v>6256.19</v>
      </c>
      <c r="P492" s="4">
        <v>0</v>
      </c>
      <c r="Q492" s="6">
        <f t="shared" si="87"/>
        <v>183.21755702594592</v>
      </c>
      <c r="R492" s="6">
        <f t="shared" si="80"/>
        <v>892.83205293405354</v>
      </c>
      <c r="S492" s="4">
        <f t="shared" si="81"/>
        <v>6336.6666666666661</v>
      </c>
      <c r="T492" s="4">
        <f t="shared" si="82"/>
        <v>6222.75</v>
      </c>
      <c r="U492" s="4">
        <f t="shared" si="83"/>
        <v>2115.7350000000001</v>
      </c>
      <c r="V492" s="4">
        <f t="shared" ca="1" si="84"/>
        <v>55</v>
      </c>
      <c r="W492" s="20">
        <f t="shared" ca="1" si="89"/>
        <v>10076.965636427025</v>
      </c>
      <c r="X492" s="4">
        <f t="shared" si="85"/>
        <v>553.1899999999996</v>
      </c>
      <c r="Y492" s="13">
        <f t="shared" si="86"/>
        <v>9.6999824653690975E-2</v>
      </c>
    </row>
    <row r="493" spans="1:25" x14ac:dyDescent="0.3">
      <c r="A493" s="12" t="s">
        <v>1028</v>
      </c>
      <c r="B493" s="7">
        <v>44960</v>
      </c>
      <c r="C493" s="4" t="s">
        <v>1029</v>
      </c>
      <c r="D493" s="4" t="s">
        <v>53</v>
      </c>
      <c r="E493" s="4">
        <v>7563</v>
      </c>
      <c r="F493" s="4">
        <v>20.7</v>
      </c>
      <c r="G493" s="4">
        <v>60</v>
      </c>
      <c r="H493" s="4" t="s">
        <v>19</v>
      </c>
      <c r="I493" s="4" t="s">
        <v>41</v>
      </c>
      <c r="J493" s="4" t="s">
        <v>32</v>
      </c>
      <c r="K493" s="4">
        <v>119462</v>
      </c>
      <c r="L493" s="4" t="s">
        <v>22</v>
      </c>
      <c r="M493" s="4">
        <v>0.42</v>
      </c>
      <c r="N493" s="4">
        <v>0.62</v>
      </c>
      <c r="O493" s="4">
        <v>9128.5400000000009</v>
      </c>
      <c r="P493" s="4">
        <v>0</v>
      </c>
      <c r="Q493" s="6">
        <f t="shared" si="87"/>
        <v>203.33031627901391</v>
      </c>
      <c r="R493" s="6">
        <f t="shared" si="80"/>
        <v>4636.8189767408348</v>
      </c>
      <c r="S493" s="4">
        <f t="shared" si="81"/>
        <v>12198.387096774193</v>
      </c>
      <c r="T493" s="4">
        <f t="shared" si="82"/>
        <v>9955.1666666666661</v>
      </c>
      <c r="U493" s="4">
        <f t="shared" si="83"/>
        <v>4181.1699999999992</v>
      </c>
      <c r="V493" s="4">
        <f t="shared" ca="1" si="84"/>
        <v>37</v>
      </c>
      <c r="W493" s="20">
        <f t="shared" ca="1" si="89"/>
        <v>7523.2217023235153</v>
      </c>
      <c r="X493" s="4">
        <f t="shared" si="85"/>
        <v>1565.5400000000009</v>
      </c>
      <c r="Y493" s="13">
        <f t="shared" si="86"/>
        <v>0.20699986777733714</v>
      </c>
    </row>
    <row r="494" spans="1:25" x14ac:dyDescent="0.3">
      <c r="A494" s="12" t="s">
        <v>1030</v>
      </c>
      <c r="B494" s="7">
        <v>44243</v>
      </c>
      <c r="C494" s="4" t="s">
        <v>1031</v>
      </c>
      <c r="D494" s="4" t="s">
        <v>53</v>
      </c>
      <c r="E494" s="4">
        <v>26849</v>
      </c>
      <c r="F494" s="4">
        <v>24.4</v>
      </c>
      <c r="G494" s="4">
        <v>36</v>
      </c>
      <c r="H494" s="4" t="s">
        <v>26</v>
      </c>
      <c r="I494" s="4" t="s">
        <v>57</v>
      </c>
      <c r="J494" s="4" t="s">
        <v>32</v>
      </c>
      <c r="K494" s="4">
        <v>75066</v>
      </c>
      <c r="L494" s="4" t="s">
        <v>22</v>
      </c>
      <c r="M494" s="4">
        <v>0.28999999999999998</v>
      </c>
      <c r="N494" s="4">
        <v>0.71</v>
      </c>
      <c r="O494" s="4">
        <v>2888.35</v>
      </c>
      <c r="P494" s="4">
        <v>0</v>
      </c>
      <c r="Q494" s="6">
        <f t="shared" si="87"/>
        <v>1059.0099937284747</v>
      </c>
      <c r="R494" s="6">
        <f t="shared" si="80"/>
        <v>11275.359774225086</v>
      </c>
      <c r="S494" s="4">
        <f t="shared" si="81"/>
        <v>37815.492957746479</v>
      </c>
      <c r="T494" s="4">
        <f t="shared" si="82"/>
        <v>6255.5</v>
      </c>
      <c r="U494" s="4">
        <f t="shared" si="83"/>
        <v>1814.0949999999998</v>
      </c>
      <c r="V494" s="4">
        <f t="shared" ca="1" si="84"/>
        <v>61</v>
      </c>
      <c r="W494" s="20">
        <f t="shared" ca="1" si="89"/>
        <v>64599.609617436952</v>
      </c>
      <c r="X494" s="4">
        <f t="shared" si="85"/>
        <v>-23960.65</v>
      </c>
      <c r="Y494" s="13">
        <f t="shared" si="86"/>
        <v>-0.89242243658981713</v>
      </c>
    </row>
    <row r="495" spans="1:25" x14ac:dyDescent="0.3">
      <c r="A495" s="12" t="s">
        <v>1032</v>
      </c>
      <c r="B495" s="7">
        <v>44852</v>
      </c>
      <c r="C495" s="4" t="s">
        <v>1033</v>
      </c>
      <c r="D495" s="4" t="s">
        <v>46</v>
      </c>
      <c r="E495" s="4">
        <v>32860</v>
      </c>
      <c r="F495" s="4">
        <v>10.3</v>
      </c>
      <c r="G495" s="4">
        <v>36</v>
      </c>
      <c r="H495" s="4" t="s">
        <v>19</v>
      </c>
      <c r="I495" s="4" t="s">
        <v>20</v>
      </c>
      <c r="J495" s="4" t="s">
        <v>47</v>
      </c>
      <c r="K495" s="4">
        <v>130315</v>
      </c>
      <c r="L495" s="4" t="s">
        <v>22</v>
      </c>
      <c r="M495" s="4">
        <v>0.27</v>
      </c>
      <c r="N495" s="4">
        <v>0.65</v>
      </c>
      <c r="O495" s="4">
        <v>36244.58</v>
      </c>
      <c r="P495" s="4">
        <v>0</v>
      </c>
      <c r="Q495" s="6">
        <f t="shared" si="87"/>
        <v>1064.9340702964341</v>
      </c>
      <c r="R495" s="6">
        <f t="shared" si="80"/>
        <v>5477.6265306716305</v>
      </c>
      <c r="S495" s="4">
        <f t="shared" si="81"/>
        <v>50553.846153846149</v>
      </c>
      <c r="T495" s="4">
        <f t="shared" si="82"/>
        <v>10859.583333333334</v>
      </c>
      <c r="U495" s="4">
        <f t="shared" si="83"/>
        <v>2932.0875000000005</v>
      </c>
      <c r="V495" s="4">
        <f t="shared" ca="1" si="84"/>
        <v>41</v>
      </c>
      <c r="W495" s="20">
        <f t="shared" ca="1" si="89"/>
        <v>43662.296882153802</v>
      </c>
      <c r="X495" s="4">
        <f t="shared" si="85"/>
        <v>3384.5800000000017</v>
      </c>
      <c r="Y495" s="13">
        <f t="shared" si="86"/>
        <v>0.10300000000000005</v>
      </c>
    </row>
    <row r="496" spans="1:25" x14ac:dyDescent="0.3">
      <c r="A496" s="12" t="s">
        <v>1034</v>
      </c>
      <c r="B496" s="7">
        <v>44667</v>
      </c>
      <c r="C496" s="4" t="s">
        <v>1035</v>
      </c>
      <c r="D496" s="4" t="s">
        <v>25</v>
      </c>
      <c r="E496" s="4">
        <v>32585</v>
      </c>
      <c r="F496" s="4">
        <v>10.4</v>
      </c>
      <c r="G496" s="4">
        <v>60</v>
      </c>
      <c r="H496" s="4" t="s">
        <v>60</v>
      </c>
      <c r="I496" s="4" t="s">
        <v>73</v>
      </c>
      <c r="J496" s="4" t="s">
        <v>32</v>
      </c>
      <c r="K496" s="4">
        <v>33373</v>
      </c>
      <c r="L496" s="4" t="s">
        <v>22</v>
      </c>
      <c r="M496" s="4">
        <v>0.5</v>
      </c>
      <c r="N496" s="4">
        <v>0.93</v>
      </c>
      <c r="O496" s="4">
        <v>0</v>
      </c>
      <c r="P496" s="4">
        <v>0</v>
      </c>
      <c r="Q496" s="6">
        <f t="shared" si="87"/>
        <v>698.7656342849217</v>
      </c>
      <c r="R496" s="6">
        <f t="shared" si="80"/>
        <v>9340.9380570952999</v>
      </c>
      <c r="S496" s="4">
        <f t="shared" si="81"/>
        <v>35037.634408602149</v>
      </c>
      <c r="T496" s="4">
        <f t="shared" si="82"/>
        <v>2781.0833333333335</v>
      </c>
      <c r="U496" s="4">
        <f t="shared" si="83"/>
        <v>1390.5416666666667</v>
      </c>
      <c r="V496" s="4">
        <f t="shared" ca="1" si="84"/>
        <v>47</v>
      </c>
      <c r="W496" s="20">
        <f t="shared" ca="1" si="89"/>
        <v>32841.984811391318</v>
      </c>
      <c r="X496" s="4">
        <f t="shared" si="85"/>
        <v>-32585</v>
      </c>
      <c r="Y496" s="13">
        <f t="shared" si="86"/>
        <v>-1</v>
      </c>
    </row>
    <row r="497" spans="1:25" x14ac:dyDescent="0.3">
      <c r="A497" s="12" t="s">
        <v>1036</v>
      </c>
      <c r="B497" s="7">
        <v>45167</v>
      </c>
      <c r="C497" s="4" t="s">
        <v>1037</v>
      </c>
      <c r="D497" s="4" t="s">
        <v>56</v>
      </c>
      <c r="E497" s="4">
        <v>23015</v>
      </c>
      <c r="F497" s="4">
        <v>14.5</v>
      </c>
      <c r="G497" s="4">
        <v>60</v>
      </c>
      <c r="H497" s="4" t="s">
        <v>26</v>
      </c>
      <c r="I497" s="4" t="s">
        <v>27</v>
      </c>
      <c r="J497" s="4" t="s">
        <v>28</v>
      </c>
      <c r="K497" s="4">
        <v>40335</v>
      </c>
      <c r="L497" s="4" t="s">
        <v>22</v>
      </c>
      <c r="M497" s="4">
        <v>0.1</v>
      </c>
      <c r="N497" s="4">
        <v>0.87</v>
      </c>
      <c r="O497" s="4">
        <v>11485.91</v>
      </c>
      <c r="P497" s="4">
        <v>0</v>
      </c>
      <c r="Q497" s="6">
        <f t="shared" si="87"/>
        <v>541.50338907594835</v>
      </c>
      <c r="R497" s="6">
        <f t="shared" si="80"/>
        <v>9475.2033445568995</v>
      </c>
      <c r="S497" s="4">
        <f t="shared" si="81"/>
        <v>26454.022988505749</v>
      </c>
      <c r="T497" s="4">
        <f t="shared" si="82"/>
        <v>3361.25</v>
      </c>
      <c r="U497" s="4">
        <f t="shared" si="83"/>
        <v>336.125</v>
      </c>
      <c r="V497" s="4">
        <f t="shared" ca="1" si="84"/>
        <v>30</v>
      </c>
      <c r="W497" s="20">
        <f t="shared" ca="1" si="89"/>
        <v>16245.10167227845</v>
      </c>
      <c r="X497" s="4">
        <f t="shared" si="85"/>
        <v>-11529.09</v>
      </c>
      <c r="Y497" s="13">
        <f t="shared" si="86"/>
        <v>-0.50093808385835326</v>
      </c>
    </row>
    <row r="498" spans="1:25" x14ac:dyDescent="0.3">
      <c r="A498" s="12" t="s">
        <v>1038</v>
      </c>
      <c r="B498" s="7">
        <v>45232</v>
      </c>
      <c r="C498" s="4" t="s">
        <v>1039</v>
      </c>
      <c r="D498" s="4" t="s">
        <v>53</v>
      </c>
      <c r="E498" s="4">
        <v>13003</v>
      </c>
      <c r="F498" s="4">
        <v>24.7</v>
      </c>
      <c r="G498" s="4">
        <v>36</v>
      </c>
      <c r="H498" s="4" t="s">
        <v>19</v>
      </c>
      <c r="I498" s="4" t="s">
        <v>20</v>
      </c>
      <c r="J498" s="4" t="s">
        <v>32</v>
      </c>
      <c r="K498" s="4">
        <v>53741</v>
      </c>
      <c r="L498" s="4" t="s">
        <v>29</v>
      </c>
      <c r="M498" s="4">
        <v>0.46</v>
      </c>
      <c r="N498" s="4">
        <v>0.82</v>
      </c>
      <c r="O498" s="4">
        <v>16214.74</v>
      </c>
      <c r="P498" s="4">
        <v>0</v>
      </c>
      <c r="Q498" s="6">
        <f t="shared" si="87"/>
        <v>514.93611619395631</v>
      </c>
      <c r="R498" s="6">
        <f t="shared" si="80"/>
        <v>5534.7001829824258</v>
      </c>
      <c r="S498" s="4">
        <f t="shared" si="81"/>
        <v>15857.317073170732</v>
      </c>
      <c r="T498" s="4">
        <f t="shared" si="82"/>
        <v>4478.416666666667</v>
      </c>
      <c r="U498" s="4">
        <f t="shared" si="83"/>
        <v>2060.0716666666667</v>
      </c>
      <c r="V498" s="4">
        <f t="shared" ca="1" si="84"/>
        <v>28</v>
      </c>
      <c r="W498" s="20">
        <f t="shared" ref="W498:W517" ca="1" si="90">V498*Q498</f>
        <v>14418.211253430776</v>
      </c>
      <c r="X498" s="4">
        <f t="shared" si="85"/>
        <v>3211.74</v>
      </c>
      <c r="Y498" s="13">
        <f t="shared" si="86"/>
        <v>0.24699992309467045</v>
      </c>
    </row>
    <row r="499" spans="1:25" x14ac:dyDescent="0.3">
      <c r="A499" s="12" t="s">
        <v>1040</v>
      </c>
      <c r="B499" s="7">
        <v>44932</v>
      </c>
      <c r="C499" s="4" t="s">
        <v>1041</v>
      </c>
      <c r="D499" s="4" t="s">
        <v>72</v>
      </c>
      <c r="E499" s="4">
        <v>27958</v>
      </c>
      <c r="F499" s="4">
        <v>10.4</v>
      </c>
      <c r="G499" s="4">
        <v>36</v>
      </c>
      <c r="H499" s="4" t="s">
        <v>19</v>
      </c>
      <c r="I499" s="4" t="s">
        <v>84</v>
      </c>
      <c r="J499" s="4" t="s">
        <v>32</v>
      </c>
      <c r="K499" s="4">
        <v>40692</v>
      </c>
      <c r="L499" s="4" t="s">
        <v>29</v>
      </c>
      <c r="M499" s="4">
        <v>0.16</v>
      </c>
      <c r="N499" s="4">
        <v>0.76</v>
      </c>
      <c r="O499" s="4">
        <v>30865.63</v>
      </c>
      <c r="P499" s="4">
        <v>0</v>
      </c>
      <c r="Q499" s="6">
        <f t="shared" si="87"/>
        <v>907.38557956995362</v>
      </c>
      <c r="R499" s="6">
        <f t="shared" si="80"/>
        <v>4707.8808645183308</v>
      </c>
      <c r="S499" s="4">
        <f t="shared" si="81"/>
        <v>36786.84210526316</v>
      </c>
      <c r="T499" s="4">
        <f t="shared" si="82"/>
        <v>3391</v>
      </c>
      <c r="U499" s="4">
        <f t="shared" si="83"/>
        <v>542.56000000000006</v>
      </c>
      <c r="V499" s="4">
        <f t="shared" ca="1" si="84"/>
        <v>38</v>
      </c>
      <c r="W499" s="20">
        <f t="shared" ca="1" si="90"/>
        <v>34480.652023658236</v>
      </c>
      <c r="X499" s="4">
        <f t="shared" si="85"/>
        <v>2907.630000000001</v>
      </c>
      <c r="Y499" s="13">
        <f t="shared" si="86"/>
        <v>0.1039999284641248</v>
      </c>
    </row>
    <row r="500" spans="1:25" x14ac:dyDescent="0.3">
      <c r="A500" s="12" t="s">
        <v>1042</v>
      </c>
      <c r="B500" s="7">
        <v>44980</v>
      </c>
      <c r="C500" s="4" t="s">
        <v>1043</v>
      </c>
      <c r="D500" s="4" t="s">
        <v>72</v>
      </c>
      <c r="E500" s="4">
        <v>27017</v>
      </c>
      <c r="F500" s="4">
        <v>13.1</v>
      </c>
      <c r="G500" s="4">
        <v>36</v>
      </c>
      <c r="H500" s="4" t="s">
        <v>26</v>
      </c>
      <c r="I500" s="4" t="s">
        <v>20</v>
      </c>
      <c r="J500" s="4" t="s">
        <v>32</v>
      </c>
      <c r="K500" s="4">
        <v>77295</v>
      </c>
      <c r="L500" s="4" t="s">
        <v>22</v>
      </c>
      <c r="M500" s="4">
        <v>0.41</v>
      </c>
      <c r="N500" s="4">
        <v>0.87</v>
      </c>
      <c r="O500" s="4">
        <v>4494.63</v>
      </c>
      <c r="P500" s="4">
        <v>0</v>
      </c>
      <c r="Q500" s="6">
        <f t="shared" si="87"/>
        <v>911.61135352618476</v>
      </c>
      <c r="R500" s="6">
        <f t="shared" si="80"/>
        <v>5801.0087269426513</v>
      </c>
      <c r="S500" s="4">
        <f t="shared" si="81"/>
        <v>31054.022988505749</v>
      </c>
      <c r="T500" s="4">
        <f t="shared" si="82"/>
        <v>6441.25</v>
      </c>
      <c r="U500" s="4">
        <f t="shared" si="83"/>
        <v>2640.9124999999999</v>
      </c>
      <c r="V500" s="4">
        <f t="shared" ca="1" si="84"/>
        <v>36</v>
      </c>
      <c r="W500" s="20">
        <f t="shared" ca="1" si="90"/>
        <v>32818.008726942651</v>
      </c>
      <c r="X500" s="4">
        <f t="shared" si="85"/>
        <v>-22522.37</v>
      </c>
      <c r="Y500" s="13">
        <f t="shared" si="86"/>
        <v>-0.83363696931561604</v>
      </c>
    </row>
    <row r="501" spans="1:25" x14ac:dyDescent="0.3">
      <c r="A501" s="12" t="s">
        <v>1044</v>
      </c>
      <c r="B501" s="7">
        <v>45164</v>
      </c>
      <c r="C501" s="4" t="s">
        <v>1045</v>
      </c>
      <c r="D501" s="4" t="s">
        <v>56</v>
      </c>
      <c r="E501" s="4">
        <v>12171</v>
      </c>
      <c r="F501" s="4">
        <v>22.8</v>
      </c>
      <c r="G501" s="4">
        <v>60</v>
      </c>
      <c r="H501" s="4" t="s">
        <v>19</v>
      </c>
      <c r="I501" s="4" t="s">
        <v>73</v>
      </c>
      <c r="J501" s="4" t="s">
        <v>21</v>
      </c>
      <c r="K501" s="4">
        <v>75541</v>
      </c>
      <c r="L501" s="4" t="s">
        <v>29</v>
      </c>
      <c r="M501" s="4">
        <v>0.35</v>
      </c>
      <c r="N501" s="4">
        <v>0.68</v>
      </c>
      <c r="O501" s="4">
        <v>14945.99</v>
      </c>
      <c r="P501" s="4">
        <v>0</v>
      </c>
      <c r="Q501" s="6">
        <f t="shared" si="87"/>
        <v>341.70912711168398</v>
      </c>
      <c r="R501" s="6">
        <f t="shared" si="80"/>
        <v>8331.5476267010381</v>
      </c>
      <c r="S501" s="4">
        <f t="shared" si="81"/>
        <v>17898.529411764706</v>
      </c>
      <c r="T501" s="4">
        <f t="shared" si="82"/>
        <v>6295.083333333333</v>
      </c>
      <c r="U501" s="4">
        <f t="shared" si="83"/>
        <v>2203.2791666666662</v>
      </c>
      <c r="V501" s="4">
        <f t="shared" ca="1" si="84"/>
        <v>30</v>
      </c>
      <c r="W501" s="20">
        <f t="shared" ca="1" si="90"/>
        <v>10251.273813350519</v>
      </c>
      <c r="X501" s="4">
        <f t="shared" si="85"/>
        <v>2774.99</v>
      </c>
      <c r="Y501" s="13">
        <f t="shared" si="86"/>
        <v>0.22800016432503489</v>
      </c>
    </row>
    <row r="502" spans="1:25" x14ac:dyDescent="0.3">
      <c r="A502" s="12" t="s">
        <v>1046</v>
      </c>
      <c r="B502" s="7">
        <v>44554</v>
      </c>
      <c r="C502" s="4" t="s">
        <v>1047</v>
      </c>
      <c r="D502" s="4" t="s">
        <v>65</v>
      </c>
      <c r="E502" s="4">
        <v>13201</v>
      </c>
      <c r="F502" s="4">
        <v>5.0999999999999996</v>
      </c>
      <c r="G502" s="4">
        <v>36</v>
      </c>
      <c r="H502" s="4" t="s">
        <v>26</v>
      </c>
      <c r="I502" s="4" t="s">
        <v>57</v>
      </c>
      <c r="J502" s="4" t="s">
        <v>21</v>
      </c>
      <c r="K502" s="4">
        <v>64057</v>
      </c>
      <c r="L502" s="4" t="s">
        <v>22</v>
      </c>
      <c r="M502" s="4">
        <v>0.24</v>
      </c>
      <c r="N502" s="4">
        <v>0.7</v>
      </c>
      <c r="O502" s="4">
        <v>4962.1499999999996</v>
      </c>
      <c r="P502" s="4">
        <v>0</v>
      </c>
      <c r="Q502" s="6">
        <f t="shared" si="87"/>
        <v>396.23878060180414</v>
      </c>
      <c r="R502" s="6">
        <f t="shared" si="80"/>
        <v>1063.5961016649489</v>
      </c>
      <c r="S502" s="4">
        <f t="shared" si="81"/>
        <v>18858.571428571431</v>
      </c>
      <c r="T502" s="4">
        <f t="shared" si="82"/>
        <v>5338.083333333333</v>
      </c>
      <c r="U502" s="4">
        <f t="shared" si="83"/>
        <v>1281.1399999999999</v>
      </c>
      <c r="V502" s="4">
        <f t="shared" ca="1" si="84"/>
        <v>50</v>
      </c>
      <c r="W502" s="20">
        <f t="shared" ca="1" si="90"/>
        <v>19811.939030090209</v>
      </c>
      <c r="X502" s="4">
        <f t="shared" si="85"/>
        <v>-8238.85</v>
      </c>
      <c r="Y502" s="13">
        <f t="shared" si="86"/>
        <v>-0.62410802211953642</v>
      </c>
    </row>
    <row r="503" spans="1:25" x14ac:dyDescent="0.3">
      <c r="A503" s="12" t="s">
        <v>1048</v>
      </c>
      <c r="B503" s="7">
        <v>45168</v>
      </c>
      <c r="C503" s="4" t="s">
        <v>1049</v>
      </c>
      <c r="D503" s="4" t="s">
        <v>65</v>
      </c>
      <c r="E503" s="4">
        <v>30426</v>
      </c>
      <c r="F503" s="4">
        <v>5.8</v>
      </c>
      <c r="G503" s="4">
        <v>36</v>
      </c>
      <c r="H503" s="4" t="s">
        <v>19</v>
      </c>
      <c r="I503" s="4" t="s">
        <v>27</v>
      </c>
      <c r="J503" s="4" t="s">
        <v>21</v>
      </c>
      <c r="K503" s="4">
        <v>96983</v>
      </c>
      <c r="L503" s="4" t="s">
        <v>29</v>
      </c>
      <c r="M503" s="4">
        <v>0.45</v>
      </c>
      <c r="N503" s="4">
        <v>0.83</v>
      </c>
      <c r="O503" s="4">
        <v>32190.71</v>
      </c>
      <c r="P503" s="4">
        <v>0</v>
      </c>
      <c r="Q503" s="6">
        <f t="shared" si="87"/>
        <v>922.86316279446953</v>
      </c>
      <c r="R503" s="6">
        <f t="shared" si="80"/>
        <v>2797.0738606009036</v>
      </c>
      <c r="S503" s="4">
        <f t="shared" si="81"/>
        <v>36657.831325301209</v>
      </c>
      <c r="T503" s="4">
        <f t="shared" si="82"/>
        <v>8081.916666666667</v>
      </c>
      <c r="U503" s="4">
        <f t="shared" si="83"/>
        <v>3636.8625000000002</v>
      </c>
      <c r="V503" s="4">
        <f t="shared" ca="1" si="84"/>
        <v>30</v>
      </c>
      <c r="W503" s="20">
        <f t="shared" ca="1" si="90"/>
        <v>27685.894883834088</v>
      </c>
      <c r="X503" s="4">
        <f t="shared" si="85"/>
        <v>1764.7099999999991</v>
      </c>
      <c r="Y503" s="13">
        <f t="shared" si="86"/>
        <v>5.8000065733254426E-2</v>
      </c>
    </row>
    <row r="504" spans="1:25" x14ac:dyDescent="0.3">
      <c r="A504" s="12" t="s">
        <v>1050</v>
      </c>
      <c r="B504" s="7">
        <v>44864</v>
      </c>
      <c r="C504" s="4" t="s">
        <v>1051</v>
      </c>
      <c r="D504" s="4" t="s">
        <v>76</v>
      </c>
      <c r="E504" s="4">
        <v>18778</v>
      </c>
      <c r="F504" s="4">
        <v>17.100000000000001</v>
      </c>
      <c r="G504" s="4">
        <v>60</v>
      </c>
      <c r="H504" s="4" t="s">
        <v>19</v>
      </c>
      <c r="I504" s="4" t="s">
        <v>57</v>
      </c>
      <c r="J504" s="4" t="s">
        <v>32</v>
      </c>
      <c r="K504" s="4">
        <v>49583</v>
      </c>
      <c r="L504" s="4" t="s">
        <v>33</v>
      </c>
      <c r="M504" s="4">
        <v>0.11</v>
      </c>
      <c r="N504" s="4">
        <v>0.66</v>
      </c>
      <c r="O504" s="4">
        <v>21989.040000000001</v>
      </c>
      <c r="P504" s="4">
        <v>0</v>
      </c>
      <c r="Q504" s="6">
        <f t="shared" si="87"/>
        <v>467.69194609331515</v>
      </c>
      <c r="R504" s="6">
        <f t="shared" si="80"/>
        <v>9283.5167655989098</v>
      </c>
      <c r="S504" s="4">
        <f t="shared" si="81"/>
        <v>28451.515151515152</v>
      </c>
      <c r="T504" s="4">
        <f t="shared" si="82"/>
        <v>4131.916666666667</v>
      </c>
      <c r="U504" s="4">
        <f t="shared" si="83"/>
        <v>454.51083333333338</v>
      </c>
      <c r="V504" s="4">
        <f t="shared" ca="1" si="84"/>
        <v>40</v>
      </c>
      <c r="W504" s="20">
        <f t="shared" ca="1" si="90"/>
        <v>18707.677843732607</v>
      </c>
      <c r="X504" s="4">
        <f t="shared" si="85"/>
        <v>3211.0400000000009</v>
      </c>
      <c r="Y504" s="13">
        <f t="shared" si="86"/>
        <v>0.17100010650761535</v>
      </c>
    </row>
    <row r="505" spans="1:25" x14ac:dyDescent="0.3">
      <c r="A505" s="12" t="s">
        <v>1052</v>
      </c>
      <c r="B505" s="7">
        <v>44569</v>
      </c>
      <c r="C505" s="4" t="s">
        <v>1053</v>
      </c>
      <c r="D505" s="4" t="s">
        <v>53</v>
      </c>
      <c r="E505" s="4">
        <v>22116</v>
      </c>
      <c r="F505" s="4">
        <v>23.1</v>
      </c>
      <c r="G505" s="4">
        <v>60</v>
      </c>
      <c r="H505" s="4" t="s">
        <v>19</v>
      </c>
      <c r="I505" s="4" t="s">
        <v>84</v>
      </c>
      <c r="J505" s="4" t="s">
        <v>28</v>
      </c>
      <c r="K505" s="4">
        <v>52765</v>
      </c>
      <c r="L505" s="4" t="s">
        <v>29</v>
      </c>
      <c r="M505" s="4">
        <v>0.19</v>
      </c>
      <c r="N505" s="4">
        <v>0.53</v>
      </c>
      <c r="O505" s="4">
        <v>27224.799999999999</v>
      </c>
      <c r="P505" s="4">
        <v>0</v>
      </c>
      <c r="Q505" s="6">
        <f t="shared" si="87"/>
        <v>624.73176497237398</v>
      </c>
      <c r="R505" s="6">
        <f t="shared" si="80"/>
        <v>15367.90589834244</v>
      </c>
      <c r="S505" s="4">
        <f t="shared" si="81"/>
        <v>41728.301886792447</v>
      </c>
      <c r="T505" s="4">
        <f t="shared" si="82"/>
        <v>4397.083333333333</v>
      </c>
      <c r="U505" s="4">
        <f t="shared" si="83"/>
        <v>835.44583333333333</v>
      </c>
      <c r="V505" s="4">
        <f t="shared" ca="1" si="84"/>
        <v>50</v>
      </c>
      <c r="W505" s="20">
        <f t="shared" ca="1" si="90"/>
        <v>31236.5882486187</v>
      </c>
      <c r="X505" s="4">
        <f t="shared" si="85"/>
        <v>5108.7999999999993</v>
      </c>
      <c r="Y505" s="13">
        <f t="shared" si="86"/>
        <v>0.23100018086453245</v>
      </c>
    </row>
    <row r="506" spans="1:25" x14ac:dyDescent="0.3">
      <c r="A506" s="12" t="s">
        <v>1054</v>
      </c>
      <c r="B506" s="7">
        <v>45228</v>
      </c>
      <c r="C506" s="4" t="s">
        <v>1055</v>
      </c>
      <c r="D506" s="4" t="s">
        <v>18</v>
      </c>
      <c r="E506" s="4">
        <v>34297</v>
      </c>
      <c r="F506" s="4">
        <v>9.8000000000000007</v>
      </c>
      <c r="G506" s="4">
        <v>36</v>
      </c>
      <c r="H506" s="4" t="s">
        <v>26</v>
      </c>
      <c r="I506" s="4" t="s">
        <v>73</v>
      </c>
      <c r="J506" s="4" t="s">
        <v>32</v>
      </c>
      <c r="K506" s="4">
        <v>89287</v>
      </c>
      <c r="L506" s="4" t="s">
        <v>29</v>
      </c>
      <c r="M506" s="4">
        <v>0.33</v>
      </c>
      <c r="N506" s="4">
        <v>0.53</v>
      </c>
      <c r="O506" s="4">
        <v>15729.14</v>
      </c>
      <c r="P506" s="4">
        <v>0</v>
      </c>
      <c r="Q506" s="6">
        <f t="shared" si="87"/>
        <v>1103.450066223231</v>
      </c>
      <c r="R506" s="6">
        <f t="shared" si="80"/>
        <v>5427.2023840363181</v>
      </c>
      <c r="S506" s="4">
        <f t="shared" si="81"/>
        <v>64711.32075471698</v>
      </c>
      <c r="T506" s="4">
        <f t="shared" si="82"/>
        <v>7440.583333333333</v>
      </c>
      <c r="U506" s="4">
        <f t="shared" si="83"/>
        <v>2455.3924999999999</v>
      </c>
      <c r="V506" s="4">
        <f t="shared" ca="1" si="84"/>
        <v>28</v>
      </c>
      <c r="W506" s="20">
        <f t="shared" ca="1" si="90"/>
        <v>30896.601854250468</v>
      </c>
      <c r="X506" s="4">
        <f t="shared" si="85"/>
        <v>-18567.86</v>
      </c>
      <c r="Y506" s="13">
        <f t="shared" si="86"/>
        <v>-0.54138437764235936</v>
      </c>
    </row>
    <row r="507" spans="1:25" x14ac:dyDescent="0.3">
      <c r="A507" s="12" t="s">
        <v>1056</v>
      </c>
      <c r="B507" s="7">
        <v>44872</v>
      </c>
      <c r="C507" s="4" t="s">
        <v>1057</v>
      </c>
      <c r="D507" s="4" t="s">
        <v>46</v>
      </c>
      <c r="E507" s="4">
        <v>20342</v>
      </c>
      <c r="F507" s="4">
        <v>14.4</v>
      </c>
      <c r="G507" s="4">
        <v>60</v>
      </c>
      <c r="H507" s="4" t="s">
        <v>19</v>
      </c>
      <c r="I507" s="4" t="s">
        <v>84</v>
      </c>
      <c r="J507" s="4" t="s">
        <v>47</v>
      </c>
      <c r="K507" s="4">
        <v>53906</v>
      </c>
      <c r="L507" s="4" t="s">
        <v>29</v>
      </c>
      <c r="M507" s="4">
        <v>0.24</v>
      </c>
      <c r="N507" s="4">
        <v>0.55000000000000004</v>
      </c>
      <c r="O507" s="4">
        <v>23271.25</v>
      </c>
      <c r="P507" s="4">
        <v>0</v>
      </c>
      <c r="Q507" s="6">
        <f t="shared" si="87"/>
        <v>477.55174806493085</v>
      </c>
      <c r="R507" s="6">
        <f t="shared" si="80"/>
        <v>8311.1048838958523</v>
      </c>
      <c r="S507" s="4">
        <f t="shared" si="81"/>
        <v>36985.454545454544</v>
      </c>
      <c r="T507" s="4">
        <f t="shared" si="82"/>
        <v>4492.166666666667</v>
      </c>
      <c r="U507" s="4">
        <f t="shared" si="83"/>
        <v>1078.1200000000001</v>
      </c>
      <c r="V507" s="4">
        <f t="shared" ca="1" si="84"/>
        <v>40</v>
      </c>
      <c r="W507" s="20">
        <f t="shared" ca="1" si="90"/>
        <v>19102.069922597235</v>
      </c>
      <c r="X507" s="4">
        <f t="shared" si="85"/>
        <v>2929.25</v>
      </c>
      <c r="Y507" s="13">
        <f t="shared" si="86"/>
        <v>0.14400009831874938</v>
      </c>
    </row>
    <row r="508" spans="1:25" x14ac:dyDescent="0.3">
      <c r="A508" s="12" t="s">
        <v>1058</v>
      </c>
      <c r="B508" s="7">
        <v>44286</v>
      </c>
      <c r="C508" s="4" t="s">
        <v>1059</v>
      </c>
      <c r="D508" s="4" t="s">
        <v>50</v>
      </c>
      <c r="E508" s="4">
        <v>28490</v>
      </c>
      <c r="F508" s="4">
        <v>14</v>
      </c>
      <c r="G508" s="4">
        <v>60</v>
      </c>
      <c r="H508" s="4" t="s">
        <v>26</v>
      </c>
      <c r="I508" s="4" t="s">
        <v>41</v>
      </c>
      <c r="J508" s="4" t="s">
        <v>28</v>
      </c>
      <c r="K508" s="4">
        <v>115103</v>
      </c>
      <c r="L508" s="4" t="s">
        <v>33</v>
      </c>
      <c r="M508" s="4">
        <v>0.34</v>
      </c>
      <c r="N508" s="4">
        <v>0.89</v>
      </c>
      <c r="O508" s="4">
        <v>4446.13</v>
      </c>
      <c r="P508" s="4">
        <v>0</v>
      </c>
      <c r="Q508" s="6">
        <f t="shared" si="87"/>
        <v>662.91246669905547</v>
      </c>
      <c r="R508" s="6">
        <f t="shared" si="80"/>
        <v>11284.748001943328</v>
      </c>
      <c r="S508" s="4">
        <f t="shared" si="81"/>
        <v>32011.235955056178</v>
      </c>
      <c r="T508" s="4">
        <f t="shared" si="82"/>
        <v>9591.9166666666661</v>
      </c>
      <c r="U508" s="4">
        <f t="shared" si="83"/>
        <v>3261.2516666666666</v>
      </c>
      <c r="V508" s="4">
        <f t="shared" ca="1" si="84"/>
        <v>59</v>
      </c>
      <c r="W508" s="20">
        <f t="shared" ca="1" si="90"/>
        <v>39111.835535244274</v>
      </c>
      <c r="X508" s="4">
        <f t="shared" si="85"/>
        <v>-24043.87</v>
      </c>
      <c r="Y508" s="13">
        <f t="shared" si="86"/>
        <v>-0.84394068094068087</v>
      </c>
    </row>
    <row r="509" spans="1:25" x14ac:dyDescent="0.3">
      <c r="A509" s="12" t="s">
        <v>1060</v>
      </c>
      <c r="B509" s="7">
        <v>44894</v>
      </c>
      <c r="C509" s="4" t="s">
        <v>1061</v>
      </c>
      <c r="D509" s="4" t="s">
        <v>56</v>
      </c>
      <c r="E509" s="4">
        <v>20975</v>
      </c>
      <c r="F509" s="4">
        <v>14.5</v>
      </c>
      <c r="G509" s="4">
        <v>36</v>
      </c>
      <c r="H509" s="4" t="s">
        <v>19</v>
      </c>
      <c r="I509" s="4" t="s">
        <v>27</v>
      </c>
      <c r="J509" s="4" t="s">
        <v>21</v>
      </c>
      <c r="K509" s="4">
        <v>109675</v>
      </c>
      <c r="L509" s="4" t="s">
        <v>22</v>
      </c>
      <c r="M509" s="4">
        <v>0.11</v>
      </c>
      <c r="N509" s="4">
        <v>0.71</v>
      </c>
      <c r="O509" s="4">
        <v>24016.38</v>
      </c>
      <c r="P509" s="4">
        <v>0</v>
      </c>
      <c r="Q509" s="6">
        <f t="shared" si="87"/>
        <v>721.98000186301806</v>
      </c>
      <c r="R509" s="6">
        <f t="shared" si="80"/>
        <v>5016.2800670686483</v>
      </c>
      <c r="S509" s="4">
        <f t="shared" si="81"/>
        <v>29542.25352112676</v>
      </c>
      <c r="T509" s="4">
        <f t="shared" si="82"/>
        <v>9139.5833333333339</v>
      </c>
      <c r="U509" s="4">
        <f t="shared" si="83"/>
        <v>1005.3541666666667</v>
      </c>
      <c r="V509" s="4">
        <f t="shared" ca="1" si="84"/>
        <v>39</v>
      </c>
      <c r="W509" s="20">
        <f t="shared" ca="1" si="90"/>
        <v>28157.220072657703</v>
      </c>
      <c r="X509" s="4">
        <f t="shared" si="85"/>
        <v>3041.380000000001</v>
      </c>
      <c r="Y509" s="13">
        <f t="shared" si="86"/>
        <v>0.14500023837902271</v>
      </c>
    </row>
    <row r="510" spans="1:25" x14ac:dyDescent="0.3">
      <c r="A510" s="12" t="s">
        <v>1062</v>
      </c>
      <c r="B510" s="7">
        <v>44736</v>
      </c>
      <c r="C510" s="4" t="s">
        <v>1063</v>
      </c>
      <c r="D510" s="4" t="s">
        <v>76</v>
      </c>
      <c r="E510" s="4">
        <v>27723</v>
      </c>
      <c r="F510" s="4">
        <v>17.5</v>
      </c>
      <c r="G510" s="4">
        <v>60</v>
      </c>
      <c r="H510" s="4" t="s">
        <v>26</v>
      </c>
      <c r="I510" s="4" t="s">
        <v>41</v>
      </c>
      <c r="J510" s="4" t="s">
        <v>37</v>
      </c>
      <c r="K510" s="4">
        <v>76525</v>
      </c>
      <c r="L510" s="4" t="s">
        <v>29</v>
      </c>
      <c r="M510" s="4">
        <v>0.15</v>
      </c>
      <c r="N510" s="4">
        <v>0.82</v>
      </c>
      <c r="O510" s="4">
        <v>12716.99</v>
      </c>
      <c r="P510" s="4">
        <v>0</v>
      </c>
      <c r="Q510" s="6">
        <f t="shared" si="87"/>
        <v>696.46313114938494</v>
      </c>
      <c r="R510" s="6">
        <f t="shared" si="80"/>
        <v>14064.787868963096</v>
      </c>
      <c r="S510" s="4">
        <f t="shared" si="81"/>
        <v>33808.536585365859</v>
      </c>
      <c r="T510" s="4">
        <f t="shared" si="82"/>
        <v>6377.083333333333</v>
      </c>
      <c r="U510" s="4">
        <f t="shared" si="83"/>
        <v>956.56249999999989</v>
      </c>
      <c r="V510" s="4">
        <f t="shared" ca="1" si="84"/>
        <v>44</v>
      </c>
      <c r="W510" s="20">
        <f t="shared" ca="1" si="90"/>
        <v>30644.377770572937</v>
      </c>
      <c r="X510" s="4">
        <f t="shared" si="85"/>
        <v>-15006.01</v>
      </c>
      <c r="Y510" s="13">
        <f t="shared" si="86"/>
        <v>-0.54128377159759045</v>
      </c>
    </row>
    <row r="511" spans="1:25" x14ac:dyDescent="0.3">
      <c r="A511" s="12" t="s">
        <v>1064</v>
      </c>
      <c r="B511" s="7">
        <v>44928</v>
      </c>
      <c r="C511" s="4" t="s">
        <v>1065</v>
      </c>
      <c r="D511" s="4" t="s">
        <v>18</v>
      </c>
      <c r="E511" s="4">
        <v>24279</v>
      </c>
      <c r="F511" s="4">
        <v>14.4</v>
      </c>
      <c r="G511" s="4">
        <v>60</v>
      </c>
      <c r="H511" s="4" t="s">
        <v>26</v>
      </c>
      <c r="I511" s="4" t="s">
        <v>20</v>
      </c>
      <c r="J511" s="4" t="s">
        <v>28</v>
      </c>
      <c r="K511" s="4">
        <v>68230</v>
      </c>
      <c r="L511" s="4" t="s">
        <v>29</v>
      </c>
      <c r="M511" s="4">
        <v>0.15</v>
      </c>
      <c r="N511" s="4">
        <v>0.68</v>
      </c>
      <c r="O511" s="4">
        <v>4595.21</v>
      </c>
      <c r="P511" s="4">
        <v>0</v>
      </c>
      <c r="Q511" s="6">
        <f t="shared" si="87"/>
        <v>569.9773321830919</v>
      </c>
      <c r="R511" s="6">
        <f t="shared" si="80"/>
        <v>9919.6399309855115</v>
      </c>
      <c r="S511" s="4">
        <f t="shared" si="81"/>
        <v>35704.411764705881</v>
      </c>
      <c r="T511" s="4">
        <f t="shared" si="82"/>
        <v>5685.833333333333</v>
      </c>
      <c r="U511" s="4">
        <f t="shared" si="83"/>
        <v>852.87499999999989</v>
      </c>
      <c r="V511" s="4">
        <f t="shared" ca="1" si="84"/>
        <v>38</v>
      </c>
      <c r="W511" s="20">
        <f t="shared" ca="1" si="90"/>
        <v>21659.138622957493</v>
      </c>
      <c r="X511" s="4">
        <f t="shared" si="85"/>
        <v>-19683.79</v>
      </c>
      <c r="Y511" s="13">
        <f t="shared" si="86"/>
        <v>-0.81073314386918738</v>
      </c>
    </row>
    <row r="512" spans="1:25" x14ac:dyDescent="0.3">
      <c r="A512" s="12" t="s">
        <v>1066</v>
      </c>
      <c r="B512" s="7">
        <v>45065</v>
      </c>
      <c r="C512" s="4" t="s">
        <v>1067</v>
      </c>
      <c r="D512" s="4" t="s">
        <v>53</v>
      </c>
      <c r="E512" s="4">
        <v>13765</v>
      </c>
      <c r="F512" s="4">
        <v>13.9</v>
      </c>
      <c r="G512" s="4">
        <v>36</v>
      </c>
      <c r="H512" s="4" t="s">
        <v>19</v>
      </c>
      <c r="I512" s="4" t="s">
        <v>57</v>
      </c>
      <c r="J512" s="4" t="s">
        <v>21</v>
      </c>
      <c r="K512" s="4">
        <v>147904</v>
      </c>
      <c r="L512" s="4" t="s">
        <v>33</v>
      </c>
      <c r="M512" s="4">
        <v>0.18</v>
      </c>
      <c r="N512" s="4">
        <v>0.62</v>
      </c>
      <c r="O512" s="4">
        <v>15678.34</v>
      </c>
      <c r="P512" s="4">
        <v>0</v>
      </c>
      <c r="Q512" s="6">
        <f t="shared" si="87"/>
        <v>469.78679710868352</v>
      </c>
      <c r="R512" s="6">
        <f t="shared" si="80"/>
        <v>3147.3246959126081</v>
      </c>
      <c r="S512" s="4">
        <f t="shared" si="81"/>
        <v>22201.612903225807</v>
      </c>
      <c r="T512" s="4">
        <f t="shared" si="82"/>
        <v>12325.333333333334</v>
      </c>
      <c r="U512" s="4">
        <f t="shared" si="83"/>
        <v>2218.56</v>
      </c>
      <c r="V512" s="4">
        <f t="shared" ca="1" si="84"/>
        <v>34</v>
      </c>
      <c r="W512" s="20">
        <f t="shared" ca="1" si="90"/>
        <v>15972.751101695239</v>
      </c>
      <c r="X512" s="4">
        <f t="shared" si="85"/>
        <v>1913.3400000000001</v>
      </c>
      <c r="Y512" s="13">
        <f t="shared" si="86"/>
        <v>0.1390003632401017</v>
      </c>
    </row>
    <row r="513" spans="1:25" x14ac:dyDescent="0.3">
      <c r="A513" s="12" t="s">
        <v>1068</v>
      </c>
      <c r="B513" s="7">
        <v>44237</v>
      </c>
      <c r="C513" s="4" t="s">
        <v>1069</v>
      </c>
      <c r="D513" s="4" t="s">
        <v>18</v>
      </c>
      <c r="E513" s="4">
        <v>12561</v>
      </c>
      <c r="F513" s="4">
        <v>14.5</v>
      </c>
      <c r="G513" s="4">
        <v>60</v>
      </c>
      <c r="H513" s="4" t="s">
        <v>26</v>
      </c>
      <c r="I513" s="4" t="s">
        <v>20</v>
      </c>
      <c r="J513" s="4" t="s">
        <v>28</v>
      </c>
      <c r="K513" s="4">
        <v>49520</v>
      </c>
      <c r="L513" s="4" t="s">
        <v>22</v>
      </c>
      <c r="M513" s="4">
        <v>0.28000000000000003</v>
      </c>
      <c r="N513" s="4">
        <v>0.66</v>
      </c>
      <c r="O513" s="4">
        <v>6147.18</v>
      </c>
      <c r="P513" s="4">
        <v>0</v>
      </c>
      <c r="Q513" s="6">
        <f t="shared" si="87"/>
        <v>295.53873865665821</v>
      </c>
      <c r="R513" s="6">
        <f t="shared" si="80"/>
        <v>5171.3243193994931</v>
      </c>
      <c r="S513" s="4">
        <f t="shared" si="81"/>
        <v>19031.81818181818</v>
      </c>
      <c r="T513" s="4">
        <f t="shared" si="82"/>
        <v>4126.666666666667</v>
      </c>
      <c r="U513" s="4">
        <f t="shared" si="83"/>
        <v>1155.4666666666669</v>
      </c>
      <c r="V513" s="4">
        <f t="shared" ca="1" si="84"/>
        <v>61</v>
      </c>
      <c r="W513" s="20">
        <f t="shared" ca="1" si="90"/>
        <v>18027.863058056151</v>
      </c>
      <c r="X513" s="4">
        <f t="shared" si="85"/>
        <v>-6413.82</v>
      </c>
      <c r="Y513" s="13">
        <f t="shared" si="86"/>
        <v>-0.51061380463338901</v>
      </c>
    </row>
    <row r="514" spans="1:25" x14ac:dyDescent="0.3">
      <c r="A514" s="12" t="s">
        <v>1070</v>
      </c>
      <c r="B514" s="7">
        <v>44936</v>
      </c>
      <c r="C514" s="4" t="s">
        <v>1071</v>
      </c>
      <c r="D514" s="4" t="s">
        <v>18</v>
      </c>
      <c r="E514" s="4">
        <v>1525</v>
      </c>
      <c r="F514" s="4">
        <v>16.8</v>
      </c>
      <c r="G514" s="4">
        <v>36</v>
      </c>
      <c r="H514" s="4" t="s">
        <v>19</v>
      </c>
      <c r="I514" s="4" t="s">
        <v>57</v>
      </c>
      <c r="J514" s="4" t="s">
        <v>28</v>
      </c>
      <c r="K514" s="4">
        <v>115238</v>
      </c>
      <c r="L514" s="4" t="s">
        <v>29</v>
      </c>
      <c r="M514" s="4">
        <v>0.4</v>
      </c>
      <c r="N514" s="4">
        <v>0.86</v>
      </c>
      <c r="O514" s="4">
        <v>1781.2</v>
      </c>
      <c r="P514" s="4">
        <v>0</v>
      </c>
      <c r="Q514" s="6">
        <f t="shared" si="87"/>
        <v>54.218737073878039</v>
      </c>
      <c r="R514" s="6">
        <f t="shared" ref="R514:R577" si="91">(Q514*G514)-E514</f>
        <v>426.87453465960948</v>
      </c>
      <c r="S514" s="4">
        <f t="shared" ref="S514:S577" si="92">E514 / N514</f>
        <v>1773.2558139534883</v>
      </c>
      <c r="T514" s="4">
        <f t="shared" ref="T514:T577" si="93">K514/12</f>
        <v>9603.1666666666661</v>
      </c>
      <c r="U514" s="4">
        <f t="shared" ref="U514:U577" si="94">M514*T514</f>
        <v>3841.2666666666664</v>
      </c>
      <c r="V514" s="4">
        <f t="shared" ref="V514:V577" ca="1" si="95">DATEDIF(B514, TODAY(), "m")</f>
        <v>38</v>
      </c>
      <c r="W514" s="20">
        <f t="shared" ca="1" si="90"/>
        <v>2060.3120088073656</v>
      </c>
      <c r="X514" s="4">
        <f t="shared" ref="X514:X577" si="96">(O514 + P514) - E514</f>
        <v>256.20000000000005</v>
      </c>
      <c r="Y514" s="13">
        <f t="shared" ref="Y514:Y577" si="97">(X514/E514)</f>
        <v>0.16800000000000004</v>
      </c>
    </row>
    <row r="515" spans="1:25" x14ac:dyDescent="0.3">
      <c r="A515" s="12" t="s">
        <v>1072</v>
      </c>
      <c r="B515" s="7">
        <v>44698</v>
      </c>
      <c r="C515" s="4" t="s">
        <v>1073</v>
      </c>
      <c r="D515" s="4" t="s">
        <v>56</v>
      </c>
      <c r="E515" s="4">
        <v>23861</v>
      </c>
      <c r="F515" s="4">
        <v>15.7</v>
      </c>
      <c r="G515" s="4">
        <v>36</v>
      </c>
      <c r="H515" s="4" t="s">
        <v>19</v>
      </c>
      <c r="I515" s="4" t="s">
        <v>84</v>
      </c>
      <c r="J515" s="4" t="s">
        <v>32</v>
      </c>
      <c r="K515" s="4">
        <v>81934</v>
      </c>
      <c r="L515" s="4" t="s">
        <v>33</v>
      </c>
      <c r="M515" s="4">
        <v>0.46</v>
      </c>
      <c r="N515" s="4">
        <v>0.78</v>
      </c>
      <c r="O515" s="4">
        <v>27607.18</v>
      </c>
      <c r="P515" s="4">
        <v>0</v>
      </c>
      <c r="Q515" s="6">
        <f t="shared" ref="Q515:Q578" si="98">PMT(F515/100/12, G515, -E515)</f>
        <v>835.35218279817036</v>
      </c>
      <c r="R515" s="6">
        <f t="shared" si="91"/>
        <v>6211.678580734133</v>
      </c>
      <c r="S515" s="4">
        <f t="shared" si="92"/>
        <v>30591.025641025641</v>
      </c>
      <c r="T515" s="4">
        <f t="shared" si="93"/>
        <v>6827.833333333333</v>
      </c>
      <c r="U515" s="4">
        <f t="shared" si="94"/>
        <v>3140.8033333333333</v>
      </c>
      <c r="V515" s="4">
        <f t="shared" ca="1" si="95"/>
        <v>46</v>
      </c>
      <c r="W515" s="20">
        <f t="shared" ca="1" si="90"/>
        <v>38426.200408715835</v>
      </c>
      <c r="X515" s="4">
        <f t="shared" si="96"/>
        <v>3746.1800000000003</v>
      </c>
      <c r="Y515" s="13">
        <f t="shared" si="97"/>
        <v>0.1570001257281757</v>
      </c>
    </row>
    <row r="516" spans="1:25" x14ac:dyDescent="0.3">
      <c r="A516" s="12" t="s">
        <v>1074</v>
      </c>
      <c r="B516" s="7">
        <v>45155</v>
      </c>
      <c r="C516" s="4" t="s">
        <v>1075</v>
      </c>
      <c r="D516" s="4" t="s">
        <v>76</v>
      </c>
      <c r="E516" s="4">
        <v>34142</v>
      </c>
      <c r="F516" s="4">
        <v>22.1</v>
      </c>
      <c r="G516" s="4">
        <v>60</v>
      </c>
      <c r="H516" s="4" t="s">
        <v>19</v>
      </c>
      <c r="I516" s="4" t="s">
        <v>20</v>
      </c>
      <c r="J516" s="4" t="s">
        <v>47</v>
      </c>
      <c r="K516" s="4">
        <v>55566</v>
      </c>
      <c r="L516" s="4" t="s">
        <v>22</v>
      </c>
      <c r="M516" s="4">
        <v>0.43</v>
      </c>
      <c r="N516" s="4">
        <v>0.92</v>
      </c>
      <c r="O516" s="4">
        <v>41687.379999999997</v>
      </c>
      <c r="P516" s="4">
        <v>0</v>
      </c>
      <c r="Q516" s="6">
        <f t="shared" si="98"/>
        <v>944.90712241012295</v>
      </c>
      <c r="R516" s="6">
        <f t="shared" si="91"/>
        <v>22552.427344607378</v>
      </c>
      <c r="S516" s="4">
        <f t="shared" si="92"/>
        <v>37110.869565217392</v>
      </c>
      <c r="T516" s="4">
        <f t="shared" si="93"/>
        <v>4630.5</v>
      </c>
      <c r="U516" s="4">
        <f t="shared" si="94"/>
        <v>1991.115</v>
      </c>
      <c r="V516" s="4">
        <f t="shared" ca="1" si="95"/>
        <v>31</v>
      </c>
      <c r="W516" s="20">
        <f t="shared" ca="1" si="90"/>
        <v>29292.12079471381</v>
      </c>
      <c r="X516" s="4">
        <f t="shared" si="96"/>
        <v>7545.3799999999974</v>
      </c>
      <c r="Y516" s="13">
        <f t="shared" si="97"/>
        <v>0.22099994142112347</v>
      </c>
    </row>
    <row r="517" spans="1:25" x14ac:dyDescent="0.3">
      <c r="A517" s="12" t="s">
        <v>1076</v>
      </c>
      <c r="B517" s="7">
        <v>45125</v>
      </c>
      <c r="C517" s="4" t="s">
        <v>1077</v>
      </c>
      <c r="D517" s="4" t="s">
        <v>25</v>
      </c>
      <c r="E517" s="4">
        <v>27916</v>
      </c>
      <c r="F517" s="4">
        <v>6</v>
      </c>
      <c r="G517" s="4">
        <v>60</v>
      </c>
      <c r="H517" s="4" t="s">
        <v>26</v>
      </c>
      <c r="I517" s="4" t="s">
        <v>73</v>
      </c>
      <c r="J517" s="4" t="s">
        <v>37</v>
      </c>
      <c r="K517" s="4">
        <v>103193</v>
      </c>
      <c r="L517" s="4" t="s">
        <v>22</v>
      </c>
      <c r="M517" s="4">
        <v>0.18</v>
      </c>
      <c r="N517" s="4">
        <v>0.81</v>
      </c>
      <c r="O517" s="4">
        <v>4929.04</v>
      </c>
      <c r="P517" s="4">
        <v>0</v>
      </c>
      <c r="Q517" s="6">
        <f t="shared" si="98"/>
        <v>539.69448749550963</v>
      </c>
      <c r="R517" s="6">
        <f t="shared" si="91"/>
        <v>4465.6692497305776</v>
      </c>
      <c r="S517" s="4">
        <f t="shared" si="92"/>
        <v>34464.197530864192</v>
      </c>
      <c r="T517" s="4">
        <f t="shared" si="93"/>
        <v>8599.4166666666661</v>
      </c>
      <c r="U517" s="4">
        <f t="shared" si="94"/>
        <v>1547.8949999999998</v>
      </c>
      <c r="V517" s="4">
        <f t="shared" ca="1" si="95"/>
        <v>32</v>
      </c>
      <c r="W517" s="20">
        <f t="shared" ca="1" si="90"/>
        <v>17270.223599856308</v>
      </c>
      <c r="X517" s="4">
        <f t="shared" si="96"/>
        <v>-22986.959999999999</v>
      </c>
      <c r="Y517" s="13">
        <f t="shared" si="97"/>
        <v>-0.82343315661269523</v>
      </c>
    </row>
    <row r="518" spans="1:25" x14ac:dyDescent="0.3">
      <c r="A518" s="12" t="s">
        <v>1078</v>
      </c>
      <c r="B518" s="7">
        <v>44657</v>
      </c>
      <c r="C518" s="4" t="s">
        <v>1079</v>
      </c>
      <c r="D518" s="4" t="s">
        <v>72</v>
      </c>
      <c r="E518" s="4">
        <v>5648</v>
      </c>
      <c r="F518" s="4">
        <v>21.7</v>
      </c>
      <c r="G518" s="4">
        <v>60</v>
      </c>
      <c r="H518" s="4" t="s">
        <v>81</v>
      </c>
      <c r="I518" s="4" t="s">
        <v>73</v>
      </c>
      <c r="J518" s="4" t="s">
        <v>21</v>
      </c>
      <c r="K518" s="4">
        <v>133224</v>
      </c>
      <c r="L518" s="4" t="s">
        <v>29</v>
      </c>
      <c r="M518" s="4">
        <v>0.28000000000000003</v>
      </c>
      <c r="N518" s="4">
        <v>0.76</v>
      </c>
      <c r="O518" s="4">
        <v>2180.3000000000002</v>
      </c>
      <c r="P518" s="4">
        <v>1908.91</v>
      </c>
      <c r="Q518" s="6">
        <f t="shared" si="98"/>
        <v>155.02976317263497</v>
      </c>
      <c r="R518" s="6">
        <f t="shared" si="91"/>
        <v>3653.7857903580989</v>
      </c>
      <c r="S518" s="4">
        <f t="shared" si="92"/>
        <v>7431.5789473684208</v>
      </c>
      <c r="T518" s="4">
        <f t="shared" si="93"/>
        <v>11102</v>
      </c>
      <c r="U518" s="4">
        <f t="shared" si="94"/>
        <v>3108.5600000000004</v>
      </c>
      <c r="V518" s="4">
        <f t="shared" ca="1" si="95"/>
        <v>47</v>
      </c>
      <c r="W518" s="20">
        <v>0</v>
      </c>
      <c r="X518" s="4">
        <f t="shared" si="96"/>
        <v>-1558.79</v>
      </c>
      <c r="Y518" s="13">
        <f t="shared" si="97"/>
        <v>-0.27598973087818696</v>
      </c>
    </row>
    <row r="519" spans="1:25" x14ac:dyDescent="0.3">
      <c r="A519" s="12" t="s">
        <v>1080</v>
      </c>
      <c r="B519" s="7">
        <v>44928</v>
      </c>
      <c r="C519" s="4" t="s">
        <v>1081</v>
      </c>
      <c r="D519" s="4" t="s">
        <v>46</v>
      </c>
      <c r="E519" s="4">
        <v>36133</v>
      </c>
      <c r="F519" s="4">
        <v>21.9</v>
      </c>
      <c r="G519" s="4">
        <v>36</v>
      </c>
      <c r="H519" s="4" t="s">
        <v>26</v>
      </c>
      <c r="I519" s="4" t="s">
        <v>73</v>
      </c>
      <c r="J519" s="4" t="s">
        <v>28</v>
      </c>
      <c r="K519" s="4">
        <v>60134</v>
      </c>
      <c r="L519" s="4" t="s">
        <v>29</v>
      </c>
      <c r="M519" s="4">
        <v>0.18</v>
      </c>
      <c r="N519" s="4">
        <v>0.77</v>
      </c>
      <c r="O519" s="4">
        <v>2677.28</v>
      </c>
      <c r="P519" s="4">
        <v>0</v>
      </c>
      <c r="Q519" s="6">
        <f t="shared" si="98"/>
        <v>1378.0670763975409</v>
      </c>
      <c r="R519" s="6">
        <f t="shared" si="91"/>
        <v>13477.414750311473</v>
      </c>
      <c r="S519" s="4">
        <f t="shared" si="92"/>
        <v>46925.974025974028</v>
      </c>
      <c r="T519" s="4">
        <f t="shared" si="93"/>
        <v>5011.166666666667</v>
      </c>
      <c r="U519" s="4">
        <f t="shared" si="94"/>
        <v>902.01</v>
      </c>
      <c r="V519" s="4">
        <f t="shared" ca="1" si="95"/>
        <v>38</v>
      </c>
      <c r="W519" s="20">
        <f ca="1">V519*Q519</f>
        <v>52366.548903106552</v>
      </c>
      <c r="X519" s="4">
        <f t="shared" si="96"/>
        <v>-33455.72</v>
      </c>
      <c r="Y519" s="13">
        <f t="shared" si="97"/>
        <v>-0.92590485152077051</v>
      </c>
    </row>
    <row r="520" spans="1:25" x14ac:dyDescent="0.3">
      <c r="A520" s="12" t="s">
        <v>1082</v>
      </c>
      <c r="B520" s="7">
        <v>44948</v>
      </c>
      <c r="C520" s="4" t="s">
        <v>1083</v>
      </c>
      <c r="D520" s="4" t="s">
        <v>76</v>
      </c>
      <c r="E520" s="4">
        <v>31523</v>
      </c>
      <c r="F520" s="4">
        <v>10.7</v>
      </c>
      <c r="G520" s="4">
        <v>60</v>
      </c>
      <c r="H520" s="4" t="s">
        <v>19</v>
      </c>
      <c r="I520" s="4" t="s">
        <v>73</v>
      </c>
      <c r="J520" s="4" t="s">
        <v>37</v>
      </c>
      <c r="K520" s="4">
        <v>40345</v>
      </c>
      <c r="L520" s="4" t="s">
        <v>29</v>
      </c>
      <c r="M520" s="4">
        <v>0.21</v>
      </c>
      <c r="N520" s="4">
        <v>0.92</v>
      </c>
      <c r="O520" s="4">
        <v>34895.96</v>
      </c>
      <c r="P520" s="4">
        <v>0</v>
      </c>
      <c r="Q520" s="6">
        <f t="shared" si="98"/>
        <v>680.67959745346695</v>
      </c>
      <c r="R520" s="6">
        <f t="shared" si="91"/>
        <v>9317.7758472080168</v>
      </c>
      <c r="S520" s="4">
        <f t="shared" si="92"/>
        <v>34264.130434782608</v>
      </c>
      <c r="T520" s="4">
        <f t="shared" si="93"/>
        <v>3362.0833333333335</v>
      </c>
      <c r="U520" s="4">
        <f t="shared" si="94"/>
        <v>706.03750000000002</v>
      </c>
      <c r="V520" s="4">
        <f t="shared" ca="1" si="95"/>
        <v>37</v>
      </c>
      <c r="W520" s="20">
        <f ca="1">V520*Q520</f>
        <v>25185.145105778276</v>
      </c>
      <c r="X520" s="4">
        <f t="shared" si="96"/>
        <v>3372.9599999999991</v>
      </c>
      <c r="Y520" s="13">
        <f t="shared" si="97"/>
        <v>0.10699996827713096</v>
      </c>
    </row>
    <row r="521" spans="1:25" x14ac:dyDescent="0.3">
      <c r="A521" s="12" t="s">
        <v>1084</v>
      </c>
      <c r="B521" s="7">
        <v>45121</v>
      </c>
      <c r="C521" s="4" t="s">
        <v>1085</v>
      </c>
      <c r="D521" s="4" t="s">
        <v>50</v>
      </c>
      <c r="E521" s="4">
        <v>30052</v>
      </c>
      <c r="F521" s="4">
        <v>14.3</v>
      </c>
      <c r="G521" s="4">
        <v>36</v>
      </c>
      <c r="H521" s="4" t="s">
        <v>26</v>
      </c>
      <c r="I521" s="4" t="s">
        <v>84</v>
      </c>
      <c r="J521" s="4" t="s">
        <v>28</v>
      </c>
      <c r="K521" s="4">
        <v>71185</v>
      </c>
      <c r="L521" s="4" t="s">
        <v>29</v>
      </c>
      <c r="M521" s="4">
        <v>0.3</v>
      </c>
      <c r="N521" s="4">
        <v>0.85</v>
      </c>
      <c r="O521" s="4">
        <v>11094.37</v>
      </c>
      <c r="P521" s="4">
        <v>0</v>
      </c>
      <c r="Q521" s="6">
        <f t="shared" si="98"/>
        <v>1031.4903586530179</v>
      </c>
      <c r="R521" s="6">
        <f t="shared" si="91"/>
        <v>7081.652911508645</v>
      </c>
      <c r="S521" s="4">
        <f t="shared" si="92"/>
        <v>35355.294117647063</v>
      </c>
      <c r="T521" s="4">
        <f t="shared" si="93"/>
        <v>5932.083333333333</v>
      </c>
      <c r="U521" s="4">
        <f t="shared" si="94"/>
        <v>1779.6249999999998</v>
      </c>
      <c r="V521" s="4">
        <f t="shared" ca="1" si="95"/>
        <v>32</v>
      </c>
      <c r="W521" s="20">
        <f ca="1">V521*Q521</f>
        <v>33007.691476896573</v>
      </c>
      <c r="X521" s="4">
        <f t="shared" si="96"/>
        <v>-18957.629999999997</v>
      </c>
      <c r="Y521" s="13">
        <f t="shared" si="97"/>
        <v>-0.63082756555304131</v>
      </c>
    </row>
    <row r="522" spans="1:25" x14ac:dyDescent="0.3">
      <c r="A522" s="12" t="s">
        <v>1086</v>
      </c>
      <c r="B522" s="7">
        <v>45105</v>
      </c>
      <c r="C522" s="4" t="s">
        <v>1087</v>
      </c>
      <c r="D522" s="4" t="s">
        <v>18</v>
      </c>
      <c r="E522" s="4">
        <v>35414</v>
      </c>
      <c r="F522" s="4">
        <v>13.8</v>
      </c>
      <c r="G522" s="4">
        <v>60</v>
      </c>
      <c r="H522" s="4" t="s">
        <v>19</v>
      </c>
      <c r="I522" s="4" t="s">
        <v>20</v>
      </c>
      <c r="J522" s="4" t="s">
        <v>47</v>
      </c>
      <c r="K522" s="4">
        <v>145464</v>
      </c>
      <c r="L522" s="4" t="s">
        <v>33</v>
      </c>
      <c r="M522" s="4">
        <v>0.13</v>
      </c>
      <c r="N522" s="4">
        <v>0.51</v>
      </c>
      <c r="O522" s="4">
        <v>40301.129999999997</v>
      </c>
      <c r="P522" s="4">
        <v>0</v>
      </c>
      <c r="Q522" s="6">
        <f t="shared" si="98"/>
        <v>820.35445571514072</v>
      </c>
      <c r="R522" s="6">
        <f t="shared" si="91"/>
        <v>13807.267342908446</v>
      </c>
      <c r="S522" s="4">
        <f t="shared" si="92"/>
        <v>69439.215686274503</v>
      </c>
      <c r="T522" s="4">
        <f t="shared" si="93"/>
        <v>12122</v>
      </c>
      <c r="U522" s="4">
        <f t="shared" si="94"/>
        <v>1575.8600000000001</v>
      </c>
      <c r="V522" s="4">
        <f t="shared" ca="1" si="95"/>
        <v>32</v>
      </c>
      <c r="W522" s="20">
        <f ca="1">V522*Q522</f>
        <v>26251.342582884503</v>
      </c>
      <c r="X522" s="4">
        <f t="shared" si="96"/>
        <v>4887.1299999999974</v>
      </c>
      <c r="Y522" s="13">
        <f t="shared" si="97"/>
        <v>0.13799994352515946</v>
      </c>
    </row>
    <row r="523" spans="1:25" x14ac:dyDescent="0.3">
      <c r="A523" s="12" t="s">
        <v>1088</v>
      </c>
      <c r="B523" s="7">
        <v>44586</v>
      </c>
      <c r="C523" s="4" t="s">
        <v>1089</v>
      </c>
      <c r="D523" s="4" t="s">
        <v>25</v>
      </c>
      <c r="E523" s="4">
        <v>33781</v>
      </c>
      <c r="F523" s="4">
        <v>9.4</v>
      </c>
      <c r="G523" s="4">
        <v>60</v>
      </c>
      <c r="H523" s="4" t="s">
        <v>81</v>
      </c>
      <c r="I523" s="4" t="s">
        <v>57</v>
      </c>
      <c r="J523" s="4" t="s">
        <v>37</v>
      </c>
      <c r="K523" s="4">
        <v>122949</v>
      </c>
      <c r="L523" s="4" t="s">
        <v>33</v>
      </c>
      <c r="M523" s="4">
        <v>0.19</v>
      </c>
      <c r="N523" s="4">
        <v>0.74</v>
      </c>
      <c r="O523" s="4">
        <v>8770.67</v>
      </c>
      <c r="P523" s="4">
        <v>14712.11</v>
      </c>
      <c r="Q523" s="6">
        <f t="shared" si="98"/>
        <v>707.81416283279941</v>
      </c>
      <c r="R523" s="6">
        <f t="shared" si="91"/>
        <v>8687.8497699679647</v>
      </c>
      <c r="S523" s="4">
        <f t="shared" si="92"/>
        <v>45650</v>
      </c>
      <c r="T523" s="4">
        <f t="shared" si="93"/>
        <v>10245.75</v>
      </c>
      <c r="U523" s="4">
        <f t="shared" si="94"/>
        <v>1946.6925000000001</v>
      </c>
      <c r="V523" s="4">
        <f t="shared" ca="1" si="95"/>
        <v>49</v>
      </c>
      <c r="W523" s="20">
        <v>0</v>
      </c>
      <c r="X523" s="4">
        <f t="shared" si="96"/>
        <v>-10298.220000000001</v>
      </c>
      <c r="Y523" s="13">
        <f t="shared" si="97"/>
        <v>-0.30485243184038369</v>
      </c>
    </row>
    <row r="524" spans="1:25" x14ac:dyDescent="0.3">
      <c r="A524" s="12" t="s">
        <v>1090</v>
      </c>
      <c r="B524" s="7">
        <v>45079</v>
      </c>
      <c r="C524" s="4" t="s">
        <v>1091</v>
      </c>
      <c r="D524" s="4" t="s">
        <v>56</v>
      </c>
      <c r="E524" s="4">
        <v>5599</v>
      </c>
      <c r="F524" s="4">
        <v>12.9</v>
      </c>
      <c r="G524" s="4">
        <v>60</v>
      </c>
      <c r="H524" s="4" t="s">
        <v>19</v>
      </c>
      <c r="I524" s="4" t="s">
        <v>73</v>
      </c>
      <c r="J524" s="4" t="s">
        <v>21</v>
      </c>
      <c r="K524" s="4">
        <v>100744</v>
      </c>
      <c r="L524" s="4" t="s">
        <v>29</v>
      </c>
      <c r="M524" s="4">
        <v>0.47</v>
      </c>
      <c r="N524" s="4">
        <v>0.81</v>
      </c>
      <c r="O524" s="4">
        <v>6321.27</v>
      </c>
      <c r="P524" s="4">
        <v>0</v>
      </c>
      <c r="Q524" s="6">
        <f t="shared" si="98"/>
        <v>127.10802113156265</v>
      </c>
      <c r="R524" s="6">
        <f t="shared" si="91"/>
        <v>2027.4812678937587</v>
      </c>
      <c r="S524" s="4">
        <f t="shared" si="92"/>
        <v>6912.3456790123455</v>
      </c>
      <c r="T524" s="4">
        <f t="shared" si="93"/>
        <v>8395.3333333333339</v>
      </c>
      <c r="U524" s="4">
        <f t="shared" si="94"/>
        <v>3945.8066666666668</v>
      </c>
      <c r="V524" s="4">
        <f t="shared" ca="1" si="95"/>
        <v>33</v>
      </c>
      <c r="W524" s="20">
        <f t="shared" ref="W524:W533" ca="1" si="99">V524*Q524</f>
        <v>4194.5646973415678</v>
      </c>
      <c r="X524" s="4">
        <f t="shared" si="96"/>
        <v>722.27000000000044</v>
      </c>
      <c r="Y524" s="13">
        <f t="shared" si="97"/>
        <v>0.12899982139667807</v>
      </c>
    </row>
    <row r="525" spans="1:25" x14ac:dyDescent="0.3">
      <c r="A525" s="12" t="s">
        <v>1092</v>
      </c>
      <c r="B525" s="7">
        <v>44452</v>
      </c>
      <c r="C525" s="4" t="s">
        <v>1093</v>
      </c>
      <c r="D525" s="4" t="s">
        <v>40</v>
      </c>
      <c r="E525" s="4">
        <v>36046</v>
      </c>
      <c r="F525" s="4">
        <v>5.9</v>
      </c>
      <c r="G525" s="4">
        <v>36</v>
      </c>
      <c r="H525" s="4" t="s">
        <v>60</v>
      </c>
      <c r="I525" s="4" t="s">
        <v>27</v>
      </c>
      <c r="J525" s="4" t="s">
        <v>28</v>
      </c>
      <c r="K525" s="4">
        <v>63455</v>
      </c>
      <c r="L525" s="4" t="s">
        <v>22</v>
      </c>
      <c r="M525" s="4">
        <v>0.28999999999999998</v>
      </c>
      <c r="N525" s="4">
        <v>0.84</v>
      </c>
      <c r="O525" s="4">
        <v>0</v>
      </c>
      <c r="P525" s="4">
        <v>0</v>
      </c>
      <c r="Q525" s="6">
        <f t="shared" si="98"/>
        <v>1094.9566502689718</v>
      </c>
      <c r="R525" s="6">
        <f t="shared" si="91"/>
        <v>3372.4394096829856</v>
      </c>
      <c r="S525" s="4">
        <f t="shared" si="92"/>
        <v>42911.904761904763</v>
      </c>
      <c r="T525" s="4">
        <f t="shared" si="93"/>
        <v>5287.916666666667</v>
      </c>
      <c r="U525" s="4">
        <f t="shared" si="94"/>
        <v>1533.4958333333334</v>
      </c>
      <c r="V525" s="4">
        <f t="shared" ca="1" si="95"/>
        <v>54</v>
      </c>
      <c r="W525" s="20">
        <f t="shared" ca="1" si="99"/>
        <v>59127.659114524475</v>
      </c>
      <c r="X525" s="4">
        <f t="shared" si="96"/>
        <v>-36046</v>
      </c>
      <c r="Y525" s="13">
        <f t="shared" si="97"/>
        <v>-1</v>
      </c>
    </row>
    <row r="526" spans="1:25" x14ac:dyDescent="0.3">
      <c r="A526" s="12" t="s">
        <v>1094</v>
      </c>
      <c r="B526" s="7">
        <v>44905</v>
      </c>
      <c r="C526" s="4" t="s">
        <v>1095</v>
      </c>
      <c r="D526" s="4" t="s">
        <v>46</v>
      </c>
      <c r="E526" s="4">
        <v>36923</v>
      </c>
      <c r="F526" s="4">
        <v>10.6</v>
      </c>
      <c r="G526" s="4">
        <v>60</v>
      </c>
      <c r="H526" s="4" t="s">
        <v>26</v>
      </c>
      <c r="I526" s="4" t="s">
        <v>57</v>
      </c>
      <c r="J526" s="4" t="s">
        <v>47</v>
      </c>
      <c r="K526" s="4">
        <v>145217</v>
      </c>
      <c r="L526" s="4" t="s">
        <v>29</v>
      </c>
      <c r="M526" s="4">
        <v>0.28000000000000003</v>
      </c>
      <c r="N526" s="4">
        <v>0.6</v>
      </c>
      <c r="O526" s="4">
        <v>9786.24</v>
      </c>
      <c r="P526" s="4">
        <v>0</v>
      </c>
      <c r="Q526" s="6">
        <f t="shared" si="98"/>
        <v>795.44960652569591</v>
      </c>
      <c r="R526" s="6">
        <f t="shared" si="91"/>
        <v>10803.976391541757</v>
      </c>
      <c r="S526" s="4">
        <f t="shared" si="92"/>
        <v>61538.333333333336</v>
      </c>
      <c r="T526" s="4">
        <f t="shared" si="93"/>
        <v>12101.416666666666</v>
      </c>
      <c r="U526" s="4">
        <f t="shared" si="94"/>
        <v>3388.396666666667</v>
      </c>
      <c r="V526" s="4">
        <f t="shared" ca="1" si="95"/>
        <v>39</v>
      </c>
      <c r="W526" s="20">
        <f t="shared" ca="1" si="99"/>
        <v>31022.534654502142</v>
      </c>
      <c r="X526" s="4">
        <f t="shared" si="96"/>
        <v>-27136.760000000002</v>
      </c>
      <c r="Y526" s="13">
        <f t="shared" si="97"/>
        <v>-0.73495544782384969</v>
      </c>
    </row>
    <row r="527" spans="1:25" x14ac:dyDescent="0.3">
      <c r="A527" s="12" t="s">
        <v>1096</v>
      </c>
      <c r="B527" s="7">
        <v>44646</v>
      </c>
      <c r="C527" s="4" t="s">
        <v>1097</v>
      </c>
      <c r="D527" s="4" t="s">
        <v>46</v>
      </c>
      <c r="E527" s="4">
        <v>4814</v>
      </c>
      <c r="F527" s="4">
        <v>21.3</v>
      </c>
      <c r="G527" s="4">
        <v>60</v>
      </c>
      <c r="H527" s="4" t="s">
        <v>26</v>
      </c>
      <c r="I527" s="4" t="s">
        <v>84</v>
      </c>
      <c r="J527" s="4" t="s">
        <v>37</v>
      </c>
      <c r="K527" s="4">
        <v>58018</v>
      </c>
      <c r="L527" s="4" t="s">
        <v>22</v>
      </c>
      <c r="M527" s="4">
        <v>0.11</v>
      </c>
      <c r="N527" s="4">
        <v>0.89</v>
      </c>
      <c r="O527" s="4">
        <v>724.86</v>
      </c>
      <c r="P527" s="4">
        <v>0</v>
      </c>
      <c r="Q527" s="6">
        <f t="shared" si="98"/>
        <v>131.04858833552751</v>
      </c>
      <c r="R527" s="6">
        <f t="shared" si="91"/>
        <v>3048.9153001316508</v>
      </c>
      <c r="S527" s="4">
        <f t="shared" si="92"/>
        <v>5408.9887640449433</v>
      </c>
      <c r="T527" s="4">
        <f t="shared" si="93"/>
        <v>4834.833333333333</v>
      </c>
      <c r="U527" s="4">
        <f t="shared" si="94"/>
        <v>531.83166666666659</v>
      </c>
      <c r="V527" s="4">
        <f t="shared" ca="1" si="95"/>
        <v>47</v>
      </c>
      <c r="W527" s="20">
        <f t="shared" ca="1" si="99"/>
        <v>6159.2836517697933</v>
      </c>
      <c r="X527" s="4">
        <f t="shared" si="96"/>
        <v>-4089.14</v>
      </c>
      <c r="Y527" s="13">
        <f t="shared" si="97"/>
        <v>-0.8494266722060656</v>
      </c>
    </row>
    <row r="528" spans="1:25" x14ac:dyDescent="0.3">
      <c r="A528" s="12" t="s">
        <v>1098</v>
      </c>
      <c r="B528" s="7">
        <v>44206</v>
      </c>
      <c r="C528" s="4" t="s">
        <v>1099</v>
      </c>
      <c r="D528" s="4" t="s">
        <v>72</v>
      </c>
      <c r="E528" s="4">
        <v>36984</v>
      </c>
      <c r="F528" s="4">
        <v>10.7</v>
      </c>
      <c r="G528" s="4">
        <v>36</v>
      </c>
      <c r="H528" s="4" t="s">
        <v>26</v>
      </c>
      <c r="I528" s="4" t="s">
        <v>57</v>
      </c>
      <c r="J528" s="4" t="s">
        <v>28</v>
      </c>
      <c r="K528" s="4">
        <v>84219</v>
      </c>
      <c r="L528" s="4" t="s">
        <v>22</v>
      </c>
      <c r="M528" s="4">
        <v>0.2</v>
      </c>
      <c r="N528" s="4">
        <v>0.93</v>
      </c>
      <c r="O528" s="4">
        <v>13592.29</v>
      </c>
      <c r="P528" s="4">
        <v>0</v>
      </c>
      <c r="Q528" s="6">
        <f t="shared" si="98"/>
        <v>1205.5611962983573</v>
      </c>
      <c r="R528" s="6">
        <f t="shared" si="91"/>
        <v>6416.2030667408617</v>
      </c>
      <c r="S528" s="4">
        <f t="shared" si="92"/>
        <v>39767.741935483871</v>
      </c>
      <c r="T528" s="4">
        <f t="shared" si="93"/>
        <v>7018.25</v>
      </c>
      <c r="U528" s="4">
        <f t="shared" si="94"/>
        <v>1403.65</v>
      </c>
      <c r="V528" s="4">
        <f t="shared" ca="1" si="95"/>
        <v>62</v>
      </c>
      <c r="W528" s="20">
        <f t="shared" ca="1" si="99"/>
        <v>74744.794170498149</v>
      </c>
      <c r="X528" s="4">
        <f t="shared" si="96"/>
        <v>-23391.71</v>
      </c>
      <c r="Y528" s="13">
        <f t="shared" si="97"/>
        <v>-0.63248188405797101</v>
      </c>
    </row>
    <row r="529" spans="1:25" x14ac:dyDescent="0.3">
      <c r="A529" s="12" t="s">
        <v>1100</v>
      </c>
      <c r="B529" s="7">
        <v>45020</v>
      </c>
      <c r="C529" s="4" t="s">
        <v>1101</v>
      </c>
      <c r="D529" s="4" t="s">
        <v>40</v>
      </c>
      <c r="E529" s="4">
        <v>27616</v>
      </c>
      <c r="F529" s="4">
        <v>21.4</v>
      </c>
      <c r="G529" s="4">
        <v>36</v>
      </c>
      <c r="H529" s="4" t="s">
        <v>19</v>
      </c>
      <c r="I529" s="4" t="s">
        <v>57</v>
      </c>
      <c r="J529" s="4" t="s">
        <v>28</v>
      </c>
      <c r="K529" s="4">
        <v>75991</v>
      </c>
      <c r="L529" s="4" t="s">
        <v>22</v>
      </c>
      <c r="M529" s="4">
        <v>0.45</v>
      </c>
      <c r="N529" s="4">
        <v>0.61</v>
      </c>
      <c r="O529" s="4">
        <v>33525.82</v>
      </c>
      <c r="P529" s="4">
        <v>0</v>
      </c>
      <c r="Q529" s="6">
        <f t="shared" si="98"/>
        <v>1046.114916803866</v>
      </c>
      <c r="R529" s="6">
        <f t="shared" si="91"/>
        <v>10044.137004939177</v>
      </c>
      <c r="S529" s="4">
        <f t="shared" si="92"/>
        <v>45272.131147540982</v>
      </c>
      <c r="T529" s="4">
        <f t="shared" si="93"/>
        <v>6332.583333333333</v>
      </c>
      <c r="U529" s="4">
        <f t="shared" si="94"/>
        <v>2849.6624999999999</v>
      </c>
      <c r="V529" s="4">
        <f t="shared" ca="1" si="95"/>
        <v>35</v>
      </c>
      <c r="W529" s="20">
        <f t="shared" ca="1" si="99"/>
        <v>36614.022088135309</v>
      </c>
      <c r="X529" s="4">
        <f t="shared" si="96"/>
        <v>5909.82</v>
      </c>
      <c r="Y529" s="13">
        <f t="shared" si="97"/>
        <v>0.21399985515643105</v>
      </c>
    </row>
    <row r="530" spans="1:25" x14ac:dyDescent="0.3">
      <c r="A530" s="12" t="s">
        <v>1102</v>
      </c>
      <c r="B530" s="7">
        <v>44994</v>
      </c>
      <c r="C530" s="4" t="s">
        <v>1103</v>
      </c>
      <c r="D530" s="4" t="s">
        <v>53</v>
      </c>
      <c r="E530" s="4">
        <v>3113</v>
      </c>
      <c r="F530" s="4">
        <v>15.6</v>
      </c>
      <c r="G530" s="4">
        <v>60</v>
      </c>
      <c r="H530" s="4" t="s">
        <v>26</v>
      </c>
      <c r="I530" s="4" t="s">
        <v>20</v>
      </c>
      <c r="J530" s="4" t="s">
        <v>21</v>
      </c>
      <c r="K530" s="4">
        <v>103616</v>
      </c>
      <c r="L530" s="4" t="s">
        <v>33</v>
      </c>
      <c r="M530" s="4">
        <v>0.17</v>
      </c>
      <c r="N530" s="4">
        <v>0.9</v>
      </c>
      <c r="O530" s="4">
        <v>422.95</v>
      </c>
      <c r="P530" s="4">
        <v>0</v>
      </c>
      <c r="Q530" s="6">
        <f t="shared" si="98"/>
        <v>75.04209040592886</v>
      </c>
      <c r="R530" s="6">
        <f t="shared" si="91"/>
        <v>1389.525424355732</v>
      </c>
      <c r="S530" s="4">
        <f t="shared" si="92"/>
        <v>3458.8888888888887</v>
      </c>
      <c r="T530" s="4">
        <f t="shared" si="93"/>
        <v>8634.6666666666661</v>
      </c>
      <c r="U530" s="4">
        <f t="shared" si="94"/>
        <v>1467.8933333333334</v>
      </c>
      <c r="V530" s="4">
        <f t="shared" ca="1" si="95"/>
        <v>36</v>
      </c>
      <c r="W530" s="20">
        <f t="shared" ca="1" si="99"/>
        <v>2701.5152546134391</v>
      </c>
      <c r="X530" s="4">
        <f t="shared" si="96"/>
        <v>-2690.05</v>
      </c>
      <c r="Y530" s="13">
        <f t="shared" si="97"/>
        <v>-0.86413427561837464</v>
      </c>
    </row>
    <row r="531" spans="1:25" x14ac:dyDescent="0.3">
      <c r="A531" s="12" t="s">
        <v>1104</v>
      </c>
      <c r="B531" s="7">
        <v>45073</v>
      </c>
      <c r="C531" s="4" t="s">
        <v>1105</v>
      </c>
      <c r="D531" s="4" t="s">
        <v>40</v>
      </c>
      <c r="E531" s="4">
        <v>14760</v>
      </c>
      <c r="F531" s="4">
        <v>22.6</v>
      </c>
      <c r="G531" s="4">
        <v>60</v>
      </c>
      <c r="H531" s="4" t="s">
        <v>19</v>
      </c>
      <c r="I531" s="4" t="s">
        <v>73</v>
      </c>
      <c r="J531" s="4" t="s">
        <v>47</v>
      </c>
      <c r="K531" s="4">
        <v>117438</v>
      </c>
      <c r="L531" s="4" t="s">
        <v>22</v>
      </c>
      <c r="M531" s="4">
        <v>0.27</v>
      </c>
      <c r="N531" s="4">
        <v>0.54</v>
      </c>
      <c r="O531" s="4">
        <v>18095.759999999998</v>
      </c>
      <c r="P531" s="4">
        <v>0</v>
      </c>
      <c r="Q531" s="6">
        <f t="shared" si="98"/>
        <v>412.70629595900266</v>
      </c>
      <c r="R531" s="6">
        <f t="shared" si="91"/>
        <v>10002.377757540158</v>
      </c>
      <c r="S531" s="4">
        <f t="shared" si="92"/>
        <v>27333.333333333332</v>
      </c>
      <c r="T531" s="4">
        <f t="shared" si="93"/>
        <v>9786.5</v>
      </c>
      <c r="U531" s="4">
        <f t="shared" si="94"/>
        <v>2642.355</v>
      </c>
      <c r="V531" s="4">
        <f t="shared" ca="1" si="95"/>
        <v>33</v>
      </c>
      <c r="W531" s="20">
        <f t="shared" ca="1" si="99"/>
        <v>13619.307766647087</v>
      </c>
      <c r="X531" s="4">
        <f t="shared" si="96"/>
        <v>3335.7599999999984</v>
      </c>
      <c r="Y531" s="13">
        <f t="shared" si="97"/>
        <v>0.2259999999999999</v>
      </c>
    </row>
    <row r="532" spans="1:25" x14ac:dyDescent="0.3">
      <c r="A532" s="12" t="s">
        <v>1106</v>
      </c>
      <c r="B532" s="7">
        <v>45225</v>
      </c>
      <c r="C532" s="4" t="s">
        <v>1107</v>
      </c>
      <c r="D532" s="4" t="s">
        <v>18</v>
      </c>
      <c r="E532" s="4">
        <v>22927</v>
      </c>
      <c r="F532" s="4">
        <v>16.5</v>
      </c>
      <c r="G532" s="4">
        <v>60</v>
      </c>
      <c r="H532" s="4" t="s">
        <v>26</v>
      </c>
      <c r="I532" s="4" t="s">
        <v>27</v>
      </c>
      <c r="J532" s="4" t="s">
        <v>32</v>
      </c>
      <c r="K532" s="4">
        <v>146841</v>
      </c>
      <c r="L532" s="4" t="s">
        <v>22</v>
      </c>
      <c r="M532" s="4">
        <v>0.11</v>
      </c>
      <c r="N532" s="4">
        <v>0.53</v>
      </c>
      <c r="O532" s="4">
        <v>6850.1</v>
      </c>
      <c r="P532" s="4">
        <v>0</v>
      </c>
      <c r="Q532" s="6">
        <f t="shared" si="98"/>
        <v>563.6493151753815</v>
      </c>
      <c r="R532" s="6">
        <f t="shared" si="91"/>
        <v>10891.958910522888</v>
      </c>
      <c r="S532" s="4">
        <f t="shared" si="92"/>
        <v>43258.490566037734</v>
      </c>
      <c r="T532" s="4">
        <f t="shared" si="93"/>
        <v>12236.75</v>
      </c>
      <c r="U532" s="4">
        <f t="shared" si="94"/>
        <v>1346.0425</v>
      </c>
      <c r="V532" s="4">
        <f t="shared" ca="1" si="95"/>
        <v>28</v>
      </c>
      <c r="W532" s="20">
        <f t="shared" ca="1" si="99"/>
        <v>15782.180824910682</v>
      </c>
      <c r="X532" s="4">
        <f t="shared" si="96"/>
        <v>-16076.9</v>
      </c>
      <c r="Y532" s="13">
        <f t="shared" si="97"/>
        <v>-0.7012212675011994</v>
      </c>
    </row>
    <row r="533" spans="1:25" x14ac:dyDescent="0.3">
      <c r="A533" s="12" t="s">
        <v>1108</v>
      </c>
      <c r="B533" s="7">
        <v>45212</v>
      </c>
      <c r="C533" s="4" t="s">
        <v>1109</v>
      </c>
      <c r="D533" s="4" t="s">
        <v>18</v>
      </c>
      <c r="E533" s="4">
        <v>21939</v>
      </c>
      <c r="F533" s="4">
        <v>5.6</v>
      </c>
      <c r="G533" s="4">
        <v>36</v>
      </c>
      <c r="H533" s="4" t="s">
        <v>26</v>
      </c>
      <c r="I533" s="4" t="s">
        <v>20</v>
      </c>
      <c r="J533" s="4" t="s">
        <v>28</v>
      </c>
      <c r="K533" s="4">
        <v>39486</v>
      </c>
      <c r="L533" s="4" t="s">
        <v>33</v>
      </c>
      <c r="M533" s="4">
        <v>0.28999999999999998</v>
      </c>
      <c r="N533" s="4">
        <v>0.56000000000000005</v>
      </c>
      <c r="O533" s="4">
        <v>3597.13</v>
      </c>
      <c r="P533" s="4">
        <v>0</v>
      </c>
      <c r="Q533" s="6">
        <f t="shared" si="98"/>
        <v>663.45788026839898</v>
      </c>
      <c r="R533" s="6">
        <f t="shared" si="91"/>
        <v>1945.4836896623638</v>
      </c>
      <c r="S533" s="4">
        <f t="shared" si="92"/>
        <v>39176.78571428571</v>
      </c>
      <c r="T533" s="4">
        <f t="shared" si="93"/>
        <v>3290.5</v>
      </c>
      <c r="U533" s="4">
        <f t="shared" si="94"/>
        <v>954.24499999999989</v>
      </c>
      <c r="V533" s="4">
        <f t="shared" ca="1" si="95"/>
        <v>29</v>
      </c>
      <c r="W533" s="20">
        <f t="shared" ca="1" si="99"/>
        <v>19240.278527783572</v>
      </c>
      <c r="X533" s="4">
        <f t="shared" si="96"/>
        <v>-18341.87</v>
      </c>
      <c r="Y533" s="13">
        <f t="shared" si="97"/>
        <v>-0.83603947308446136</v>
      </c>
    </row>
    <row r="534" spans="1:25" x14ac:dyDescent="0.3">
      <c r="A534" s="12" t="s">
        <v>1110</v>
      </c>
      <c r="B534" s="7">
        <v>44570</v>
      </c>
      <c r="C534" s="4" t="s">
        <v>1111</v>
      </c>
      <c r="D534" s="4" t="s">
        <v>18</v>
      </c>
      <c r="E534" s="4">
        <v>33419</v>
      </c>
      <c r="F534" s="4">
        <v>18.5</v>
      </c>
      <c r="G534" s="4">
        <v>36</v>
      </c>
      <c r="H534" s="4" t="s">
        <v>81</v>
      </c>
      <c r="I534" s="4" t="s">
        <v>57</v>
      </c>
      <c r="J534" s="4" t="s">
        <v>37</v>
      </c>
      <c r="K534" s="4">
        <v>68862</v>
      </c>
      <c r="L534" s="4" t="s">
        <v>22</v>
      </c>
      <c r="M534" s="4">
        <v>0.11</v>
      </c>
      <c r="N534" s="4">
        <v>0.53</v>
      </c>
      <c r="O534" s="4">
        <v>12922.67</v>
      </c>
      <c r="P534" s="4">
        <v>11291.82</v>
      </c>
      <c r="Q534" s="6">
        <f t="shared" si="98"/>
        <v>1216.5757284630436</v>
      </c>
      <c r="R534" s="6">
        <f t="shared" si="91"/>
        <v>10377.726224669568</v>
      </c>
      <c r="S534" s="4">
        <f t="shared" si="92"/>
        <v>63054.716981132071</v>
      </c>
      <c r="T534" s="4">
        <f t="shared" si="93"/>
        <v>5738.5</v>
      </c>
      <c r="U534" s="4">
        <f t="shared" si="94"/>
        <v>631.23500000000001</v>
      </c>
      <c r="V534" s="4">
        <f t="shared" ca="1" si="95"/>
        <v>50</v>
      </c>
      <c r="W534" s="20">
        <v>0</v>
      </c>
      <c r="X534" s="4">
        <f t="shared" si="96"/>
        <v>-9204.510000000002</v>
      </c>
      <c r="Y534" s="13">
        <f t="shared" si="97"/>
        <v>-0.27542745144977415</v>
      </c>
    </row>
    <row r="535" spans="1:25" x14ac:dyDescent="0.3">
      <c r="A535" s="12" t="s">
        <v>1112</v>
      </c>
      <c r="B535" s="7">
        <v>45285</v>
      </c>
      <c r="C535" s="4" t="s">
        <v>1113</v>
      </c>
      <c r="D535" s="4" t="s">
        <v>18</v>
      </c>
      <c r="E535" s="4">
        <v>13588</v>
      </c>
      <c r="F535" s="4">
        <v>5.9</v>
      </c>
      <c r="G535" s="4">
        <v>36</v>
      </c>
      <c r="H535" s="4" t="s">
        <v>19</v>
      </c>
      <c r="I535" s="4" t="s">
        <v>84</v>
      </c>
      <c r="J535" s="4" t="s">
        <v>21</v>
      </c>
      <c r="K535" s="4">
        <v>88870</v>
      </c>
      <c r="L535" s="4" t="s">
        <v>22</v>
      </c>
      <c r="M535" s="4">
        <v>0.43</v>
      </c>
      <c r="N535" s="4">
        <v>0.88</v>
      </c>
      <c r="O535" s="4">
        <v>14389.69</v>
      </c>
      <c r="P535" s="4">
        <v>0</v>
      </c>
      <c r="Q535" s="6">
        <f t="shared" si="98"/>
        <v>412.7578916899181</v>
      </c>
      <c r="R535" s="6">
        <f t="shared" si="91"/>
        <v>1271.2841008370524</v>
      </c>
      <c r="S535" s="4">
        <f t="shared" si="92"/>
        <v>15440.90909090909</v>
      </c>
      <c r="T535" s="4">
        <f t="shared" si="93"/>
        <v>7405.833333333333</v>
      </c>
      <c r="U535" s="4">
        <f t="shared" si="94"/>
        <v>3184.5083333333332</v>
      </c>
      <c r="V535" s="4">
        <f t="shared" ca="1" si="95"/>
        <v>26</v>
      </c>
      <c r="W535" s="20">
        <f t="shared" ref="W535:W548" ca="1" si="100">V535*Q535</f>
        <v>10731.705183937871</v>
      </c>
      <c r="X535" s="4">
        <f t="shared" si="96"/>
        <v>801.69000000000051</v>
      </c>
      <c r="Y535" s="13">
        <f t="shared" si="97"/>
        <v>5.8999852811304127E-2</v>
      </c>
    </row>
    <row r="536" spans="1:25" x14ac:dyDescent="0.3">
      <c r="A536" s="12" t="s">
        <v>1114</v>
      </c>
      <c r="B536" s="7">
        <v>44342</v>
      </c>
      <c r="C536" s="4" t="s">
        <v>1115</v>
      </c>
      <c r="D536" s="4" t="s">
        <v>76</v>
      </c>
      <c r="E536" s="4">
        <v>37142</v>
      </c>
      <c r="F536" s="4">
        <v>14</v>
      </c>
      <c r="G536" s="4">
        <v>36</v>
      </c>
      <c r="H536" s="4" t="s">
        <v>19</v>
      </c>
      <c r="I536" s="4" t="s">
        <v>57</v>
      </c>
      <c r="J536" s="4" t="s">
        <v>21</v>
      </c>
      <c r="K536" s="4">
        <v>116694</v>
      </c>
      <c r="L536" s="4" t="s">
        <v>29</v>
      </c>
      <c r="M536" s="4">
        <v>0.43</v>
      </c>
      <c r="N536" s="4">
        <v>0.53</v>
      </c>
      <c r="O536" s="4">
        <v>42341.88</v>
      </c>
      <c r="P536" s="4">
        <v>0</v>
      </c>
      <c r="Q536" s="6">
        <f t="shared" si="98"/>
        <v>1269.4255244725875</v>
      </c>
      <c r="R536" s="6">
        <f t="shared" si="91"/>
        <v>8557.3188810131542</v>
      </c>
      <c r="S536" s="4">
        <f t="shared" si="92"/>
        <v>70079.24528301887</v>
      </c>
      <c r="T536" s="4">
        <f t="shared" si="93"/>
        <v>9724.5</v>
      </c>
      <c r="U536" s="4">
        <f t="shared" si="94"/>
        <v>4181.5349999999999</v>
      </c>
      <c r="V536" s="4">
        <f t="shared" ca="1" si="95"/>
        <v>57</v>
      </c>
      <c r="W536" s="20">
        <f t="shared" ca="1" si="100"/>
        <v>72357.25489493749</v>
      </c>
      <c r="X536" s="4">
        <f t="shared" si="96"/>
        <v>5199.8799999999974</v>
      </c>
      <c r="Y536" s="13">
        <f t="shared" si="97"/>
        <v>0.13999999999999993</v>
      </c>
    </row>
    <row r="537" spans="1:25" x14ac:dyDescent="0.3">
      <c r="A537" s="12" t="s">
        <v>1116</v>
      </c>
      <c r="B537" s="7">
        <v>44420</v>
      </c>
      <c r="C537" s="4" t="s">
        <v>1117</v>
      </c>
      <c r="D537" s="4" t="s">
        <v>46</v>
      </c>
      <c r="E537" s="4">
        <v>34397</v>
      </c>
      <c r="F537" s="4">
        <v>23.6</v>
      </c>
      <c r="G537" s="4">
        <v>60</v>
      </c>
      <c r="H537" s="4" t="s">
        <v>19</v>
      </c>
      <c r="I537" s="4" t="s">
        <v>20</v>
      </c>
      <c r="J537" s="4" t="s">
        <v>28</v>
      </c>
      <c r="K537" s="4">
        <v>135996</v>
      </c>
      <c r="L537" s="4" t="s">
        <v>22</v>
      </c>
      <c r="M537" s="4">
        <v>0.42</v>
      </c>
      <c r="N537" s="4">
        <v>0.62</v>
      </c>
      <c r="O537" s="4">
        <v>42514.69</v>
      </c>
      <c r="P537" s="4">
        <v>0</v>
      </c>
      <c r="Q537" s="6">
        <f t="shared" si="98"/>
        <v>981.56174470620761</v>
      </c>
      <c r="R537" s="6">
        <f t="shared" si="91"/>
        <v>24496.70468237246</v>
      </c>
      <c r="S537" s="4">
        <f t="shared" si="92"/>
        <v>55479.032258064515</v>
      </c>
      <c r="T537" s="4">
        <f t="shared" si="93"/>
        <v>11333</v>
      </c>
      <c r="U537" s="4">
        <f t="shared" si="94"/>
        <v>4759.8599999999997</v>
      </c>
      <c r="V537" s="4">
        <f t="shared" ca="1" si="95"/>
        <v>55</v>
      </c>
      <c r="W537" s="20">
        <f t="shared" ca="1" si="100"/>
        <v>53985.895958841422</v>
      </c>
      <c r="X537" s="4">
        <f t="shared" si="96"/>
        <v>8117.6900000000023</v>
      </c>
      <c r="Y537" s="13">
        <f t="shared" si="97"/>
        <v>0.23599994185539444</v>
      </c>
    </row>
    <row r="538" spans="1:25" x14ac:dyDescent="0.3">
      <c r="A538" s="12" t="s">
        <v>1118</v>
      </c>
      <c r="B538" s="7">
        <v>44373</v>
      </c>
      <c r="C538" s="4" t="s">
        <v>1119</v>
      </c>
      <c r="D538" s="4" t="s">
        <v>40</v>
      </c>
      <c r="E538" s="4">
        <v>17653</v>
      </c>
      <c r="F538" s="4">
        <v>8.3000000000000007</v>
      </c>
      <c r="G538" s="4">
        <v>36</v>
      </c>
      <c r="H538" s="4" t="s">
        <v>26</v>
      </c>
      <c r="I538" s="4" t="s">
        <v>27</v>
      </c>
      <c r="J538" s="4" t="s">
        <v>28</v>
      </c>
      <c r="K538" s="4">
        <v>73856</v>
      </c>
      <c r="L538" s="4" t="s">
        <v>22</v>
      </c>
      <c r="M538" s="4">
        <v>0.21</v>
      </c>
      <c r="N538" s="4">
        <v>0.55000000000000004</v>
      </c>
      <c r="O538" s="4">
        <v>1110.0899999999999</v>
      </c>
      <c r="P538" s="4">
        <v>0</v>
      </c>
      <c r="Q538" s="6">
        <f t="shared" si="98"/>
        <v>555.62721762766319</v>
      </c>
      <c r="R538" s="6">
        <f t="shared" si="91"/>
        <v>2349.5798345958756</v>
      </c>
      <c r="S538" s="4">
        <f t="shared" si="92"/>
        <v>32096.363636363632</v>
      </c>
      <c r="T538" s="4">
        <f t="shared" si="93"/>
        <v>6154.666666666667</v>
      </c>
      <c r="U538" s="4">
        <f t="shared" si="94"/>
        <v>1292.48</v>
      </c>
      <c r="V538" s="4">
        <f t="shared" ca="1" si="95"/>
        <v>56</v>
      </c>
      <c r="W538" s="20">
        <f t="shared" ca="1" si="100"/>
        <v>31115.124187149137</v>
      </c>
      <c r="X538" s="4">
        <f t="shared" si="96"/>
        <v>-16542.91</v>
      </c>
      <c r="Y538" s="13">
        <f t="shared" si="97"/>
        <v>-0.93711607092278937</v>
      </c>
    </row>
    <row r="539" spans="1:25" x14ac:dyDescent="0.3">
      <c r="A539" s="12" t="s">
        <v>1120</v>
      </c>
      <c r="B539" s="7">
        <v>45049</v>
      </c>
      <c r="C539" s="4" t="s">
        <v>1121</v>
      </c>
      <c r="D539" s="4" t="s">
        <v>46</v>
      </c>
      <c r="E539" s="4">
        <v>11831</v>
      </c>
      <c r="F539" s="4">
        <v>12.8</v>
      </c>
      <c r="G539" s="4">
        <v>36</v>
      </c>
      <c r="H539" s="4" t="s">
        <v>19</v>
      </c>
      <c r="I539" s="4" t="s">
        <v>20</v>
      </c>
      <c r="J539" s="4" t="s">
        <v>28</v>
      </c>
      <c r="K539" s="4">
        <v>131407</v>
      </c>
      <c r="L539" s="4" t="s">
        <v>22</v>
      </c>
      <c r="M539" s="4">
        <v>0.43</v>
      </c>
      <c r="N539" s="4">
        <v>0.63</v>
      </c>
      <c r="O539" s="4">
        <v>13345.37</v>
      </c>
      <c r="P539" s="4">
        <v>0</v>
      </c>
      <c r="Q539" s="6">
        <f t="shared" si="98"/>
        <v>397.49439183492746</v>
      </c>
      <c r="R539" s="6">
        <f t="shared" si="91"/>
        <v>2478.7981060573875</v>
      </c>
      <c r="S539" s="4">
        <f t="shared" si="92"/>
        <v>18779.365079365078</v>
      </c>
      <c r="T539" s="4">
        <f t="shared" si="93"/>
        <v>10950.583333333334</v>
      </c>
      <c r="U539" s="4">
        <f t="shared" si="94"/>
        <v>4708.7508333333335</v>
      </c>
      <c r="V539" s="4">
        <f t="shared" ca="1" si="95"/>
        <v>34</v>
      </c>
      <c r="W539" s="20">
        <f t="shared" ca="1" si="100"/>
        <v>13514.809322387533</v>
      </c>
      <c r="X539" s="4">
        <f t="shared" si="96"/>
        <v>1514.3700000000008</v>
      </c>
      <c r="Y539" s="13">
        <f t="shared" si="97"/>
        <v>0.12800016904741787</v>
      </c>
    </row>
    <row r="540" spans="1:25" x14ac:dyDescent="0.3">
      <c r="A540" s="12" t="s">
        <v>1122</v>
      </c>
      <c r="B540" s="7">
        <v>44259</v>
      </c>
      <c r="C540" s="4" t="s">
        <v>1123</v>
      </c>
      <c r="D540" s="4" t="s">
        <v>50</v>
      </c>
      <c r="E540" s="4">
        <v>6724</v>
      </c>
      <c r="F540" s="4">
        <v>19.600000000000001</v>
      </c>
      <c r="G540" s="4">
        <v>36</v>
      </c>
      <c r="H540" s="4" t="s">
        <v>19</v>
      </c>
      <c r="I540" s="4" t="s">
        <v>36</v>
      </c>
      <c r="J540" s="4" t="s">
        <v>32</v>
      </c>
      <c r="K540" s="4">
        <v>130744</v>
      </c>
      <c r="L540" s="4" t="s">
        <v>22</v>
      </c>
      <c r="M540" s="4">
        <v>0.32</v>
      </c>
      <c r="N540" s="4">
        <v>0.54</v>
      </c>
      <c r="O540" s="4">
        <v>8041.9</v>
      </c>
      <c r="P540" s="4">
        <v>0</v>
      </c>
      <c r="Q540" s="6">
        <f t="shared" si="98"/>
        <v>248.51962173331688</v>
      </c>
      <c r="R540" s="6">
        <f t="shared" si="91"/>
        <v>2222.7063823994085</v>
      </c>
      <c r="S540" s="4">
        <f t="shared" si="92"/>
        <v>12451.85185185185</v>
      </c>
      <c r="T540" s="4">
        <f t="shared" si="93"/>
        <v>10895.333333333334</v>
      </c>
      <c r="U540" s="4">
        <f t="shared" si="94"/>
        <v>3486.5066666666671</v>
      </c>
      <c r="V540" s="4">
        <f t="shared" ca="1" si="95"/>
        <v>60</v>
      </c>
      <c r="W540" s="20">
        <f t="shared" ca="1" si="100"/>
        <v>14911.177303999013</v>
      </c>
      <c r="X540" s="4">
        <f t="shared" si="96"/>
        <v>1317.8999999999996</v>
      </c>
      <c r="Y540" s="13">
        <f t="shared" si="97"/>
        <v>0.19599940511600233</v>
      </c>
    </row>
    <row r="541" spans="1:25" x14ac:dyDescent="0.3">
      <c r="A541" s="12" t="s">
        <v>1124</v>
      </c>
      <c r="B541" s="7">
        <v>45023</v>
      </c>
      <c r="C541" s="4" t="s">
        <v>1125</v>
      </c>
      <c r="D541" s="4" t="s">
        <v>40</v>
      </c>
      <c r="E541" s="4">
        <v>12083</v>
      </c>
      <c r="F541" s="4">
        <v>22.6</v>
      </c>
      <c r="G541" s="4">
        <v>60</v>
      </c>
      <c r="H541" s="4" t="s">
        <v>26</v>
      </c>
      <c r="I541" s="4" t="s">
        <v>20</v>
      </c>
      <c r="J541" s="4" t="s">
        <v>28</v>
      </c>
      <c r="K541" s="4">
        <v>116055</v>
      </c>
      <c r="L541" s="4" t="s">
        <v>22</v>
      </c>
      <c r="M541" s="4">
        <v>0.25</v>
      </c>
      <c r="N541" s="4">
        <v>0.8</v>
      </c>
      <c r="O541" s="4">
        <v>1690.14</v>
      </c>
      <c r="P541" s="4">
        <v>0</v>
      </c>
      <c r="Q541" s="6">
        <f t="shared" si="98"/>
        <v>337.85434783689902</v>
      </c>
      <c r="R541" s="6">
        <f t="shared" si="91"/>
        <v>8188.2608702139405</v>
      </c>
      <c r="S541" s="4">
        <f t="shared" si="92"/>
        <v>15103.75</v>
      </c>
      <c r="T541" s="4">
        <f t="shared" si="93"/>
        <v>9671.25</v>
      </c>
      <c r="U541" s="4">
        <f t="shared" si="94"/>
        <v>2417.8125</v>
      </c>
      <c r="V541" s="4">
        <f t="shared" ca="1" si="95"/>
        <v>35</v>
      </c>
      <c r="W541" s="20">
        <f t="shared" ca="1" si="100"/>
        <v>11824.902174291467</v>
      </c>
      <c r="X541" s="4">
        <f t="shared" si="96"/>
        <v>-10392.86</v>
      </c>
      <c r="Y541" s="13">
        <f t="shared" si="97"/>
        <v>-0.86012248613754871</v>
      </c>
    </row>
    <row r="542" spans="1:25" x14ac:dyDescent="0.3">
      <c r="A542" s="12" t="s">
        <v>1126</v>
      </c>
      <c r="B542" s="7">
        <v>44991</v>
      </c>
      <c r="C542" s="4" t="s">
        <v>1127</v>
      </c>
      <c r="D542" s="4" t="s">
        <v>76</v>
      </c>
      <c r="E542" s="4">
        <v>20816</v>
      </c>
      <c r="F542" s="4">
        <v>18.399999999999999</v>
      </c>
      <c r="G542" s="4">
        <v>60</v>
      </c>
      <c r="H542" s="4" t="s">
        <v>26</v>
      </c>
      <c r="I542" s="4" t="s">
        <v>27</v>
      </c>
      <c r="J542" s="4" t="s">
        <v>47</v>
      </c>
      <c r="K542" s="4">
        <v>61379</v>
      </c>
      <c r="L542" s="4" t="s">
        <v>33</v>
      </c>
      <c r="M542" s="4">
        <v>0.35</v>
      </c>
      <c r="N542" s="4">
        <v>0.56000000000000005</v>
      </c>
      <c r="O542" s="4">
        <v>3310.57</v>
      </c>
      <c r="P542" s="4">
        <v>0</v>
      </c>
      <c r="Q542" s="6">
        <f t="shared" si="98"/>
        <v>533.12956177767524</v>
      </c>
      <c r="R542" s="6">
        <f t="shared" si="91"/>
        <v>11171.773706660515</v>
      </c>
      <c r="S542" s="4">
        <f t="shared" si="92"/>
        <v>37171.428571428565</v>
      </c>
      <c r="T542" s="4">
        <f t="shared" si="93"/>
        <v>5114.916666666667</v>
      </c>
      <c r="U542" s="4">
        <f t="shared" si="94"/>
        <v>1790.2208333333333</v>
      </c>
      <c r="V542" s="4">
        <f t="shared" ca="1" si="95"/>
        <v>36</v>
      </c>
      <c r="W542" s="20">
        <f t="shared" ca="1" si="100"/>
        <v>19192.664223996308</v>
      </c>
      <c r="X542" s="4">
        <f t="shared" si="96"/>
        <v>-17505.43</v>
      </c>
      <c r="Y542" s="13">
        <f t="shared" si="97"/>
        <v>-0.84096031898539592</v>
      </c>
    </row>
    <row r="543" spans="1:25" x14ac:dyDescent="0.3">
      <c r="A543" s="12" t="s">
        <v>1128</v>
      </c>
      <c r="B543" s="7">
        <v>44885</v>
      </c>
      <c r="C543" s="4" t="s">
        <v>1129</v>
      </c>
      <c r="D543" s="4" t="s">
        <v>50</v>
      </c>
      <c r="E543" s="4">
        <v>7276</v>
      </c>
      <c r="F543" s="4">
        <v>10.199999999999999</v>
      </c>
      <c r="G543" s="4">
        <v>36</v>
      </c>
      <c r="H543" s="4" t="s">
        <v>19</v>
      </c>
      <c r="I543" s="4" t="s">
        <v>73</v>
      </c>
      <c r="J543" s="4" t="s">
        <v>37</v>
      </c>
      <c r="K543" s="4">
        <v>94729</v>
      </c>
      <c r="L543" s="4" t="s">
        <v>22</v>
      </c>
      <c r="M543" s="4">
        <v>0.1</v>
      </c>
      <c r="N543" s="4">
        <v>0.88</v>
      </c>
      <c r="O543" s="4">
        <v>8018.15</v>
      </c>
      <c r="P543" s="4">
        <v>0</v>
      </c>
      <c r="Q543" s="6">
        <f t="shared" si="98"/>
        <v>235.45985503166756</v>
      </c>
      <c r="R543" s="6">
        <f t="shared" si="91"/>
        <v>1200.554781140032</v>
      </c>
      <c r="S543" s="4">
        <f t="shared" si="92"/>
        <v>8268.181818181818</v>
      </c>
      <c r="T543" s="4">
        <f t="shared" si="93"/>
        <v>7894.083333333333</v>
      </c>
      <c r="U543" s="4">
        <f t="shared" si="94"/>
        <v>789.4083333333333</v>
      </c>
      <c r="V543" s="4">
        <f t="shared" ca="1" si="95"/>
        <v>39</v>
      </c>
      <c r="W543" s="20">
        <f t="shared" ca="1" si="100"/>
        <v>9182.9343462350353</v>
      </c>
      <c r="X543" s="4">
        <f t="shared" si="96"/>
        <v>742.14999999999964</v>
      </c>
      <c r="Y543" s="13">
        <f t="shared" si="97"/>
        <v>0.10199972512369429</v>
      </c>
    </row>
    <row r="544" spans="1:25" x14ac:dyDescent="0.3">
      <c r="A544" s="12" t="s">
        <v>1130</v>
      </c>
      <c r="B544" s="7">
        <v>44301</v>
      </c>
      <c r="C544" s="4" t="s">
        <v>1131</v>
      </c>
      <c r="D544" s="4" t="s">
        <v>46</v>
      </c>
      <c r="E544" s="4">
        <v>39663</v>
      </c>
      <c r="F544" s="4">
        <v>18.5</v>
      </c>
      <c r="G544" s="4">
        <v>36</v>
      </c>
      <c r="H544" s="4" t="s">
        <v>19</v>
      </c>
      <c r="I544" s="4" t="s">
        <v>84</v>
      </c>
      <c r="J544" s="4" t="s">
        <v>28</v>
      </c>
      <c r="K544" s="4">
        <v>58378</v>
      </c>
      <c r="L544" s="4" t="s">
        <v>22</v>
      </c>
      <c r="M544" s="4">
        <v>0.16</v>
      </c>
      <c r="N544" s="4">
        <v>0.87</v>
      </c>
      <c r="O544" s="4">
        <v>47000.66</v>
      </c>
      <c r="P544" s="4">
        <v>0</v>
      </c>
      <c r="Q544" s="6">
        <f t="shared" si="98"/>
        <v>1443.8805206029413</v>
      </c>
      <c r="R544" s="6">
        <f t="shared" si="91"/>
        <v>12316.698741705884</v>
      </c>
      <c r="S544" s="4">
        <f t="shared" si="92"/>
        <v>45589.65517241379</v>
      </c>
      <c r="T544" s="4">
        <f t="shared" si="93"/>
        <v>4864.833333333333</v>
      </c>
      <c r="U544" s="4">
        <f t="shared" si="94"/>
        <v>778.37333333333333</v>
      </c>
      <c r="V544" s="4">
        <f t="shared" ca="1" si="95"/>
        <v>59</v>
      </c>
      <c r="W544" s="20">
        <f t="shared" ca="1" si="100"/>
        <v>85188.950715573534</v>
      </c>
      <c r="X544" s="4">
        <f t="shared" si="96"/>
        <v>7337.6600000000035</v>
      </c>
      <c r="Y544" s="13">
        <f t="shared" si="97"/>
        <v>0.18500012606207306</v>
      </c>
    </row>
    <row r="545" spans="1:25" x14ac:dyDescent="0.3">
      <c r="A545" s="12" t="s">
        <v>1132</v>
      </c>
      <c r="B545" s="7">
        <v>44707</v>
      </c>
      <c r="C545" s="4" t="s">
        <v>1133</v>
      </c>
      <c r="D545" s="4" t="s">
        <v>50</v>
      </c>
      <c r="E545" s="4">
        <v>14994</v>
      </c>
      <c r="F545" s="4">
        <v>10.9</v>
      </c>
      <c r="G545" s="4">
        <v>60</v>
      </c>
      <c r="H545" s="4" t="s">
        <v>26</v>
      </c>
      <c r="I545" s="4" t="s">
        <v>20</v>
      </c>
      <c r="J545" s="4" t="s">
        <v>32</v>
      </c>
      <c r="K545" s="4">
        <v>135428</v>
      </c>
      <c r="L545" s="4" t="s">
        <v>33</v>
      </c>
      <c r="M545" s="4">
        <v>0.4</v>
      </c>
      <c r="N545" s="4">
        <v>0.51</v>
      </c>
      <c r="O545" s="4">
        <v>3543.54</v>
      </c>
      <c r="P545" s="4">
        <v>0</v>
      </c>
      <c r="Q545" s="6">
        <f t="shared" si="98"/>
        <v>325.25862592357072</v>
      </c>
      <c r="R545" s="6">
        <f t="shared" si="91"/>
        <v>4521.5175554142443</v>
      </c>
      <c r="S545" s="4">
        <f t="shared" si="92"/>
        <v>29400</v>
      </c>
      <c r="T545" s="4">
        <f t="shared" si="93"/>
        <v>11285.666666666666</v>
      </c>
      <c r="U545" s="4">
        <f t="shared" si="94"/>
        <v>4514.2666666666664</v>
      </c>
      <c r="V545" s="4">
        <f t="shared" ca="1" si="95"/>
        <v>45</v>
      </c>
      <c r="W545" s="20">
        <f t="shared" ca="1" si="100"/>
        <v>14636.638166560682</v>
      </c>
      <c r="X545" s="4">
        <f t="shared" si="96"/>
        <v>-11450.46</v>
      </c>
      <c r="Y545" s="13">
        <f t="shared" si="97"/>
        <v>-0.76366946778711475</v>
      </c>
    </row>
    <row r="546" spans="1:25" x14ac:dyDescent="0.3">
      <c r="A546" s="12" t="s">
        <v>1134</v>
      </c>
      <c r="B546" s="7">
        <v>44581</v>
      </c>
      <c r="C546" s="4" t="s">
        <v>1135</v>
      </c>
      <c r="D546" s="4" t="s">
        <v>72</v>
      </c>
      <c r="E546" s="4">
        <v>24499</v>
      </c>
      <c r="F546" s="4">
        <v>19.399999999999999</v>
      </c>
      <c r="G546" s="4">
        <v>60</v>
      </c>
      <c r="H546" s="4" t="s">
        <v>19</v>
      </c>
      <c r="I546" s="4" t="s">
        <v>27</v>
      </c>
      <c r="J546" s="4" t="s">
        <v>37</v>
      </c>
      <c r="K546" s="4">
        <v>84353</v>
      </c>
      <c r="L546" s="4" t="s">
        <v>33</v>
      </c>
      <c r="M546" s="4">
        <v>0.2</v>
      </c>
      <c r="N546" s="4">
        <v>0.9</v>
      </c>
      <c r="O546" s="4">
        <v>29251.81</v>
      </c>
      <c r="P546" s="4">
        <v>0</v>
      </c>
      <c r="Q546" s="6">
        <f t="shared" si="98"/>
        <v>640.9218355105445</v>
      </c>
      <c r="R546" s="6">
        <f t="shared" si="91"/>
        <v>13956.310130632672</v>
      </c>
      <c r="S546" s="4">
        <f t="shared" si="92"/>
        <v>27221.111111111109</v>
      </c>
      <c r="T546" s="4">
        <f t="shared" si="93"/>
        <v>7029.416666666667</v>
      </c>
      <c r="U546" s="4">
        <f t="shared" si="94"/>
        <v>1405.8833333333334</v>
      </c>
      <c r="V546" s="4">
        <f t="shared" ca="1" si="95"/>
        <v>49</v>
      </c>
      <c r="W546" s="20">
        <f t="shared" ca="1" si="100"/>
        <v>31405.16994001668</v>
      </c>
      <c r="X546" s="4">
        <f t="shared" si="96"/>
        <v>4752.8100000000013</v>
      </c>
      <c r="Y546" s="13">
        <f t="shared" si="97"/>
        <v>0.19400016327197034</v>
      </c>
    </row>
    <row r="547" spans="1:25" x14ac:dyDescent="0.3">
      <c r="A547" s="12" t="s">
        <v>1136</v>
      </c>
      <c r="B547" s="7">
        <v>44601</v>
      </c>
      <c r="C547" s="4" t="s">
        <v>1137</v>
      </c>
      <c r="D547" s="4" t="s">
        <v>50</v>
      </c>
      <c r="E547" s="4">
        <v>24040</v>
      </c>
      <c r="F547" s="4">
        <v>24.1</v>
      </c>
      <c r="G547" s="4">
        <v>60</v>
      </c>
      <c r="H547" s="4" t="s">
        <v>26</v>
      </c>
      <c r="I547" s="4" t="s">
        <v>73</v>
      </c>
      <c r="J547" s="4" t="s">
        <v>21</v>
      </c>
      <c r="K547" s="4">
        <v>79996</v>
      </c>
      <c r="L547" s="4" t="s">
        <v>22</v>
      </c>
      <c r="M547" s="4">
        <v>0.34</v>
      </c>
      <c r="N547" s="4">
        <v>0.51</v>
      </c>
      <c r="O547" s="4">
        <v>3719.68</v>
      </c>
      <c r="P547" s="4">
        <v>0</v>
      </c>
      <c r="Q547" s="6">
        <f t="shared" si="98"/>
        <v>692.97797685950616</v>
      </c>
      <c r="R547" s="6">
        <f t="shared" si="91"/>
        <v>17538.678611570373</v>
      </c>
      <c r="S547" s="4">
        <f t="shared" si="92"/>
        <v>47137.254901960783</v>
      </c>
      <c r="T547" s="4">
        <f t="shared" si="93"/>
        <v>6666.333333333333</v>
      </c>
      <c r="U547" s="4">
        <f t="shared" si="94"/>
        <v>2266.5533333333333</v>
      </c>
      <c r="V547" s="4">
        <f t="shared" ca="1" si="95"/>
        <v>49</v>
      </c>
      <c r="W547" s="20">
        <f t="shared" ca="1" si="100"/>
        <v>33955.920866115805</v>
      </c>
      <c r="X547" s="4">
        <f t="shared" si="96"/>
        <v>-20320.32</v>
      </c>
      <c r="Y547" s="13">
        <f t="shared" si="97"/>
        <v>-0.84527121464226285</v>
      </c>
    </row>
    <row r="548" spans="1:25" x14ac:dyDescent="0.3">
      <c r="A548" s="12" t="s">
        <v>1138</v>
      </c>
      <c r="B548" s="7">
        <v>45019</v>
      </c>
      <c r="C548" s="4" t="s">
        <v>1139</v>
      </c>
      <c r="D548" s="4" t="s">
        <v>40</v>
      </c>
      <c r="E548" s="4">
        <v>17959</v>
      </c>
      <c r="F548" s="4">
        <v>19.399999999999999</v>
      </c>
      <c r="G548" s="4">
        <v>60</v>
      </c>
      <c r="H548" s="4" t="s">
        <v>19</v>
      </c>
      <c r="I548" s="4" t="s">
        <v>73</v>
      </c>
      <c r="J548" s="4" t="s">
        <v>28</v>
      </c>
      <c r="K548" s="4">
        <v>44031</v>
      </c>
      <c r="L548" s="4" t="s">
        <v>22</v>
      </c>
      <c r="M548" s="4">
        <v>0.25</v>
      </c>
      <c r="N548" s="4">
        <v>0.61</v>
      </c>
      <c r="O548" s="4">
        <v>21443.05</v>
      </c>
      <c r="P548" s="4">
        <v>0</v>
      </c>
      <c r="Q548" s="6">
        <f t="shared" si="98"/>
        <v>469.82796211820352</v>
      </c>
      <c r="R548" s="6">
        <f t="shared" si="91"/>
        <v>10230.67772709221</v>
      </c>
      <c r="S548" s="4">
        <f t="shared" si="92"/>
        <v>29440.983606557376</v>
      </c>
      <c r="T548" s="4">
        <f t="shared" si="93"/>
        <v>3669.25</v>
      </c>
      <c r="U548" s="4">
        <f t="shared" si="94"/>
        <v>917.3125</v>
      </c>
      <c r="V548" s="4">
        <f t="shared" ca="1" si="95"/>
        <v>35</v>
      </c>
      <c r="W548" s="20">
        <f t="shared" ca="1" si="100"/>
        <v>16443.978674137124</v>
      </c>
      <c r="X548" s="4">
        <f t="shared" si="96"/>
        <v>3484.0499999999993</v>
      </c>
      <c r="Y548" s="13">
        <f t="shared" si="97"/>
        <v>0.19400022272955061</v>
      </c>
    </row>
    <row r="549" spans="1:25" x14ac:dyDescent="0.3">
      <c r="A549" s="12" t="s">
        <v>1140</v>
      </c>
      <c r="B549" s="7">
        <v>44714</v>
      </c>
      <c r="C549" s="4" t="s">
        <v>1141</v>
      </c>
      <c r="D549" s="4" t="s">
        <v>18</v>
      </c>
      <c r="E549" s="4">
        <v>7099</v>
      </c>
      <c r="F549" s="4">
        <v>22.3</v>
      </c>
      <c r="G549" s="4">
        <v>60</v>
      </c>
      <c r="H549" s="4" t="s">
        <v>81</v>
      </c>
      <c r="I549" s="4" t="s">
        <v>73</v>
      </c>
      <c r="J549" s="4" t="s">
        <v>37</v>
      </c>
      <c r="K549" s="4">
        <v>110072</v>
      </c>
      <c r="L549" s="4" t="s">
        <v>22</v>
      </c>
      <c r="M549" s="4">
        <v>0.44</v>
      </c>
      <c r="N549" s="4">
        <v>0.51</v>
      </c>
      <c r="O549" s="4">
        <v>1756.33</v>
      </c>
      <c r="P549" s="4">
        <v>874.52</v>
      </c>
      <c r="Q549" s="6">
        <f t="shared" si="98"/>
        <v>197.27945113544931</v>
      </c>
      <c r="R549" s="6">
        <f t="shared" si="91"/>
        <v>4737.7670681269592</v>
      </c>
      <c r="S549" s="4">
        <f t="shared" si="92"/>
        <v>13919.607843137255</v>
      </c>
      <c r="T549" s="4">
        <f t="shared" si="93"/>
        <v>9172.6666666666661</v>
      </c>
      <c r="U549" s="4">
        <f t="shared" si="94"/>
        <v>4035.9733333333329</v>
      </c>
      <c r="V549" s="4">
        <f t="shared" ca="1" si="95"/>
        <v>45</v>
      </c>
      <c r="W549" s="20">
        <v>0</v>
      </c>
      <c r="X549" s="4">
        <f t="shared" si="96"/>
        <v>-4468.1499999999996</v>
      </c>
      <c r="Y549" s="13">
        <f t="shared" si="97"/>
        <v>-0.62940555007747567</v>
      </c>
    </row>
    <row r="550" spans="1:25" x14ac:dyDescent="0.3">
      <c r="A550" s="12" t="s">
        <v>1142</v>
      </c>
      <c r="B550" s="7">
        <v>44672</v>
      </c>
      <c r="C550" s="4" t="s">
        <v>1143</v>
      </c>
      <c r="D550" s="4" t="s">
        <v>18</v>
      </c>
      <c r="E550" s="4">
        <v>20576</v>
      </c>
      <c r="F550" s="4">
        <v>5</v>
      </c>
      <c r="G550" s="4">
        <v>60</v>
      </c>
      <c r="H550" s="4" t="s">
        <v>19</v>
      </c>
      <c r="I550" s="4" t="s">
        <v>27</v>
      </c>
      <c r="J550" s="4" t="s">
        <v>21</v>
      </c>
      <c r="K550" s="4">
        <v>95982</v>
      </c>
      <c r="L550" s="4" t="s">
        <v>29</v>
      </c>
      <c r="M550" s="4">
        <v>0.48</v>
      </c>
      <c r="N550" s="4">
        <v>0.65</v>
      </c>
      <c r="O550" s="4">
        <v>21604.799999999999</v>
      </c>
      <c r="P550" s="4">
        <v>0</v>
      </c>
      <c r="Q550" s="6">
        <f t="shared" si="98"/>
        <v>388.29450345916905</v>
      </c>
      <c r="R550" s="6">
        <f t="shared" si="91"/>
        <v>2721.6702075501416</v>
      </c>
      <c r="S550" s="4">
        <f t="shared" si="92"/>
        <v>31655.384615384613</v>
      </c>
      <c r="T550" s="4">
        <f t="shared" si="93"/>
        <v>7998.5</v>
      </c>
      <c r="U550" s="4">
        <f t="shared" si="94"/>
        <v>3839.2799999999997</v>
      </c>
      <c r="V550" s="4">
        <f t="shared" ca="1" si="95"/>
        <v>46</v>
      </c>
      <c r="W550" s="20">
        <f t="shared" ref="W550:W556" ca="1" si="101">V550*Q550</f>
        <v>17861.547159121776</v>
      </c>
      <c r="X550" s="4">
        <f t="shared" si="96"/>
        <v>1028.7999999999993</v>
      </c>
      <c r="Y550" s="13">
        <f t="shared" si="97"/>
        <v>4.9999999999999968E-2</v>
      </c>
    </row>
    <row r="551" spans="1:25" x14ac:dyDescent="0.3">
      <c r="A551" s="12" t="s">
        <v>1144</v>
      </c>
      <c r="B551" s="7">
        <v>44905</v>
      </c>
      <c r="C551" s="4" t="s">
        <v>1145</v>
      </c>
      <c r="D551" s="4" t="s">
        <v>53</v>
      </c>
      <c r="E551" s="4">
        <v>36946</v>
      </c>
      <c r="F551" s="4">
        <v>19.399999999999999</v>
      </c>
      <c r="G551" s="4">
        <v>60</v>
      </c>
      <c r="H551" s="4" t="s">
        <v>19</v>
      </c>
      <c r="I551" s="4" t="s">
        <v>36</v>
      </c>
      <c r="J551" s="4" t="s">
        <v>32</v>
      </c>
      <c r="K551" s="4">
        <v>66683</v>
      </c>
      <c r="L551" s="4" t="s">
        <v>29</v>
      </c>
      <c r="M551" s="4">
        <v>0.45</v>
      </c>
      <c r="N551" s="4">
        <v>0.73</v>
      </c>
      <c r="O551" s="4">
        <v>44113.52</v>
      </c>
      <c r="P551" s="4">
        <v>0</v>
      </c>
      <c r="Q551" s="6">
        <f t="shared" si="98"/>
        <v>966.54957895312361</v>
      </c>
      <c r="R551" s="6">
        <f t="shared" si="91"/>
        <v>21046.974737187418</v>
      </c>
      <c r="S551" s="4">
        <f t="shared" si="92"/>
        <v>50610.95890410959</v>
      </c>
      <c r="T551" s="4">
        <f t="shared" si="93"/>
        <v>5556.916666666667</v>
      </c>
      <c r="U551" s="4">
        <f t="shared" si="94"/>
        <v>2500.6125000000002</v>
      </c>
      <c r="V551" s="4">
        <f t="shared" ca="1" si="95"/>
        <v>39</v>
      </c>
      <c r="W551" s="20">
        <f t="shared" ca="1" si="101"/>
        <v>37695.433579171819</v>
      </c>
      <c r="X551" s="4">
        <f t="shared" si="96"/>
        <v>7167.5199999999968</v>
      </c>
      <c r="Y551" s="13">
        <f t="shared" si="97"/>
        <v>0.1939998917338818</v>
      </c>
    </row>
    <row r="552" spans="1:25" x14ac:dyDescent="0.3">
      <c r="A552" s="12" t="s">
        <v>1146</v>
      </c>
      <c r="B552" s="7">
        <v>44967</v>
      </c>
      <c r="C552" s="4" t="s">
        <v>1147</v>
      </c>
      <c r="D552" s="4" t="s">
        <v>46</v>
      </c>
      <c r="E552" s="4">
        <v>7116</v>
      </c>
      <c r="F552" s="4">
        <v>21.6</v>
      </c>
      <c r="G552" s="4">
        <v>60</v>
      </c>
      <c r="H552" s="4" t="s">
        <v>26</v>
      </c>
      <c r="I552" s="4" t="s">
        <v>20</v>
      </c>
      <c r="J552" s="4" t="s">
        <v>47</v>
      </c>
      <c r="K552" s="4">
        <v>144091</v>
      </c>
      <c r="L552" s="4" t="s">
        <v>22</v>
      </c>
      <c r="M552" s="4">
        <v>0.21</v>
      </c>
      <c r="N552" s="4">
        <v>0.86</v>
      </c>
      <c r="O552" s="4">
        <v>3149.61</v>
      </c>
      <c r="P552" s="4">
        <v>0</v>
      </c>
      <c r="Q552" s="6">
        <f t="shared" si="98"/>
        <v>194.92123290816068</v>
      </c>
      <c r="R552" s="6">
        <f t="shared" si="91"/>
        <v>4579.2739744896408</v>
      </c>
      <c r="S552" s="4">
        <f t="shared" si="92"/>
        <v>8274.4186046511622</v>
      </c>
      <c r="T552" s="4">
        <f t="shared" si="93"/>
        <v>12007.583333333334</v>
      </c>
      <c r="U552" s="4">
        <f t="shared" si="94"/>
        <v>2521.5925000000002</v>
      </c>
      <c r="V552" s="4">
        <f t="shared" ca="1" si="95"/>
        <v>37</v>
      </c>
      <c r="W552" s="20">
        <f t="shared" ca="1" si="101"/>
        <v>7212.0856176019452</v>
      </c>
      <c r="X552" s="4">
        <f t="shared" si="96"/>
        <v>-3966.39</v>
      </c>
      <c r="Y552" s="13">
        <f t="shared" si="97"/>
        <v>-0.55739038785834738</v>
      </c>
    </row>
    <row r="553" spans="1:25" x14ac:dyDescent="0.3">
      <c r="A553" s="12" t="s">
        <v>1148</v>
      </c>
      <c r="B553" s="7">
        <v>45243</v>
      </c>
      <c r="C553" s="4" t="s">
        <v>1149</v>
      </c>
      <c r="D553" s="4" t="s">
        <v>72</v>
      </c>
      <c r="E553" s="4">
        <v>16563</v>
      </c>
      <c r="F553" s="4">
        <v>5.8</v>
      </c>
      <c r="G553" s="4">
        <v>36</v>
      </c>
      <c r="H553" s="4" t="s">
        <v>26</v>
      </c>
      <c r="I553" s="4" t="s">
        <v>20</v>
      </c>
      <c r="J553" s="4" t="s">
        <v>28</v>
      </c>
      <c r="K553" s="4">
        <v>147797</v>
      </c>
      <c r="L553" s="4" t="s">
        <v>33</v>
      </c>
      <c r="M553" s="4">
        <v>0.18</v>
      </c>
      <c r="N553" s="4">
        <v>0.65</v>
      </c>
      <c r="O553" s="4">
        <v>6135.41</v>
      </c>
      <c r="P553" s="4">
        <v>0</v>
      </c>
      <c r="Q553" s="6">
        <f t="shared" si="98"/>
        <v>502.3789707935581</v>
      </c>
      <c r="R553" s="6">
        <f t="shared" si="91"/>
        <v>1522.6429485680928</v>
      </c>
      <c r="S553" s="4">
        <f t="shared" si="92"/>
        <v>25481.538461538461</v>
      </c>
      <c r="T553" s="4">
        <f t="shared" si="93"/>
        <v>12316.416666666666</v>
      </c>
      <c r="U553" s="4">
        <f t="shared" si="94"/>
        <v>2216.9549999999999</v>
      </c>
      <c r="V553" s="4">
        <f t="shared" ca="1" si="95"/>
        <v>28</v>
      </c>
      <c r="W553" s="20">
        <f t="shared" ca="1" si="101"/>
        <v>14066.611182219627</v>
      </c>
      <c r="X553" s="4">
        <f t="shared" si="96"/>
        <v>-10427.59</v>
      </c>
      <c r="Y553" s="13">
        <f t="shared" si="97"/>
        <v>-0.6295713336955866</v>
      </c>
    </row>
    <row r="554" spans="1:25" x14ac:dyDescent="0.3">
      <c r="A554" s="12" t="s">
        <v>1150</v>
      </c>
      <c r="B554" s="7">
        <v>45193</v>
      </c>
      <c r="C554" s="4" t="s">
        <v>1151</v>
      </c>
      <c r="D554" s="4" t="s">
        <v>40</v>
      </c>
      <c r="E554" s="4">
        <v>27788</v>
      </c>
      <c r="F554" s="4">
        <v>22.4</v>
      </c>
      <c r="G554" s="4">
        <v>36</v>
      </c>
      <c r="H554" s="4" t="s">
        <v>19</v>
      </c>
      <c r="I554" s="4" t="s">
        <v>84</v>
      </c>
      <c r="J554" s="4" t="s">
        <v>47</v>
      </c>
      <c r="K554" s="4">
        <v>47618</v>
      </c>
      <c r="L554" s="4" t="s">
        <v>22</v>
      </c>
      <c r="M554" s="4">
        <v>0.28999999999999998</v>
      </c>
      <c r="N554" s="4">
        <v>0.82</v>
      </c>
      <c r="O554" s="4">
        <v>34012.51</v>
      </c>
      <c r="P554" s="4">
        <v>0</v>
      </c>
      <c r="Q554" s="6">
        <f t="shared" si="98"/>
        <v>1066.9951688274457</v>
      </c>
      <c r="R554" s="6">
        <f t="shared" si="91"/>
        <v>10623.826077788042</v>
      </c>
      <c r="S554" s="4">
        <f t="shared" si="92"/>
        <v>33887.804878048781</v>
      </c>
      <c r="T554" s="4">
        <f t="shared" si="93"/>
        <v>3968.1666666666665</v>
      </c>
      <c r="U554" s="4">
        <f t="shared" si="94"/>
        <v>1150.7683333333332</v>
      </c>
      <c r="V554" s="4">
        <f t="shared" ca="1" si="95"/>
        <v>29</v>
      </c>
      <c r="W554" s="20">
        <f t="shared" ca="1" si="101"/>
        <v>30942.859895995924</v>
      </c>
      <c r="X554" s="4">
        <f t="shared" si="96"/>
        <v>6224.510000000002</v>
      </c>
      <c r="Y554" s="13">
        <f t="shared" si="97"/>
        <v>0.22399992802648633</v>
      </c>
    </row>
    <row r="555" spans="1:25" x14ac:dyDescent="0.3">
      <c r="A555" s="12" t="s">
        <v>1152</v>
      </c>
      <c r="B555" s="7">
        <v>44873</v>
      </c>
      <c r="C555" s="4" t="s">
        <v>1153</v>
      </c>
      <c r="D555" s="4" t="s">
        <v>40</v>
      </c>
      <c r="E555" s="4">
        <v>27928</v>
      </c>
      <c r="F555" s="4">
        <v>10.1</v>
      </c>
      <c r="G555" s="4">
        <v>36</v>
      </c>
      <c r="H555" s="4" t="s">
        <v>26</v>
      </c>
      <c r="I555" s="4" t="s">
        <v>20</v>
      </c>
      <c r="J555" s="4" t="s">
        <v>32</v>
      </c>
      <c r="K555" s="4">
        <v>36587</v>
      </c>
      <c r="L555" s="4" t="s">
        <v>33</v>
      </c>
      <c r="M555" s="4">
        <v>0.1</v>
      </c>
      <c r="N555" s="4">
        <v>0.57999999999999996</v>
      </c>
      <c r="O555" s="4">
        <v>8685.1299999999992</v>
      </c>
      <c r="P555" s="4">
        <v>0</v>
      </c>
      <c r="Q555" s="6">
        <f t="shared" si="98"/>
        <v>902.46977660061623</v>
      </c>
      <c r="R555" s="6">
        <f t="shared" si="91"/>
        <v>4560.9119576221856</v>
      </c>
      <c r="S555" s="4">
        <f t="shared" si="92"/>
        <v>48151.724137931036</v>
      </c>
      <c r="T555" s="4">
        <f t="shared" si="93"/>
        <v>3048.9166666666665</v>
      </c>
      <c r="U555" s="4">
        <f t="shared" si="94"/>
        <v>304.89166666666665</v>
      </c>
      <c r="V555" s="4">
        <f t="shared" ca="1" si="95"/>
        <v>40</v>
      </c>
      <c r="W555" s="20">
        <f t="shared" ca="1" si="101"/>
        <v>36098.791064024648</v>
      </c>
      <c r="X555" s="4">
        <f t="shared" si="96"/>
        <v>-19242.870000000003</v>
      </c>
      <c r="Y555" s="13">
        <f t="shared" si="97"/>
        <v>-0.68901711543970223</v>
      </c>
    </row>
    <row r="556" spans="1:25" x14ac:dyDescent="0.3">
      <c r="A556" s="12" t="s">
        <v>1154</v>
      </c>
      <c r="B556" s="7">
        <v>44910</v>
      </c>
      <c r="C556" s="4" t="s">
        <v>1155</v>
      </c>
      <c r="D556" s="4" t="s">
        <v>56</v>
      </c>
      <c r="E556" s="4">
        <v>37336</v>
      </c>
      <c r="F556" s="4">
        <v>18.3</v>
      </c>
      <c r="G556" s="4">
        <v>36</v>
      </c>
      <c r="H556" s="4" t="s">
        <v>19</v>
      </c>
      <c r="I556" s="4" t="s">
        <v>41</v>
      </c>
      <c r="J556" s="4" t="s">
        <v>37</v>
      </c>
      <c r="K556" s="4">
        <v>92790</v>
      </c>
      <c r="L556" s="4" t="s">
        <v>33</v>
      </c>
      <c r="M556" s="4">
        <v>0.11</v>
      </c>
      <c r="N556" s="4">
        <v>0.84</v>
      </c>
      <c r="O556" s="4">
        <v>44168.49</v>
      </c>
      <c r="P556" s="4">
        <v>0</v>
      </c>
      <c r="Q556" s="6">
        <f t="shared" si="98"/>
        <v>1355.4113559144548</v>
      </c>
      <c r="R556" s="6">
        <f t="shared" si="91"/>
        <v>11458.808812920375</v>
      </c>
      <c r="S556" s="4">
        <f t="shared" si="92"/>
        <v>44447.619047619046</v>
      </c>
      <c r="T556" s="4">
        <f t="shared" si="93"/>
        <v>7732.5</v>
      </c>
      <c r="U556" s="4">
        <f t="shared" si="94"/>
        <v>850.57500000000005</v>
      </c>
      <c r="V556" s="4">
        <f t="shared" ca="1" si="95"/>
        <v>39</v>
      </c>
      <c r="W556" s="20">
        <f t="shared" ca="1" si="101"/>
        <v>52861.042880663736</v>
      </c>
      <c r="X556" s="4">
        <f t="shared" si="96"/>
        <v>6832.489999999998</v>
      </c>
      <c r="Y556" s="13">
        <f t="shared" si="97"/>
        <v>0.18300005356760227</v>
      </c>
    </row>
    <row r="557" spans="1:25" x14ac:dyDescent="0.3">
      <c r="A557" s="12" t="s">
        <v>1156</v>
      </c>
      <c r="B557" s="7">
        <v>44279</v>
      </c>
      <c r="C557" s="4" t="s">
        <v>1157</v>
      </c>
      <c r="D557" s="4" t="s">
        <v>65</v>
      </c>
      <c r="E557" s="4">
        <v>10847</v>
      </c>
      <c r="F557" s="4">
        <v>21</v>
      </c>
      <c r="G557" s="4">
        <v>36</v>
      </c>
      <c r="H557" s="4" t="s">
        <v>81</v>
      </c>
      <c r="I557" s="4" t="s">
        <v>73</v>
      </c>
      <c r="J557" s="4" t="s">
        <v>37</v>
      </c>
      <c r="K557" s="4">
        <v>61480</v>
      </c>
      <c r="L557" s="4" t="s">
        <v>33</v>
      </c>
      <c r="M557" s="4">
        <v>0.32</v>
      </c>
      <c r="N557" s="4">
        <v>0.61</v>
      </c>
      <c r="O557" s="4">
        <v>1374.33</v>
      </c>
      <c r="P557" s="4">
        <v>4848.7</v>
      </c>
      <c r="Q557" s="6">
        <f t="shared" si="98"/>
        <v>408.66145539567208</v>
      </c>
      <c r="R557" s="6">
        <f t="shared" si="91"/>
        <v>3864.8123942441944</v>
      </c>
      <c r="S557" s="4">
        <f t="shared" si="92"/>
        <v>17781.967213114756</v>
      </c>
      <c r="T557" s="4">
        <f t="shared" si="93"/>
        <v>5123.333333333333</v>
      </c>
      <c r="U557" s="4">
        <f t="shared" si="94"/>
        <v>1639.4666666666667</v>
      </c>
      <c r="V557" s="4">
        <f t="shared" ca="1" si="95"/>
        <v>59</v>
      </c>
      <c r="W557" s="20">
        <v>0</v>
      </c>
      <c r="X557" s="4">
        <f t="shared" si="96"/>
        <v>-4623.97</v>
      </c>
      <c r="Y557" s="13">
        <f t="shared" si="97"/>
        <v>-0.42629021849359272</v>
      </c>
    </row>
    <row r="558" spans="1:25" x14ac:dyDescent="0.3">
      <c r="A558" s="12" t="s">
        <v>1158</v>
      </c>
      <c r="B558" s="7">
        <v>44653</v>
      </c>
      <c r="C558" s="4" t="s">
        <v>1159</v>
      </c>
      <c r="D558" s="4" t="s">
        <v>46</v>
      </c>
      <c r="E558" s="4">
        <v>27155</v>
      </c>
      <c r="F558" s="4">
        <v>18.3</v>
      </c>
      <c r="G558" s="4">
        <v>36</v>
      </c>
      <c r="H558" s="4" t="s">
        <v>26</v>
      </c>
      <c r="I558" s="4" t="s">
        <v>27</v>
      </c>
      <c r="J558" s="4" t="s">
        <v>32</v>
      </c>
      <c r="K558" s="4">
        <v>128530</v>
      </c>
      <c r="L558" s="4" t="s">
        <v>22</v>
      </c>
      <c r="M558" s="4">
        <v>0.31</v>
      </c>
      <c r="N558" s="4">
        <v>0.56000000000000005</v>
      </c>
      <c r="O558" s="4">
        <v>9838.16</v>
      </c>
      <c r="P558" s="4">
        <v>0</v>
      </c>
      <c r="Q558" s="6">
        <f t="shared" si="98"/>
        <v>985.80981813416054</v>
      </c>
      <c r="R558" s="6">
        <f t="shared" si="91"/>
        <v>8334.153452829778</v>
      </c>
      <c r="S558" s="4">
        <f t="shared" si="92"/>
        <v>48491.071428571428</v>
      </c>
      <c r="T558" s="4">
        <f t="shared" si="93"/>
        <v>10710.833333333334</v>
      </c>
      <c r="U558" s="4">
        <f t="shared" si="94"/>
        <v>3320.3583333333336</v>
      </c>
      <c r="V558" s="4">
        <f t="shared" ca="1" si="95"/>
        <v>47</v>
      </c>
      <c r="W558" s="20">
        <f t="shared" ref="W558:W576" ca="1" si="102">V558*Q558</f>
        <v>46333.061452305548</v>
      </c>
      <c r="X558" s="4">
        <f t="shared" si="96"/>
        <v>-17316.84</v>
      </c>
      <c r="Y558" s="13">
        <f t="shared" si="97"/>
        <v>-0.63770355367335663</v>
      </c>
    </row>
    <row r="559" spans="1:25" x14ac:dyDescent="0.3">
      <c r="A559" s="12" t="s">
        <v>1160</v>
      </c>
      <c r="B559" s="7">
        <v>44197</v>
      </c>
      <c r="C559" s="4" t="s">
        <v>1161</v>
      </c>
      <c r="D559" s="4" t="s">
        <v>40</v>
      </c>
      <c r="E559" s="4">
        <v>15135</v>
      </c>
      <c r="F559" s="4">
        <v>6.8</v>
      </c>
      <c r="G559" s="4">
        <v>60</v>
      </c>
      <c r="H559" s="4" t="s">
        <v>19</v>
      </c>
      <c r="I559" s="4" t="s">
        <v>20</v>
      </c>
      <c r="J559" s="4" t="s">
        <v>32</v>
      </c>
      <c r="K559" s="4">
        <v>50527</v>
      </c>
      <c r="L559" s="4" t="s">
        <v>22</v>
      </c>
      <c r="M559" s="4">
        <v>0.5</v>
      </c>
      <c r="N559" s="4">
        <v>0.57999999999999996</v>
      </c>
      <c r="O559" s="4">
        <v>16164.18</v>
      </c>
      <c r="P559" s="4">
        <v>0</v>
      </c>
      <c r="Q559" s="6">
        <f t="shared" si="98"/>
        <v>298.26505483322558</v>
      </c>
      <c r="R559" s="6">
        <f t="shared" si="91"/>
        <v>2760.9032899935337</v>
      </c>
      <c r="S559" s="4">
        <f t="shared" si="92"/>
        <v>26094.827586206899</v>
      </c>
      <c r="T559" s="4">
        <f t="shared" si="93"/>
        <v>4210.583333333333</v>
      </c>
      <c r="U559" s="4">
        <f t="shared" si="94"/>
        <v>2105.2916666666665</v>
      </c>
      <c r="V559" s="4">
        <f t="shared" ca="1" si="95"/>
        <v>62</v>
      </c>
      <c r="W559" s="20">
        <f t="shared" ca="1" si="102"/>
        <v>18492.433399659985</v>
      </c>
      <c r="X559" s="4">
        <f t="shared" si="96"/>
        <v>1029.1800000000003</v>
      </c>
      <c r="Y559" s="13">
        <f t="shared" si="97"/>
        <v>6.8000000000000019E-2</v>
      </c>
    </row>
    <row r="560" spans="1:25" x14ac:dyDescent="0.3">
      <c r="A560" s="12" t="s">
        <v>1162</v>
      </c>
      <c r="B560" s="7">
        <v>44247</v>
      </c>
      <c r="C560" s="4" t="s">
        <v>1163</v>
      </c>
      <c r="D560" s="4" t="s">
        <v>25</v>
      </c>
      <c r="E560" s="4">
        <v>18774</v>
      </c>
      <c r="F560" s="4">
        <v>16.899999999999999</v>
      </c>
      <c r="G560" s="4">
        <v>60</v>
      </c>
      <c r="H560" s="4" t="s">
        <v>26</v>
      </c>
      <c r="I560" s="4" t="s">
        <v>20</v>
      </c>
      <c r="J560" s="4" t="s">
        <v>28</v>
      </c>
      <c r="K560" s="4">
        <v>53569</v>
      </c>
      <c r="L560" s="4" t="s">
        <v>33</v>
      </c>
      <c r="M560" s="4">
        <v>0.18</v>
      </c>
      <c r="N560" s="4">
        <v>0.57999999999999996</v>
      </c>
      <c r="O560" s="4">
        <v>2344.62</v>
      </c>
      <c r="P560" s="4">
        <v>0</v>
      </c>
      <c r="Q560" s="6">
        <f t="shared" si="98"/>
        <v>465.57338331408789</v>
      </c>
      <c r="R560" s="6">
        <f t="shared" si="91"/>
        <v>9160.4029988452749</v>
      </c>
      <c r="S560" s="4">
        <f t="shared" si="92"/>
        <v>32368.96551724138</v>
      </c>
      <c r="T560" s="4">
        <f t="shared" si="93"/>
        <v>4464.083333333333</v>
      </c>
      <c r="U560" s="4">
        <f t="shared" si="94"/>
        <v>803.53499999999997</v>
      </c>
      <c r="V560" s="4">
        <f t="shared" ca="1" si="95"/>
        <v>60</v>
      </c>
      <c r="W560" s="20">
        <f t="shared" ca="1" si="102"/>
        <v>27934.402998845275</v>
      </c>
      <c r="X560" s="4">
        <f t="shared" si="96"/>
        <v>-16429.38</v>
      </c>
      <c r="Y560" s="13">
        <f t="shared" si="97"/>
        <v>-0.87511345477788438</v>
      </c>
    </row>
    <row r="561" spans="1:25" x14ac:dyDescent="0.3">
      <c r="A561" s="12" t="s">
        <v>1164</v>
      </c>
      <c r="B561" s="7">
        <v>44881</v>
      </c>
      <c r="C561" s="4" t="s">
        <v>1165</v>
      </c>
      <c r="D561" s="4" t="s">
        <v>40</v>
      </c>
      <c r="E561" s="4">
        <v>2742</v>
      </c>
      <c r="F561" s="4">
        <v>16</v>
      </c>
      <c r="G561" s="4">
        <v>36</v>
      </c>
      <c r="H561" s="4" t="s">
        <v>19</v>
      </c>
      <c r="I561" s="4" t="s">
        <v>27</v>
      </c>
      <c r="J561" s="4" t="s">
        <v>21</v>
      </c>
      <c r="K561" s="4">
        <v>41151</v>
      </c>
      <c r="L561" s="4" t="s">
        <v>29</v>
      </c>
      <c r="M561" s="4">
        <v>0.2</v>
      </c>
      <c r="N561" s="4">
        <v>0.73</v>
      </c>
      <c r="O561" s="4">
        <v>3180.72</v>
      </c>
      <c r="P561" s="4">
        <v>0</v>
      </c>
      <c r="Q561" s="6">
        <f t="shared" si="98"/>
        <v>96.40058458567195</v>
      </c>
      <c r="R561" s="6">
        <f t="shared" si="91"/>
        <v>728.42104508419015</v>
      </c>
      <c r="S561" s="4">
        <f t="shared" si="92"/>
        <v>3756.1643835616437</v>
      </c>
      <c r="T561" s="4">
        <f t="shared" si="93"/>
        <v>3429.25</v>
      </c>
      <c r="U561" s="4">
        <f t="shared" si="94"/>
        <v>685.85</v>
      </c>
      <c r="V561" s="4">
        <f t="shared" ca="1" si="95"/>
        <v>40</v>
      </c>
      <c r="W561" s="20">
        <f t="shared" ca="1" si="102"/>
        <v>3856.0233834268779</v>
      </c>
      <c r="X561" s="4">
        <f t="shared" si="96"/>
        <v>438.7199999999998</v>
      </c>
      <c r="Y561" s="13">
        <f t="shared" si="97"/>
        <v>0.15999999999999992</v>
      </c>
    </row>
    <row r="562" spans="1:25" x14ac:dyDescent="0.3">
      <c r="A562" s="12" t="s">
        <v>1166</v>
      </c>
      <c r="B562" s="7">
        <v>44913</v>
      </c>
      <c r="C562" s="4" t="s">
        <v>1167</v>
      </c>
      <c r="D562" s="4" t="s">
        <v>56</v>
      </c>
      <c r="E562" s="4">
        <v>19309</v>
      </c>
      <c r="F562" s="4">
        <v>23</v>
      </c>
      <c r="G562" s="4">
        <v>36</v>
      </c>
      <c r="H562" s="4" t="s">
        <v>19</v>
      </c>
      <c r="I562" s="4" t="s">
        <v>36</v>
      </c>
      <c r="J562" s="4" t="s">
        <v>47</v>
      </c>
      <c r="K562" s="4">
        <v>101094</v>
      </c>
      <c r="L562" s="4" t="s">
        <v>29</v>
      </c>
      <c r="M562" s="4">
        <v>0.15</v>
      </c>
      <c r="N562" s="4">
        <v>0.88</v>
      </c>
      <c r="O562" s="4">
        <v>23750.07</v>
      </c>
      <c r="P562" s="4">
        <v>0</v>
      </c>
      <c r="Q562" s="6">
        <f t="shared" si="98"/>
        <v>747.44601352470931</v>
      </c>
      <c r="R562" s="6">
        <f t="shared" si="91"/>
        <v>7599.0564868895344</v>
      </c>
      <c r="S562" s="4">
        <f t="shared" si="92"/>
        <v>21942.045454545456</v>
      </c>
      <c r="T562" s="4">
        <f t="shared" si="93"/>
        <v>8424.5</v>
      </c>
      <c r="U562" s="4">
        <f t="shared" si="94"/>
        <v>1263.675</v>
      </c>
      <c r="V562" s="4">
        <f t="shared" ca="1" si="95"/>
        <v>39</v>
      </c>
      <c r="W562" s="20">
        <f t="shared" ca="1" si="102"/>
        <v>29150.394527463664</v>
      </c>
      <c r="X562" s="4">
        <f t="shared" si="96"/>
        <v>4441.07</v>
      </c>
      <c r="Y562" s="13">
        <f t="shared" si="97"/>
        <v>0.22999999999999998</v>
      </c>
    </row>
    <row r="563" spans="1:25" x14ac:dyDescent="0.3">
      <c r="A563" s="12" t="s">
        <v>1168</v>
      </c>
      <c r="B563" s="7">
        <v>44645</v>
      </c>
      <c r="C563" s="4" t="s">
        <v>1169</v>
      </c>
      <c r="D563" s="4" t="s">
        <v>50</v>
      </c>
      <c r="E563" s="4">
        <v>1619</v>
      </c>
      <c r="F563" s="4">
        <v>13.1</v>
      </c>
      <c r="G563" s="4">
        <v>60</v>
      </c>
      <c r="H563" s="4" t="s">
        <v>60</v>
      </c>
      <c r="I563" s="4" t="s">
        <v>41</v>
      </c>
      <c r="J563" s="4" t="s">
        <v>47</v>
      </c>
      <c r="K563" s="4">
        <v>89174</v>
      </c>
      <c r="L563" s="4" t="s">
        <v>29</v>
      </c>
      <c r="M563" s="4">
        <v>0.47</v>
      </c>
      <c r="N563" s="4">
        <v>0.54</v>
      </c>
      <c r="O563" s="4">
        <v>0</v>
      </c>
      <c r="P563" s="4">
        <v>0</v>
      </c>
      <c r="Q563" s="6">
        <f t="shared" si="98"/>
        <v>36.920156495614386</v>
      </c>
      <c r="R563" s="6">
        <f t="shared" si="91"/>
        <v>596.20938973686316</v>
      </c>
      <c r="S563" s="4">
        <f t="shared" si="92"/>
        <v>2998.1481481481478</v>
      </c>
      <c r="T563" s="4">
        <f t="shared" si="93"/>
        <v>7431.166666666667</v>
      </c>
      <c r="U563" s="4">
        <f t="shared" si="94"/>
        <v>3492.6483333333331</v>
      </c>
      <c r="V563" s="4">
        <f t="shared" ca="1" si="95"/>
        <v>47</v>
      </c>
      <c r="W563" s="20">
        <f t="shared" ca="1" si="102"/>
        <v>1735.2473552938761</v>
      </c>
      <c r="X563" s="4">
        <f t="shared" si="96"/>
        <v>-1619</v>
      </c>
      <c r="Y563" s="13">
        <f t="shared" si="97"/>
        <v>-1</v>
      </c>
    </row>
    <row r="564" spans="1:25" x14ac:dyDescent="0.3">
      <c r="A564" s="12" t="s">
        <v>1170</v>
      </c>
      <c r="B564" s="7">
        <v>45077</v>
      </c>
      <c r="C564" s="4" t="s">
        <v>1171</v>
      </c>
      <c r="D564" s="4" t="s">
        <v>76</v>
      </c>
      <c r="E564" s="4">
        <v>18658</v>
      </c>
      <c r="F564" s="4">
        <v>11.4</v>
      </c>
      <c r="G564" s="4">
        <v>60</v>
      </c>
      <c r="H564" s="4" t="s">
        <v>26</v>
      </c>
      <c r="I564" s="4" t="s">
        <v>20</v>
      </c>
      <c r="J564" s="4" t="s">
        <v>37</v>
      </c>
      <c r="K564" s="4">
        <v>74739</v>
      </c>
      <c r="L564" s="4" t="s">
        <v>33</v>
      </c>
      <c r="M564" s="4">
        <v>0.41</v>
      </c>
      <c r="N564" s="4">
        <v>0.82</v>
      </c>
      <c r="O564" s="4">
        <v>7535.32</v>
      </c>
      <c r="P564" s="4">
        <v>0</v>
      </c>
      <c r="Q564" s="6">
        <f t="shared" si="98"/>
        <v>409.40200544323216</v>
      </c>
      <c r="R564" s="6">
        <f t="shared" si="91"/>
        <v>5906.1203265939293</v>
      </c>
      <c r="S564" s="4">
        <f t="shared" si="92"/>
        <v>22753.658536585368</v>
      </c>
      <c r="T564" s="4">
        <f t="shared" si="93"/>
        <v>6228.25</v>
      </c>
      <c r="U564" s="4">
        <f t="shared" si="94"/>
        <v>2553.5825</v>
      </c>
      <c r="V564" s="4">
        <f t="shared" ca="1" si="95"/>
        <v>33</v>
      </c>
      <c r="W564" s="20">
        <f t="shared" ca="1" si="102"/>
        <v>13510.266179626662</v>
      </c>
      <c r="X564" s="4">
        <f t="shared" si="96"/>
        <v>-11122.68</v>
      </c>
      <c r="Y564" s="13">
        <f t="shared" si="97"/>
        <v>-0.59613463393718513</v>
      </c>
    </row>
    <row r="565" spans="1:25" x14ac:dyDescent="0.3">
      <c r="A565" s="12" t="s">
        <v>1172</v>
      </c>
      <c r="B565" s="7">
        <v>44684</v>
      </c>
      <c r="C565" s="4" t="s">
        <v>1173</v>
      </c>
      <c r="D565" s="4" t="s">
        <v>76</v>
      </c>
      <c r="E565" s="4">
        <v>35707</v>
      </c>
      <c r="F565" s="4">
        <v>20</v>
      </c>
      <c r="G565" s="4">
        <v>60</v>
      </c>
      <c r="H565" s="4" t="s">
        <v>19</v>
      </c>
      <c r="I565" s="4" t="s">
        <v>20</v>
      </c>
      <c r="J565" s="4" t="s">
        <v>37</v>
      </c>
      <c r="K565" s="4">
        <v>62954</v>
      </c>
      <c r="L565" s="4" t="s">
        <v>22</v>
      </c>
      <c r="M565" s="4">
        <v>0.43</v>
      </c>
      <c r="N565" s="4">
        <v>0.79</v>
      </c>
      <c r="O565" s="4">
        <v>42848.4</v>
      </c>
      <c r="P565" s="4">
        <v>0</v>
      </c>
      <c r="Q565" s="6">
        <f t="shared" si="98"/>
        <v>946.01710581100838</v>
      </c>
      <c r="R565" s="6">
        <f t="shared" si="91"/>
        <v>21054.026348660504</v>
      </c>
      <c r="S565" s="4">
        <f t="shared" si="92"/>
        <v>45198.734177215185</v>
      </c>
      <c r="T565" s="4">
        <f t="shared" si="93"/>
        <v>5246.166666666667</v>
      </c>
      <c r="U565" s="4">
        <f t="shared" si="94"/>
        <v>2255.8516666666669</v>
      </c>
      <c r="V565" s="4">
        <f t="shared" ca="1" si="95"/>
        <v>46</v>
      </c>
      <c r="W565" s="20">
        <f t="shared" ca="1" si="102"/>
        <v>43516.786867306386</v>
      </c>
      <c r="X565" s="4">
        <f t="shared" si="96"/>
        <v>7141.4000000000015</v>
      </c>
      <c r="Y565" s="13">
        <f t="shared" si="97"/>
        <v>0.20000000000000004</v>
      </c>
    </row>
    <row r="566" spans="1:25" x14ac:dyDescent="0.3">
      <c r="A566" s="12" t="s">
        <v>1174</v>
      </c>
      <c r="B566" s="7">
        <v>44230</v>
      </c>
      <c r="C566" s="4" t="s">
        <v>1175</v>
      </c>
      <c r="D566" s="4" t="s">
        <v>25</v>
      </c>
      <c r="E566" s="4">
        <v>21337</v>
      </c>
      <c r="F566" s="4">
        <v>13.3</v>
      </c>
      <c r="G566" s="4">
        <v>36</v>
      </c>
      <c r="H566" s="4" t="s">
        <v>19</v>
      </c>
      <c r="I566" s="4" t="s">
        <v>20</v>
      </c>
      <c r="J566" s="4" t="s">
        <v>28</v>
      </c>
      <c r="K566" s="4">
        <v>142984</v>
      </c>
      <c r="L566" s="4" t="s">
        <v>33</v>
      </c>
      <c r="M566" s="4">
        <v>0.46</v>
      </c>
      <c r="N566" s="4">
        <v>0.89</v>
      </c>
      <c r="O566" s="4">
        <v>24174.82</v>
      </c>
      <c r="P566" s="4">
        <v>0</v>
      </c>
      <c r="Q566" s="6">
        <f t="shared" si="98"/>
        <v>722.01489623691555</v>
      </c>
      <c r="R566" s="6">
        <f t="shared" si="91"/>
        <v>4655.5362645289606</v>
      </c>
      <c r="S566" s="4">
        <f t="shared" si="92"/>
        <v>23974.157303370786</v>
      </c>
      <c r="T566" s="4">
        <f t="shared" si="93"/>
        <v>11915.333333333334</v>
      </c>
      <c r="U566" s="4">
        <f t="shared" si="94"/>
        <v>5481.0533333333342</v>
      </c>
      <c r="V566" s="4">
        <f t="shared" ca="1" si="95"/>
        <v>61</v>
      </c>
      <c r="W566" s="20">
        <f t="shared" ca="1" si="102"/>
        <v>44042.908670451849</v>
      </c>
      <c r="X566" s="4">
        <f t="shared" si="96"/>
        <v>2837.8199999999997</v>
      </c>
      <c r="Y566" s="13">
        <f t="shared" si="97"/>
        <v>0.13299995313305524</v>
      </c>
    </row>
    <row r="567" spans="1:25" x14ac:dyDescent="0.3">
      <c r="A567" s="12" t="s">
        <v>1176</v>
      </c>
      <c r="B567" s="7">
        <v>44291</v>
      </c>
      <c r="C567" s="4" t="s">
        <v>1177</v>
      </c>
      <c r="D567" s="4" t="s">
        <v>25</v>
      </c>
      <c r="E567" s="4">
        <v>17001</v>
      </c>
      <c r="F567" s="4">
        <v>17.899999999999999</v>
      </c>
      <c r="G567" s="4">
        <v>60</v>
      </c>
      <c r="H567" s="4" t="s">
        <v>19</v>
      </c>
      <c r="I567" s="4" t="s">
        <v>84</v>
      </c>
      <c r="J567" s="4" t="s">
        <v>32</v>
      </c>
      <c r="K567" s="4">
        <v>142863</v>
      </c>
      <c r="L567" s="4" t="s">
        <v>29</v>
      </c>
      <c r="M567" s="4">
        <v>0.31</v>
      </c>
      <c r="N567" s="4">
        <v>0.61</v>
      </c>
      <c r="O567" s="4">
        <v>20044.18</v>
      </c>
      <c r="P567" s="4">
        <v>0</v>
      </c>
      <c r="Q567" s="6">
        <f t="shared" si="98"/>
        <v>430.78934197358444</v>
      </c>
      <c r="R567" s="6">
        <f t="shared" si="91"/>
        <v>8846.3605184150656</v>
      </c>
      <c r="S567" s="4">
        <f t="shared" si="92"/>
        <v>27870.491803278688</v>
      </c>
      <c r="T567" s="4">
        <f t="shared" si="93"/>
        <v>11905.25</v>
      </c>
      <c r="U567" s="4">
        <f t="shared" si="94"/>
        <v>3690.6275000000001</v>
      </c>
      <c r="V567" s="4">
        <f t="shared" ca="1" si="95"/>
        <v>59</v>
      </c>
      <c r="W567" s="20">
        <f t="shared" ca="1" si="102"/>
        <v>25416.571176441481</v>
      </c>
      <c r="X567" s="4">
        <f t="shared" si="96"/>
        <v>3043.1800000000003</v>
      </c>
      <c r="Y567" s="13">
        <f t="shared" si="97"/>
        <v>0.17900005882006942</v>
      </c>
    </row>
    <row r="568" spans="1:25" x14ac:dyDescent="0.3">
      <c r="A568" s="12" t="s">
        <v>1178</v>
      </c>
      <c r="B568" s="7">
        <v>44350</v>
      </c>
      <c r="C568" s="4" t="s">
        <v>1179</v>
      </c>
      <c r="D568" s="4" t="s">
        <v>53</v>
      </c>
      <c r="E568" s="4">
        <v>1968</v>
      </c>
      <c r="F568" s="4">
        <v>17.899999999999999</v>
      </c>
      <c r="G568" s="4">
        <v>36</v>
      </c>
      <c r="H568" s="4" t="s">
        <v>60</v>
      </c>
      <c r="I568" s="4" t="s">
        <v>57</v>
      </c>
      <c r="J568" s="4" t="s">
        <v>47</v>
      </c>
      <c r="K568" s="4">
        <v>139373</v>
      </c>
      <c r="L568" s="4" t="s">
        <v>22</v>
      </c>
      <c r="M568" s="4">
        <v>0.28000000000000003</v>
      </c>
      <c r="N568" s="4">
        <v>0.7</v>
      </c>
      <c r="O568" s="4">
        <v>0</v>
      </c>
      <c r="P568" s="4">
        <v>0</v>
      </c>
      <c r="Q568" s="6">
        <f t="shared" si="98"/>
        <v>71.049228802243917</v>
      </c>
      <c r="R568" s="6">
        <f t="shared" si="91"/>
        <v>589.77223688078084</v>
      </c>
      <c r="S568" s="4">
        <f t="shared" si="92"/>
        <v>2811.4285714285716</v>
      </c>
      <c r="T568" s="4">
        <f t="shared" si="93"/>
        <v>11614.416666666666</v>
      </c>
      <c r="U568" s="4">
        <f t="shared" si="94"/>
        <v>3252.0366666666669</v>
      </c>
      <c r="V568" s="4">
        <f t="shared" ca="1" si="95"/>
        <v>57</v>
      </c>
      <c r="W568" s="20">
        <f t="shared" ca="1" si="102"/>
        <v>4049.8060417279034</v>
      </c>
      <c r="X568" s="4">
        <f t="shared" si="96"/>
        <v>-1968</v>
      </c>
      <c r="Y568" s="13">
        <f t="shared" si="97"/>
        <v>-1</v>
      </c>
    </row>
    <row r="569" spans="1:25" x14ac:dyDescent="0.3">
      <c r="A569" s="12" t="s">
        <v>1180</v>
      </c>
      <c r="B569" s="7">
        <v>44446</v>
      </c>
      <c r="C569" s="4" t="s">
        <v>1181</v>
      </c>
      <c r="D569" s="4" t="s">
        <v>76</v>
      </c>
      <c r="E569" s="4">
        <v>26892</v>
      </c>
      <c r="F569" s="4">
        <v>22.8</v>
      </c>
      <c r="G569" s="4">
        <v>36</v>
      </c>
      <c r="H569" s="4" t="s">
        <v>19</v>
      </c>
      <c r="I569" s="4" t="s">
        <v>20</v>
      </c>
      <c r="J569" s="4" t="s">
        <v>28</v>
      </c>
      <c r="K569" s="4">
        <v>65303</v>
      </c>
      <c r="L569" s="4" t="s">
        <v>33</v>
      </c>
      <c r="M569" s="4">
        <v>0.23</v>
      </c>
      <c r="N569" s="4">
        <v>0.92</v>
      </c>
      <c r="O569" s="4">
        <v>33023.379999999997</v>
      </c>
      <c r="P569" s="4">
        <v>0</v>
      </c>
      <c r="Q569" s="6">
        <f t="shared" si="98"/>
        <v>1038.1806717513402</v>
      </c>
      <c r="R569" s="6">
        <f t="shared" si="91"/>
        <v>10482.504183048251</v>
      </c>
      <c r="S569" s="4">
        <f t="shared" si="92"/>
        <v>29230.434782608696</v>
      </c>
      <c r="T569" s="4">
        <f t="shared" si="93"/>
        <v>5441.916666666667</v>
      </c>
      <c r="U569" s="4">
        <f t="shared" si="94"/>
        <v>1251.6408333333334</v>
      </c>
      <c r="V569" s="4">
        <f t="shared" ca="1" si="95"/>
        <v>54</v>
      </c>
      <c r="W569" s="20">
        <f t="shared" ca="1" si="102"/>
        <v>56061.75627457237</v>
      </c>
      <c r="X569" s="4">
        <f t="shared" si="96"/>
        <v>6131.3799999999974</v>
      </c>
      <c r="Y569" s="13">
        <f t="shared" si="97"/>
        <v>0.22800014874312052</v>
      </c>
    </row>
    <row r="570" spans="1:25" x14ac:dyDescent="0.3">
      <c r="A570" s="12" t="s">
        <v>1182</v>
      </c>
      <c r="B570" s="7">
        <v>44870</v>
      </c>
      <c r="C570" s="4" t="s">
        <v>1183</v>
      </c>
      <c r="D570" s="4" t="s">
        <v>50</v>
      </c>
      <c r="E570" s="4">
        <v>26619</v>
      </c>
      <c r="F570" s="4">
        <v>17</v>
      </c>
      <c r="G570" s="4">
        <v>60</v>
      </c>
      <c r="H570" s="4" t="s">
        <v>19</v>
      </c>
      <c r="I570" s="4" t="s">
        <v>20</v>
      </c>
      <c r="J570" s="4" t="s">
        <v>37</v>
      </c>
      <c r="K570" s="4">
        <v>64700</v>
      </c>
      <c r="L570" s="4" t="s">
        <v>33</v>
      </c>
      <c r="M570" s="4">
        <v>0.34</v>
      </c>
      <c r="N570" s="4">
        <v>0.8</v>
      </c>
      <c r="O570" s="4">
        <v>31144.23</v>
      </c>
      <c r="P570" s="4">
        <v>0</v>
      </c>
      <c r="Q570" s="6">
        <f t="shared" si="98"/>
        <v>661.55071434525382</v>
      </c>
      <c r="R570" s="6">
        <f t="shared" si="91"/>
        <v>13074.042860715228</v>
      </c>
      <c r="S570" s="4">
        <f t="shared" si="92"/>
        <v>33273.75</v>
      </c>
      <c r="T570" s="4">
        <f t="shared" si="93"/>
        <v>5391.666666666667</v>
      </c>
      <c r="U570" s="4">
        <f t="shared" si="94"/>
        <v>1833.166666666667</v>
      </c>
      <c r="V570" s="4">
        <f t="shared" ca="1" si="95"/>
        <v>40</v>
      </c>
      <c r="W570" s="20">
        <f t="shared" ca="1" si="102"/>
        <v>26462.028573810152</v>
      </c>
      <c r="X570" s="4">
        <f t="shared" si="96"/>
        <v>4525.2299999999996</v>
      </c>
      <c r="Y570" s="13">
        <f t="shared" si="97"/>
        <v>0.16999999999999998</v>
      </c>
    </row>
    <row r="571" spans="1:25" x14ac:dyDescent="0.3">
      <c r="A571" s="12" t="s">
        <v>1184</v>
      </c>
      <c r="B571" s="7">
        <v>44634</v>
      </c>
      <c r="C571" s="4" t="s">
        <v>1185</v>
      </c>
      <c r="D571" s="4" t="s">
        <v>76</v>
      </c>
      <c r="E571" s="4">
        <v>1281</v>
      </c>
      <c r="F571" s="4">
        <v>15</v>
      </c>
      <c r="G571" s="4">
        <v>60</v>
      </c>
      <c r="H571" s="4" t="s">
        <v>19</v>
      </c>
      <c r="I571" s="4" t="s">
        <v>57</v>
      </c>
      <c r="J571" s="4" t="s">
        <v>37</v>
      </c>
      <c r="K571" s="4">
        <v>123036</v>
      </c>
      <c r="L571" s="4" t="s">
        <v>29</v>
      </c>
      <c r="M571" s="4">
        <v>0.28000000000000003</v>
      </c>
      <c r="N571" s="4">
        <v>0.67</v>
      </c>
      <c r="O571" s="4">
        <v>1473.15</v>
      </c>
      <c r="P571" s="4">
        <v>0</v>
      </c>
      <c r="Q571" s="6">
        <f t="shared" si="98"/>
        <v>30.474900440625536</v>
      </c>
      <c r="R571" s="6">
        <f t="shared" si="91"/>
        <v>547.49402643753206</v>
      </c>
      <c r="S571" s="4">
        <f t="shared" si="92"/>
        <v>1911.9402985074626</v>
      </c>
      <c r="T571" s="4">
        <f t="shared" si="93"/>
        <v>10253</v>
      </c>
      <c r="U571" s="4">
        <f t="shared" si="94"/>
        <v>2870.84</v>
      </c>
      <c r="V571" s="4">
        <f t="shared" ca="1" si="95"/>
        <v>48</v>
      </c>
      <c r="W571" s="20">
        <f t="shared" ca="1" si="102"/>
        <v>1462.7952211500258</v>
      </c>
      <c r="X571" s="4">
        <f t="shared" si="96"/>
        <v>192.15000000000009</v>
      </c>
      <c r="Y571" s="13">
        <f t="shared" si="97"/>
        <v>0.15000000000000008</v>
      </c>
    </row>
    <row r="572" spans="1:25" x14ac:dyDescent="0.3">
      <c r="A572" s="12" t="s">
        <v>1186</v>
      </c>
      <c r="B572" s="7">
        <v>44314</v>
      </c>
      <c r="C572" s="4" t="s">
        <v>1187</v>
      </c>
      <c r="D572" s="4" t="s">
        <v>65</v>
      </c>
      <c r="E572" s="4">
        <v>28420</v>
      </c>
      <c r="F572" s="4">
        <v>7.8</v>
      </c>
      <c r="G572" s="4">
        <v>36</v>
      </c>
      <c r="H572" s="4" t="s">
        <v>19</v>
      </c>
      <c r="I572" s="4" t="s">
        <v>41</v>
      </c>
      <c r="J572" s="4" t="s">
        <v>47</v>
      </c>
      <c r="K572" s="4">
        <v>97568</v>
      </c>
      <c r="L572" s="4" t="s">
        <v>33</v>
      </c>
      <c r="M572" s="4">
        <v>0.28000000000000003</v>
      </c>
      <c r="N572" s="4">
        <v>0.56000000000000005</v>
      </c>
      <c r="O572" s="4">
        <v>30636.76</v>
      </c>
      <c r="P572" s="4">
        <v>0</v>
      </c>
      <c r="Q572" s="6">
        <f t="shared" si="98"/>
        <v>887.95969522693997</v>
      </c>
      <c r="R572" s="6">
        <f t="shared" si="91"/>
        <v>3546.5490281698403</v>
      </c>
      <c r="S572" s="4">
        <f t="shared" si="92"/>
        <v>50749.999999999993</v>
      </c>
      <c r="T572" s="4">
        <f t="shared" si="93"/>
        <v>8130.666666666667</v>
      </c>
      <c r="U572" s="4">
        <f t="shared" si="94"/>
        <v>2276.586666666667</v>
      </c>
      <c r="V572" s="4">
        <f t="shared" ca="1" si="95"/>
        <v>58</v>
      </c>
      <c r="W572" s="20">
        <f t="shared" ca="1" si="102"/>
        <v>51501.66232316252</v>
      </c>
      <c r="X572" s="4">
        <f t="shared" si="96"/>
        <v>2216.7599999999984</v>
      </c>
      <c r="Y572" s="13">
        <f t="shared" si="97"/>
        <v>7.7999999999999944E-2</v>
      </c>
    </row>
    <row r="573" spans="1:25" x14ac:dyDescent="0.3">
      <c r="A573" s="12" t="s">
        <v>1188</v>
      </c>
      <c r="B573" s="7">
        <v>44967</v>
      </c>
      <c r="C573" s="4" t="s">
        <v>1189</v>
      </c>
      <c r="D573" s="4" t="s">
        <v>46</v>
      </c>
      <c r="E573" s="4">
        <v>16360</v>
      </c>
      <c r="F573" s="4">
        <v>7.3</v>
      </c>
      <c r="G573" s="4">
        <v>60</v>
      </c>
      <c r="H573" s="4" t="s">
        <v>19</v>
      </c>
      <c r="I573" s="4" t="s">
        <v>73</v>
      </c>
      <c r="J573" s="4" t="s">
        <v>37</v>
      </c>
      <c r="K573" s="4">
        <v>96788</v>
      </c>
      <c r="L573" s="4" t="s">
        <v>22</v>
      </c>
      <c r="M573" s="4">
        <v>0.47</v>
      </c>
      <c r="N573" s="4">
        <v>0.62</v>
      </c>
      <c r="O573" s="4">
        <v>17554.28</v>
      </c>
      <c r="P573" s="4">
        <v>0</v>
      </c>
      <c r="Q573" s="6">
        <f t="shared" si="98"/>
        <v>326.26821396240007</v>
      </c>
      <c r="R573" s="6">
        <f t="shared" si="91"/>
        <v>3216.0928377440032</v>
      </c>
      <c r="S573" s="4">
        <f t="shared" si="92"/>
        <v>26387.096774193549</v>
      </c>
      <c r="T573" s="4">
        <f t="shared" si="93"/>
        <v>8065.666666666667</v>
      </c>
      <c r="U573" s="4">
        <f t="shared" si="94"/>
        <v>3790.8633333333332</v>
      </c>
      <c r="V573" s="4">
        <f t="shared" ca="1" si="95"/>
        <v>37</v>
      </c>
      <c r="W573" s="20">
        <f t="shared" ca="1" si="102"/>
        <v>12071.923916608803</v>
      </c>
      <c r="X573" s="4">
        <f t="shared" si="96"/>
        <v>1194.2799999999988</v>
      </c>
      <c r="Y573" s="13">
        <f t="shared" si="97"/>
        <v>7.2999999999999926E-2</v>
      </c>
    </row>
    <row r="574" spans="1:25" x14ac:dyDescent="0.3">
      <c r="A574" s="12" t="s">
        <v>1190</v>
      </c>
      <c r="B574" s="7">
        <v>44464</v>
      </c>
      <c r="C574" s="4" t="s">
        <v>1191</v>
      </c>
      <c r="D574" s="4" t="s">
        <v>76</v>
      </c>
      <c r="E574" s="4">
        <v>2058</v>
      </c>
      <c r="F574" s="4">
        <v>8.1</v>
      </c>
      <c r="G574" s="4">
        <v>60</v>
      </c>
      <c r="H574" s="4" t="s">
        <v>19</v>
      </c>
      <c r="I574" s="4" t="s">
        <v>20</v>
      </c>
      <c r="J574" s="4" t="s">
        <v>37</v>
      </c>
      <c r="K574" s="4">
        <v>101045</v>
      </c>
      <c r="L574" s="4" t="s">
        <v>29</v>
      </c>
      <c r="M574" s="4">
        <v>0.49</v>
      </c>
      <c r="N574" s="4">
        <v>0.76</v>
      </c>
      <c r="O574" s="4">
        <v>2224.6999999999998</v>
      </c>
      <c r="P574" s="4">
        <v>0</v>
      </c>
      <c r="Q574" s="6">
        <f t="shared" si="98"/>
        <v>41.827381677146363</v>
      </c>
      <c r="R574" s="6">
        <f t="shared" si="91"/>
        <v>451.64290062878172</v>
      </c>
      <c r="S574" s="4">
        <f t="shared" si="92"/>
        <v>2707.8947368421054</v>
      </c>
      <c r="T574" s="4">
        <f t="shared" si="93"/>
        <v>8420.4166666666661</v>
      </c>
      <c r="U574" s="4">
        <f t="shared" si="94"/>
        <v>4126.0041666666666</v>
      </c>
      <c r="V574" s="4">
        <f t="shared" ca="1" si="95"/>
        <v>53</v>
      </c>
      <c r="W574" s="20">
        <f t="shared" ca="1" si="102"/>
        <v>2216.8512288887573</v>
      </c>
      <c r="X574" s="4">
        <f t="shared" si="96"/>
        <v>166.69999999999982</v>
      </c>
      <c r="Y574" s="13">
        <f t="shared" si="97"/>
        <v>8.1000971817298262E-2</v>
      </c>
    </row>
    <row r="575" spans="1:25" x14ac:dyDescent="0.3">
      <c r="A575" s="12" t="s">
        <v>1192</v>
      </c>
      <c r="B575" s="7">
        <v>45274</v>
      </c>
      <c r="C575" s="4" t="s">
        <v>1193</v>
      </c>
      <c r="D575" s="4" t="s">
        <v>18</v>
      </c>
      <c r="E575" s="4">
        <v>21677</v>
      </c>
      <c r="F575" s="4">
        <v>8.4</v>
      </c>
      <c r="G575" s="4">
        <v>36</v>
      </c>
      <c r="H575" s="4" t="s">
        <v>19</v>
      </c>
      <c r="I575" s="4" t="s">
        <v>57</v>
      </c>
      <c r="J575" s="4" t="s">
        <v>21</v>
      </c>
      <c r="K575" s="4">
        <v>67842</v>
      </c>
      <c r="L575" s="4" t="s">
        <v>29</v>
      </c>
      <c r="M575" s="4">
        <v>0.42</v>
      </c>
      <c r="N575" s="4">
        <v>0.82</v>
      </c>
      <c r="O575" s="4">
        <v>23497.87</v>
      </c>
      <c r="P575" s="4">
        <v>0</v>
      </c>
      <c r="Q575" s="6">
        <f t="shared" si="98"/>
        <v>683.28551030902179</v>
      </c>
      <c r="R575" s="6">
        <f t="shared" si="91"/>
        <v>2921.278371124783</v>
      </c>
      <c r="S575" s="4">
        <f t="shared" si="92"/>
        <v>26435.365853658539</v>
      </c>
      <c r="T575" s="4">
        <f t="shared" si="93"/>
        <v>5653.5</v>
      </c>
      <c r="U575" s="4">
        <f t="shared" si="94"/>
        <v>2374.4699999999998</v>
      </c>
      <c r="V575" s="4">
        <f t="shared" ca="1" si="95"/>
        <v>27</v>
      </c>
      <c r="W575" s="20">
        <f t="shared" ca="1" si="102"/>
        <v>18448.708778343589</v>
      </c>
      <c r="X575" s="4">
        <f t="shared" si="96"/>
        <v>1820.869999999999</v>
      </c>
      <c r="Y575" s="13">
        <f t="shared" si="97"/>
        <v>8.4000092263689582E-2</v>
      </c>
    </row>
    <row r="576" spans="1:25" x14ac:dyDescent="0.3">
      <c r="A576" s="12" t="s">
        <v>1194</v>
      </c>
      <c r="B576" s="7">
        <v>44432</v>
      </c>
      <c r="C576" s="4" t="s">
        <v>1195</v>
      </c>
      <c r="D576" s="4" t="s">
        <v>53</v>
      </c>
      <c r="E576" s="4">
        <v>11724</v>
      </c>
      <c r="F576" s="4">
        <v>17.8</v>
      </c>
      <c r="G576" s="4">
        <v>60</v>
      </c>
      <c r="H576" s="4" t="s">
        <v>19</v>
      </c>
      <c r="I576" s="4" t="s">
        <v>57</v>
      </c>
      <c r="J576" s="4" t="s">
        <v>32</v>
      </c>
      <c r="K576" s="4">
        <v>43900</v>
      </c>
      <c r="L576" s="4" t="s">
        <v>22</v>
      </c>
      <c r="M576" s="4">
        <v>0.4</v>
      </c>
      <c r="N576" s="4">
        <v>0.56000000000000005</v>
      </c>
      <c r="O576" s="4">
        <v>13810.87</v>
      </c>
      <c r="P576" s="4">
        <v>0</v>
      </c>
      <c r="Q576" s="6">
        <f t="shared" si="98"/>
        <v>296.43844824296343</v>
      </c>
      <c r="R576" s="6">
        <f t="shared" si="91"/>
        <v>6062.3068945778068</v>
      </c>
      <c r="S576" s="4">
        <f t="shared" si="92"/>
        <v>20935.714285714283</v>
      </c>
      <c r="T576" s="4">
        <f t="shared" si="93"/>
        <v>3658.3333333333335</v>
      </c>
      <c r="U576" s="4">
        <f t="shared" si="94"/>
        <v>1463.3333333333335</v>
      </c>
      <c r="V576" s="4">
        <f t="shared" ca="1" si="95"/>
        <v>54</v>
      </c>
      <c r="W576" s="20">
        <f t="shared" ca="1" si="102"/>
        <v>16007.676205120026</v>
      </c>
      <c r="X576" s="4">
        <f t="shared" si="96"/>
        <v>2086.8700000000008</v>
      </c>
      <c r="Y576" s="13">
        <f t="shared" si="97"/>
        <v>0.17799982940975784</v>
      </c>
    </row>
    <row r="577" spans="1:25" x14ac:dyDescent="0.3">
      <c r="A577" s="12" t="s">
        <v>1196</v>
      </c>
      <c r="B577" s="7">
        <v>44585</v>
      </c>
      <c r="C577" s="4" t="s">
        <v>1197</v>
      </c>
      <c r="D577" s="4" t="s">
        <v>56</v>
      </c>
      <c r="E577" s="4">
        <v>29404</v>
      </c>
      <c r="F577" s="4">
        <v>19.8</v>
      </c>
      <c r="G577" s="4">
        <v>36</v>
      </c>
      <c r="H577" s="4" t="s">
        <v>81</v>
      </c>
      <c r="I577" s="4" t="s">
        <v>20</v>
      </c>
      <c r="J577" s="4" t="s">
        <v>37</v>
      </c>
      <c r="K577" s="4">
        <v>110059</v>
      </c>
      <c r="L577" s="4" t="s">
        <v>29</v>
      </c>
      <c r="M577" s="4">
        <v>0.37</v>
      </c>
      <c r="N577" s="4">
        <v>0.77</v>
      </c>
      <c r="O577" s="4">
        <v>5146.2</v>
      </c>
      <c r="P577" s="4">
        <v>7396.67</v>
      </c>
      <c r="Q577" s="6">
        <f t="shared" si="98"/>
        <v>1089.7638866671896</v>
      </c>
      <c r="R577" s="6">
        <f t="shared" si="91"/>
        <v>9827.4999200188249</v>
      </c>
      <c r="S577" s="4">
        <f t="shared" si="92"/>
        <v>38187.012987012989</v>
      </c>
      <c r="T577" s="4">
        <f t="shared" si="93"/>
        <v>9171.5833333333339</v>
      </c>
      <c r="U577" s="4">
        <f t="shared" si="94"/>
        <v>3393.4858333333336</v>
      </c>
      <c r="V577" s="4">
        <f t="shared" ca="1" si="95"/>
        <v>49</v>
      </c>
      <c r="W577" s="20">
        <v>0</v>
      </c>
      <c r="X577" s="4">
        <f t="shared" si="96"/>
        <v>-16861.13</v>
      </c>
      <c r="Y577" s="13">
        <f t="shared" si="97"/>
        <v>-0.57342980546864375</v>
      </c>
    </row>
    <row r="578" spans="1:25" x14ac:dyDescent="0.3">
      <c r="A578" s="12" t="s">
        <v>1198</v>
      </c>
      <c r="B578" s="7">
        <v>45186</v>
      </c>
      <c r="C578" s="4" t="s">
        <v>1199</v>
      </c>
      <c r="D578" s="4" t="s">
        <v>25</v>
      </c>
      <c r="E578" s="4">
        <v>38946</v>
      </c>
      <c r="F578" s="4">
        <v>15.6</v>
      </c>
      <c r="G578" s="4">
        <v>36</v>
      </c>
      <c r="H578" s="4" t="s">
        <v>19</v>
      </c>
      <c r="I578" s="4" t="s">
        <v>20</v>
      </c>
      <c r="J578" s="4" t="s">
        <v>21</v>
      </c>
      <c r="K578" s="4">
        <v>31881</v>
      </c>
      <c r="L578" s="4" t="s">
        <v>33</v>
      </c>
      <c r="M578" s="4">
        <v>0.17</v>
      </c>
      <c r="N578" s="4">
        <v>0.75</v>
      </c>
      <c r="O578" s="4">
        <v>45021.58</v>
      </c>
      <c r="P578" s="4">
        <v>0</v>
      </c>
      <c r="Q578" s="6">
        <f t="shared" si="98"/>
        <v>1361.5471565422447</v>
      </c>
      <c r="R578" s="6">
        <f t="shared" ref="R578:R641" si="103">(Q578*G578)-E578</f>
        <v>10069.69763552081</v>
      </c>
      <c r="S578" s="4">
        <f t="shared" ref="S578:S641" si="104">E578 / N578</f>
        <v>51928</v>
      </c>
      <c r="T578" s="4">
        <f t="shared" ref="T578:T641" si="105">K578/12</f>
        <v>2656.75</v>
      </c>
      <c r="U578" s="4">
        <f t="shared" ref="U578:U641" si="106">M578*T578</f>
        <v>451.64750000000004</v>
      </c>
      <c r="V578" s="4">
        <f t="shared" ref="V578:V641" ca="1" si="107">DATEDIF(B578, TODAY(), "m")</f>
        <v>30</v>
      </c>
      <c r="W578" s="20">
        <f ca="1">V578*Q578</f>
        <v>40846.41469626734</v>
      </c>
      <c r="X578" s="4">
        <f t="shared" ref="X578:X641" si="108">(O578 + P578) - E578</f>
        <v>6075.5800000000017</v>
      </c>
      <c r="Y578" s="13">
        <f t="shared" ref="Y578:Y641" si="109">(X578/E578)</f>
        <v>0.15600010270631134</v>
      </c>
    </row>
    <row r="579" spans="1:25" x14ac:dyDescent="0.3">
      <c r="A579" s="12" t="s">
        <v>1200</v>
      </c>
      <c r="B579" s="7">
        <v>44959</v>
      </c>
      <c r="C579" s="4" t="s">
        <v>1201</v>
      </c>
      <c r="D579" s="4" t="s">
        <v>65</v>
      </c>
      <c r="E579" s="4">
        <v>30856</v>
      </c>
      <c r="F579" s="4">
        <v>21.6</v>
      </c>
      <c r="G579" s="4">
        <v>60</v>
      </c>
      <c r="H579" s="4" t="s">
        <v>26</v>
      </c>
      <c r="I579" s="4" t="s">
        <v>27</v>
      </c>
      <c r="J579" s="4" t="s">
        <v>28</v>
      </c>
      <c r="K579" s="4">
        <v>63037</v>
      </c>
      <c r="L579" s="4" t="s">
        <v>33</v>
      </c>
      <c r="M579" s="4">
        <v>0.12</v>
      </c>
      <c r="N579" s="4">
        <v>0.73</v>
      </c>
      <c r="O579" s="4">
        <v>7333.61</v>
      </c>
      <c r="P579" s="4">
        <v>0</v>
      </c>
      <c r="Q579" s="6">
        <f t="shared" ref="Q579:Q642" si="110">PMT(F579/100/12, G579, -E579)</f>
        <v>845.20651526337906</v>
      </c>
      <c r="R579" s="6">
        <f t="shared" si="103"/>
        <v>19856.390915802745</v>
      </c>
      <c r="S579" s="4">
        <f t="shared" si="104"/>
        <v>42268.493150684932</v>
      </c>
      <c r="T579" s="4">
        <f t="shared" si="105"/>
        <v>5253.083333333333</v>
      </c>
      <c r="U579" s="4">
        <f t="shared" si="106"/>
        <v>630.36999999999989</v>
      </c>
      <c r="V579" s="4">
        <f t="shared" ca="1" si="107"/>
        <v>37</v>
      </c>
      <c r="W579" s="20">
        <f ca="1">V579*Q579</f>
        <v>31272.641064745025</v>
      </c>
      <c r="X579" s="4">
        <f t="shared" si="108"/>
        <v>-23522.39</v>
      </c>
      <c r="Y579" s="13">
        <f t="shared" si="109"/>
        <v>-0.76232791029297375</v>
      </c>
    </row>
    <row r="580" spans="1:25" x14ac:dyDescent="0.3">
      <c r="A580" s="12" t="s">
        <v>1202</v>
      </c>
      <c r="B580" s="7">
        <v>44597</v>
      </c>
      <c r="C580" s="4" t="s">
        <v>1203</v>
      </c>
      <c r="D580" s="4" t="s">
        <v>25</v>
      </c>
      <c r="E580" s="4">
        <v>10200</v>
      </c>
      <c r="F580" s="4">
        <v>24.8</v>
      </c>
      <c r="G580" s="4">
        <v>36</v>
      </c>
      <c r="H580" s="4" t="s">
        <v>26</v>
      </c>
      <c r="I580" s="4" t="s">
        <v>20</v>
      </c>
      <c r="J580" s="4" t="s">
        <v>37</v>
      </c>
      <c r="K580" s="4">
        <v>31630</v>
      </c>
      <c r="L580" s="4" t="s">
        <v>29</v>
      </c>
      <c r="M580" s="4">
        <v>0.38</v>
      </c>
      <c r="N580" s="4">
        <v>0.81</v>
      </c>
      <c r="O580" s="4">
        <v>2118.66</v>
      </c>
      <c r="P580" s="4">
        <v>0</v>
      </c>
      <c r="Q580" s="6">
        <f t="shared" si="110"/>
        <v>404.47207353565062</v>
      </c>
      <c r="R580" s="6">
        <f t="shared" si="103"/>
        <v>4360.9946472834217</v>
      </c>
      <c r="S580" s="4">
        <f t="shared" si="104"/>
        <v>12592.592592592591</v>
      </c>
      <c r="T580" s="4">
        <f t="shared" si="105"/>
        <v>2635.8333333333335</v>
      </c>
      <c r="U580" s="4">
        <f t="shared" si="106"/>
        <v>1001.6166666666668</v>
      </c>
      <c r="V580" s="4">
        <f t="shared" ca="1" si="107"/>
        <v>49</v>
      </c>
      <c r="W580" s="20">
        <f ca="1">V580*Q580</f>
        <v>19819.131603246882</v>
      </c>
      <c r="X580" s="4">
        <f t="shared" si="108"/>
        <v>-8081.34</v>
      </c>
      <c r="Y580" s="13">
        <f t="shared" si="109"/>
        <v>-0.79228823529411763</v>
      </c>
    </row>
    <row r="581" spans="1:25" x14ac:dyDescent="0.3">
      <c r="A581" s="12" t="s">
        <v>1204</v>
      </c>
      <c r="B581" s="7">
        <v>44820</v>
      </c>
      <c r="C581" s="4" t="s">
        <v>1205</v>
      </c>
      <c r="D581" s="4" t="s">
        <v>53</v>
      </c>
      <c r="E581" s="4">
        <v>34997</v>
      </c>
      <c r="F581" s="4">
        <v>21.4</v>
      </c>
      <c r="G581" s="4">
        <v>36</v>
      </c>
      <c r="H581" s="4" t="s">
        <v>26</v>
      </c>
      <c r="I581" s="4" t="s">
        <v>20</v>
      </c>
      <c r="J581" s="4" t="s">
        <v>28</v>
      </c>
      <c r="K581" s="4">
        <v>50789</v>
      </c>
      <c r="L581" s="4" t="s">
        <v>22</v>
      </c>
      <c r="M581" s="4">
        <v>0.39</v>
      </c>
      <c r="N581" s="4">
        <v>0.88</v>
      </c>
      <c r="O581" s="4">
        <v>15275.01</v>
      </c>
      <c r="P581" s="4">
        <v>0</v>
      </c>
      <c r="Q581" s="6">
        <f t="shared" si="110"/>
        <v>1325.7127659105195</v>
      </c>
      <c r="R581" s="6">
        <f t="shared" si="103"/>
        <v>12728.659572778699</v>
      </c>
      <c r="S581" s="4">
        <f t="shared" si="104"/>
        <v>39769.318181818184</v>
      </c>
      <c r="T581" s="4">
        <f t="shared" si="105"/>
        <v>4232.416666666667</v>
      </c>
      <c r="U581" s="4">
        <f t="shared" si="106"/>
        <v>1650.6425000000002</v>
      </c>
      <c r="V581" s="4">
        <f t="shared" ca="1" si="107"/>
        <v>42</v>
      </c>
      <c r="W581" s="20">
        <f ca="1">V581*Q581</f>
        <v>55679.936168241817</v>
      </c>
      <c r="X581" s="4">
        <f t="shared" si="108"/>
        <v>-19721.989999999998</v>
      </c>
      <c r="Y581" s="13">
        <f t="shared" si="109"/>
        <v>-0.5635337314626967</v>
      </c>
    </row>
    <row r="582" spans="1:25" x14ac:dyDescent="0.3">
      <c r="A582" s="12" t="s">
        <v>1206</v>
      </c>
      <c r="B582" s="7">
        <v>44963</v>
      </c>
      <c r="C582" s="4" t="s">
        <v>1207</v>
      </c>
      <c r="D582" s="4" t="s">
        <v>40</v>
      </c>
      <c r="E582" s="4">
        <v>26611</v>
      </c>
      <c r="F582" s="4">
        <v>18.899999999999999</v>
      </c>
      <c r="G582" s="4">
        <v>60</v>
      </c>
      <c r="H582" s="4" t="s">
        <v>81</v>
      </c>
      <c r="I582" s="4" t="s">
        <v>57</v>
      </c>
      <c r="J582" s="4" t="s">
        <v>37</v>
      </c>
      <c r="K582" s="4">
        <v>118059</v>
      </c>
      <c r="L582" s="4" t="s">
        <v>33</v>
      </c>
      <c r="M582" s="4">
        <v>0.12</v>
      </c>
      <c r="N582" s="4">
        <v>0.65</v>
      </c>
      <c r="O582" s="4">
        <v>3671.34</v>
      </c>
      <c r="P582" s="4">
        <v>13658.29</v>
      </c>
      <c r="Q582" s="6">
        <f t="shared" si="110"/>
        <v>688.84059224668374</v>
      </c>
      <c r="R582" s="6">
        <f t="shared" si="103"/>
        <v>14719.435534801021</v>
      </c>
      <c r="S582" s="4">
        <f t="shared" si="104"/>
        <v>40940</v>
      </c>
      <c r="T582" s="4">
        <f t="shared" si="105"/>
        <v>9838.25</v>
      </c>
      <c r="U582" s="4">
        <f t="shared" si="106"/>
        <v>1180.5899999999999</v>
      </c>
      <c r="V582" s="4">
        <f t="shared" ca="1" si="107"/>
        <v>37</v>
      </c>
      <c r="W582" s="20">
        <v>0</v>
      </c>
      <c r="X582" s="4">
        <f t="shared" si="108"/>
        <v>-9281.369999999999</v>
      </c>
      <c r="Y582" s="13">
        <f t="shared" si="109"/>
        <v>-0.34877945210627181</v>
      </c>
    </row>
    <row r="583" spans="1:25" x14ac:dyDescent="0.3">
      <c r="A583" s="12" t="s">
        <v>1208</v>
      </c>
      <c r="B583" s="7">
        <v>45115</v>
      </c>
      <c r="C583" s="4" t="s">
        <v>1209</v>
      </c>
      <c r="D583" s="4" t="s">
        <v>65</v>
      </c>
      <c r="E583" s="4">
        <v>36057</v>
      </c>
      <c r="F583" s="4">
        <v>15.6</v>
      </c>
      <c r="G583" s="4">
        <v>60</v>
      </c>
      <c r="H583" s="4" t="s">
        <v>19</v>
      </c>
      <c r="I583" s="4" t="s">
        <v>27</v>
      </c>
      <c r="J583" s="4" t="s">
        <v>47</v>
      </c>
      <c r="K583" s="4">
        <v>113494</v>
      </c>
      <c r="L583" s="4" t="s">
        <v>22</v>
      </c>
      <c r="M583" s="4">
        <v>0.47</v>
      </c>
      <c r="N583" s="4">
        <v>0.9</v>
      </c>
      <c r="O583" s="4">
        <v>41681.89</v>
      </c>
      <c r="P583" s="4">
        <v>0</v>
      </c>
      <c r="Q583" s="6">
        <f t="shared" si="110"/>
        <v>869.19134396613447</v>
      </c>
      <c r="R583" s="6">
        <f t="shared" si="103"/>
        <v>16094.480637968067</v>
      </c>
      <c r="S583" s="4">
        <f t="shared" si="104"/>
        <v>40063.333333333336</v>
      </c>
      <c r="T583" s="4">
        <f t="shared" si="105"/>
        <v>9457.8333333333339</v>
      </c>
      <c r="U583" s="4">
        <f t="shared" si="106"/>
        <v>4445.1816666666664</v>
      </c>
      <c r="V583" s="4">
        <f t="shared" ca="1" si="107"/>
        <v>32</v>
      </c>
      <c r="W583" s="20">
        <f t="shared" ref="W583:W588" ca="1" si="111">V583*Q583</f>
        <v>27814.123006916303</v>
      </c>
      <c r="X583" s="4">
        <f t="shared" si="108"/>
        <v>5624.8899999999994</v>
      </c>
      <c r="Y583" s="13">
        <f t="shared" si="109"/>
        <v>0.15599994453226834</v>
      </c>
    </row>
    <row r="584" spans="1:25" x14ac:dyDescent="0.3">
      <c r="A584" s="12" t="s">
        <v>1210</v>
      </c>
      <c r="B584" s="7">
        <v>45049</v>
      </c>
      <c r="C584" s="4" t="s">
        <v>1211</v>
      </c>
      <c r="D584" s="4" t="s">
        <v>72</v>
      </c>
      <c r="E584" s="4">
        <v>2239</v>
      </c>
      <c r="F584" s="4">
        <v>14</v>
      </c>
      <c r="G584" s="4">
        <v>60</v>
      </c>
      <c r="H584" s="4" t="s">
        <v>19</v>
      </c>
      <c r="I584" s="4" t="s">
        <v>73</v>
      </c>
      <c r="J584" s="4" t="s">
        <v>21</v>
      </c>
      <c r="K584" s="4">
        <v>76151</v>
      </c>
      <c r="L584" s="4" t="s">
        <v>33</v>
      </c>
      <c r="M584" s="4">
        <v>0.14000000000000001</v>
      </c>
      <c r="N584" s="4">
        <v>0.56999999999999995</v>
      </c>
      <c r="O584" s="4">
        <v>2552.46</v>
      </c>
      <c r="P584" s="4">
        <v>0</v>
      </c>
      <c r="Q584" s="6">
        <f t="shared" si="110"/>
        <v>52.097613651779049</v>
      </c>
      <c r="R584" s="6">
        <f t="shared" si="103"/>
        <v>886.85681910674293</v>
      </c>
      <c r="S584" s="4">
        <f t="shared" si="104"/>
        <v>3928.0701754385968</v>
      </c>
      <c r="T584" s="4">
        <f t="shared" si="105"/>
        <v>6345.916666666667</v>
      </c>
      <c r="U584" s="4">
        <f t="shared" si="106"/>
        <v>888.42833333333351</v>
      </c>
      <c r="V584" s="4">
        <f t="shared" ca="1" si="107"/>
        <v>34</v>
      </c>
      <c r="W584" s="20">
        <f t="shared" ca="1" si="111"/>
        <v>1771.3188641604877</v>
      </c>
      <c r="X584" s="4">
        <f t="shared" si="108"/>
        <v>313.46000000000004</v>
      </c>
      <c r="Y584" s="13">
        <f t="shared" si="109"/>
        <v>0.14000000000000001</v>
      </c>
    </row>
    <row r="585" spans="1:25" x14ac:dyDescent="0.3">
      <c r="A585" s="12" t="s">
        <v>1212</v>
      </c>
      <c r="B585" s="7">
        <v>44774</v>
      </c>
      <c r="C585" s="4" t="s">
        <v>1213</v>
      </c>
      <c r="D585" s="4" t="s">
        <v>65</v>
      </c>
      <c r="E585" s="4">
        <v>39138</v>
      </c>
      <c r="F585" s="4">
        <v>6.7</v>
      </c>
      <c r="G585" s="4">
        <v>36</v>
      </c>
      <c r="H585" s="4" t="s">
        <v>19</v>
      </c>
      <c r="I585" s="4" t="s">
        <v>27</v>
      </c>
      <c r="J585" s="4" t="s">
        <v>21</v>
      </c>
      <c r="K585" s="4">
        <v>78920</v>
      </c>
      <c r="L585" s="4" t="s">
        <v>33</v>
      </c>
      <c r="M585" s="4">
        <v>0.21</v>
      </c>
      <c r="N585" s="4">
        <v>0.57999999999999996</v>
      </c>
      <c r="O585" s="4">
        <v>41760.25</v>
      </c>
      <c r="P585" s="4">
        <v>0</v>
      </c>
      <c r="Q585" s="6">
        <f t="shared" si="110"/>
        <v>1203.1067036010365</v>
      </c>
      <c r="R585" s="6">
        <f t="shared" si="103"/>
        <v>4173.8413296373183</v>
      </c>
      <c r="S585" s="4">
        <f t="shared" si="104"/>
        <v>67479.310344827594</v>
      </c>
      <c r="T585" s="4">
        <f t="shared" si="105"/>
        <v>6576.666666666667</v>
      </c>
      <c r="U585" s="4">
        <f t="shared" si="106"/>
        <v>1381.1</v>
      </c>
      <c r="V585" s="4">
        <f t="shared" ca="1" si="107"/>
        <v>43</v>
      </c>
      <c r="W585" s="20">
        <f t="shared" ca="1" si="111"/>
        <v>51733.588254844573</v>
      </c>
      <c r="X585" s="4">
        <f t="shared" si="108"/>
        <v>2622.25</v>
      </c>
      <c r="Y585" s="13">
        <f t="shared" si="109"/>
        <v>6.700010220246308E-2</v>
      </c>
    </row>
    <row r="586" spans="1:25" x14ac:dyDescent="0.3">
      <c r="A586" s="12" t="s">
        <v>1214</v>
      </c>
      <c r="B586" s="7">
        <v>44271</v>
      </c>
      <c r="C586" s="4" t="s">
        <v>1215</v>
      </c>
      <c r="D586" s="4" t="s">
        <v>53</v>
      </c>
      <c r="E586" s="4">
        <v>1125</v>
      </c>
      <c r="F586" s="4">
        <v>13</v>
      </c>
      <c r="G586" s="4">
        <v>36</v>
      </c>
      <c r="H586" s="4" t="s">
        <v>19</v>
      </c>
      <c r="I586" s="4" t="s">
        <v>73</v>
      </c>
      <c r="J586" s="4" t="s">
        <v>47</v>
      </c>
      <c r="K586" s="4">
        <v>139388</v>
      </c>
      <c r="L586" s="4" t="s">
        <v>29</v>
      </c>
      <c r="M586" s="4">
        <v>0.37</v>
      </c>
      <c r="N586" s="4">
        <v>0.62</v>
      </c>
      <c r="O586" s="4">
        <v>1271.25</v>
      </c>
      <c r="P586" s="4">
        <v>0</v>
      </c>
      <c r="Q586" s="6">
        <f t="shared" si="110"/>
        <v>37.905696003703248</v>
      </c>
      <c r="R586" s="6">
        <f t="shared" si="103"/>
        <v>239.60505613331702</v>
      </c>
      <c r="S586" s="4">
        <f t="shared" si="104"/>
        <v>1814.516129032258</v>
      </c>
      <c r="T586" s="4">
        <f t="shared" si="105"/>
        <v>11615.666666666666</v>
      </c>
      <c r="U586" s="4">
        <f t="shared" si="106"/>
        <v>4297.7966666666662</v>
      </c>
      <c r="V586" s="4">
        <f t="shared" ca="1" si="107"/>
        <v>60</v>
      </c>
      <c r="W586" s="20">
        <f t="shared" ca="1" si="111"/>
        <v>2274.3417602221948</v>
      </c>
      <c r="X586" s="4">
        <f t="shared" si="108"/>
        <v>146.25</v>
      </c>
      <c r="Y586" s="13">
        <f t="shared" si="109"/>
        <v>0.13</v>
      </c>
    </row>
    <row r="587" spans="1:25" x14ac:dyDescent="0.3">
      <c r="A587" s="12" t="s">
        <v>1216</v>
      </c>
      <c r="B587" s="7">
        <v>44631</v>
      </c>
      <c r="C587" s="4" t="s">
        <v>1217</v>
      </c>
      <c r="D587" s="4" t="s">
        <v>56</v>
      </c>
      <c r="E587" s="4">
        <v>24857</v>
      </c>
      <c r="F587" s="4">
        <v>23.2</v>
      </c>
      <c r="G587" s="4">
        <v>60</v>
      </c>
      <c r="H587" s="4" t="s">
        <v>26</v>
      </c>
      <c r="I587" s="4" t="s">
        <v>27</v>
      </c>
      <c r="J587" s="4" t="s">
        <v>32</v>
      </c>
      <c r="K587" s="4">
        <v>97231</v>
      </c>
      <c r="L587" s="4" t="s">
        <v>29</v>
      </c>
      <c r="M587" s="4">
        <v>0.17</v>
      </c>
      <c r="N587" s="4">
        <v>0.55000000000000004</v>
      </c>
      <c r="O587" s="4">
        <v>7569.96</v>
      </c>
      <c r="P587" s="4">
        <v>0</v>
      </c>
      <c r="Q587" s="6">
        <f t="shared" si="110"/>
        <v>703.58975111295604</v>
      </c>
      <c r="R587" s="6">
        <f t="shared" si="103"/>
        <v>17358.385066777366</v>
      </c>
      <c r="S587" s="4">
        <f t="shared" si="104"/>
        <v>45194.545454545449</v>
      </c>
      <c r="T587" s="4">
        <f t="shared" si="105"/>
        <v>8102.583333333333</v>
      </c>
      <c r="U587" s="4">
        <f t="shared" si="106"/>
        <v>1377.4391666666668</v>
      </c>
      <c r="V587" s="4">
        <f t="shared" ca="1" si="107"/>
        <v>48</v>
      </c>
      <c r="W587" s="20">
        <f t="shared" ca="1" si="111"/>
        <v>33772.30805342189</v>
      </c>
      <c r="X587" s="4">
        <f t="shared" si="108"/>
        <v>-17287.04</v>
      </c>
      <c r="Y587" s="13">
        <f t="shared" si="109"/>
        <v>-0.69545962907832803</v>
      </c>
    </row>
    <row r="588" spans="1:25" x14ac:dyDescent="0.3">
      <c r="A588" s="12" t="s">
        <v>1218</v>
      </c>
      <c r="B588" s="7">
        <v>44299</v>
      </c>
      <c r="C588" s="4" t="s">
        <v>1219</v>
      </c>
      <c r="D588" s="4" t="s">
        <v>65</v>
      </c>
      <c r="E588" s="4">
        <v>16398</v>
      </c>
      <c r="F588" s="4">
        <v>21.2</v>
      </c>
      <c r="G588" s="4">
        <v>36</v>
      </c>
      <c r="H588" s="4" t="s">
        <v>26</v>
      </c>
      <c r="I588" s="4" t="s">
        <v>20</v>
      </c>
      <c r="J588" s="4" t="s">
        <v>21</v>
      </c>
      <c r="K588" s="4">
        <v>147946</v>
      </c>
      <c r="L588" s="4" t="s">
        <v>22</v>
      </c>
      <c r="M588" s="4">
        <v>0.12</v>
      </c>
      <c r="N588" s="4">
        <v>0.6</v>
      </c>
      <c r="O588" s="4">
        <v>1868.19</v>
      </c>
      <c r="P588" s="4">
        <v>0</v>
      </c>
      <c r="Q588" s="6">
        <f t="shared" si="110"/>
        <v>619.48090497598844</v>
      </c>
      <c r="R588" s="6">
        <f t="shared" si="103"/>
        <v>5903.3125791355851</v>
      </c>
      <c r="S588" s="4">
        <f t="shared" si="104"/>
        <v>27330</v>
      </c>
      <c r="T588" s="4">
        <f t="shared" si="105"/>
        <v>12328.833333333334</v>
      </c>
      <c r="U588" s="4">
        <f t="shared" si="106"/>
        <v>1479.46</v>
      </c>
      <c r="V588" s="4">
        <f t="shared" ca="1" si="107"/>
        <v>59</v>
      </c>
      <c r="W588" s="20">
        <f t="shared" ca="1" si="111"/>
        <v>36549.373393583315</v>
      </c>
      <c r="X588" s="4">
        <f t="shared" si="108"/>
        <v>-14529.81</v>
      </c>
      <c r="Y588" s="13">
        <f t="shared" si="109"/>
        <v>-0.88607208196121479</v>
      </c>
    </row>
    <row r="589" spans="1:25" x14ac:dyDescent="0.3">
      <c r="A589" s="12" t="s">
        <v>1220</v>
      </c>
      <c r="B589" s="7">
        <v>44960</v>
      </c>
      <c r="C589" s="4" t="s">
        <v>1221</v>
      </c>
      <c r="D589" s="4" t="s">
        <v>53</v>
      </c>
      <c r="E589" s="4">
        <v>7638</v>
      </c>
      <c r="F589" s="4">
        <v>9.3000000000000007</v>
      </c>
      <c r="G589" s="4">
        <v>60</v>
      </c>
      <c r="H589" s="4" t="s">
        <v>81</v>
      </c>
      <c r="I589" s="4" t="s">
        <v>36</v>
      </c>
      <c r="J589" s="4" t="s">
        <v>28</v>
      </c>
      <c r="K589" s="4">
        <v>110357</v>
      </c>
      <c r="L589" s="4" t="s">
        <v>29</v>
      </c>
      <c r="M589" s="4">
        <v>0.23</v>
      </c>
      <c r="N589" s="4">
        <v>0.55000000000000004</v>
      </c>
      <c r="O589" s="4">
        <v>2378.77</v>
      </c>
      <c r="P589" s="4">
        <v>1767.84</v>
      </c>
      <c r="Q589" s="6">
        <f t="shared" si="110"/>
        <v>159.6667174215072</v>
      </c>
      <c r="R589" s="6">
        <f t="shared" si="103"/>
        <v>1942.0030452904321</v>
      </c>
      <c r="S589" s="4">
        <f t="shared" si="104"/>
        <v>13887.272727272726</v>
      </c>
      <c r="T589" s="4">
        <f t="shared" si="105"/>
        <v>9196.4166666666661</v>
      </c>
      <c r="U589" s="4">
        <f t="shared" si="106"/>
        <v>2115.1758333333332</v>
      </c>
      <c r="V589" s="4">
        <f t="shared" ca="1" si="107"/>
        <v>37</v>
      </c>
      <c r="W589" s="20">
        <v>0</v>
      </c>
      <c r="X589" s="4">
        <f t="shared" si="108"/>
        <v>-3491.3900000000003</v>
      </c>
      <c r="Y589" s="13">
        <f t="shared" si="109"/>
        <v>-0.45710788164440957</v>
      </c>
    </row>
    <row r="590" spans="1:25" x14ac:dyDescent="0.3">
      <c r="A590" s="12" t="s">
        <v>1222</v>
      </c>
      <c r="B590" s="7">
        <v>44934</v>
      </c>
      <c r="C590" s="4" t="s">
        <v>1223</v>
      </c>
      <c r="D590" s="4" t="s">
        <v>50</v>
      </c>
      <c r="E590" s="4">
        <v>7570</v>
      </c>
      <c r="F590" s="4">
        <v>14.3</v>
      </c>
      <c r="G590" s="4">
        <v>60</v>
      </c>
      <c r="H590" s="4" t="s">
        <v>19</v>
      </c>
      <c r="I590" s="4" t="s">
        <v>20</v>
      </c>
      <c r="J590" s="4" t="s">
        <v>21</v>
      </c>
      <c r="K590" s="4">
        <v>33262</v>
      </c>
      <c r="L590" s="4" t="s">
        <v>33</v>
      </c>
      <c r="M590" s="4">
        <v>0.41</v>
      </c>
      <c r="N590" s="4">
        <v>0.87</v>
      </c>
      <c r="O590" s="4">
        <v>8652.51</v>
      </c>
      <c r="P590" s="4">
        <v>0</v>
      </c>
      <c r="Q590" s="6">
        <f t="shared" si="110"/>
        <v>177.32024291085634</v>
      </c>
      <c r="R590" s="6">
        <f t="shared" si="103"/>
        <v>3069.2145746513797</v>
      </c>
      <c r="S590" s="4">
        <f t="shared" si="104"/>
        <v>8701.1494252873563</v>
      </c>
      <c r="T590" s="4">
        <f t="shared" si="105"/>
        <v>2771.8333333333335</v>
      </c>
      <c r="U590" s="4">
        <f t="shared" si="106"/>
        <v>1136.4516666666666</v>
      </c>
      <c r="V590" s="4">
        <f t="shared" ca="1" si="107"/>
        <v>38</v>
      </c>
      <c r="W590" s="20">
        <f ca="1">V590*Q590</f>
        <v>6738.1692306125406</v>
      </c>
      <c r="X590" s="4">
        <f t="shared" si="108"/>
        <v>1082.5100000000002</v>
      </c>
      <c r="Y590" s="13">
        <f t="shared" si="109"/>
        <v>0.14300000000000002</v>
      </c>
    </row>
    <row r="591" spans="1:25" x14ac:dyDescent="0.3">
      <c r="A591" s="12" t="s">
        <v>1224</v>
      </c>
      <c r="B591" s="7">
        <v>45002</v>
      </c>
      <c r="C591" s="4" t="s">
        <v>1225</v>
      </c>
      <c r="D591" s="4" t="s">
        <v>46</v>
      </c>
      <c r="E591" s="4">
        <v>4249</v>
      </c>
      <c r="F591" s="4">
        <v>21.3</v>
      </c>
      <c r="G591" s="4">
        <v>36</v>
      </c>
      <c r="H591" s="4" t="s">
        <v>81</v>
      </c>
      <c r="I591" s="4" t="s">
        <v>57</v>
      </c>
      <c r="J591" s="4" t="s">
        <v>32</v>
      </c>
      <c r="K591" s="4">
        <v>96981</v>
      </c>
      <c r="L591" s="4" t="s">
        <v>33</v>
      </c>
      <c r="M591" s="4">
        <v>0.27</v>
      </c>
      <c r="N591" s="4">
        <v>0.56000000000000005</v>
      </c>
      <c r="O591" s="4">
        <v>1578.6</v>
      </c>
      <c r="P591" s="4">
        <v>1006.52</v>
      </c>
      <c r="Q591" s="6">
        <f t="shared" si="110"/>
        <v>160.73658633824442</v>
      </c>
      <c r="R591" s="6">
        <f t="shared" si="103"/>
        <v>1537.5171081767994</v>
      </c>
      <c r="S591" s="4">
        <f t="shared" si="104"/>
        <v>7587.4999999999991</v>
      </c>
      <c r="T591" s="4">
        <f t="shared" si="105"/>
        <v>8081.75</v>
      </c>
      <c r="U591" s="4">
        <f t="shared" si="106"/>
        <v>2182.0725000000002</v>
      </c>
      <c r="V591" s="4">
        <f t="shared" ca="1" si="107"/>
        <v>36</v>
      </c>
      <c r="W591" s="20">
        <v>0</v>
      </c>
      <c r="X591" s="4">
        <f t="shared" si="108"/>
        <v>-1663.88</v>
      </c>
      <c r="Y591" s="13">
        <f t="shared" si="109"/>
        <v>-0.39159331607437048</v>
      </c>
    </row>
    <row r="592" spans="1:25" x14ac:dyDescent="0.3">
      <c r="A592" s="12" t="s">
        <v>1226</v>
      </c>
      <c r="B592" s="7">
        <v>44294</v>
      </c>
      <c r="C592" s="4" t="s">
        <v>1227</v>
      </c>
      <c r="D592" s="4" t="s">
        <v>76</v>
      </c>
      <c r="E592" s="4">
        <v>10110</v>
      </c>
      <c r="F592" s="4">
        <v>6.3</v>
      </c>
      <c r="G592" s="4">
        <v>60</v>
      </c>
      <c r="H592" s="4" t="s">
        <v>19</v>
      </c>
      <c r="I592" s="4" t="s">
        <v>27</v>
      </c>
      <c r="J592" s="4" t="s">
        <v>28</v>
      </c>
      <c r="K592" s="4">
        <v>111972</v>
      </c>
      <c r="L592" s="4" t="s">
        <v>22</v>
      </c>
      <c r="M592" s="4">
        <v>0.36</v>
      </c>
      <c r="N592" s="4">
        <v>0.84</v>
      </c>
      <c r="O592" s="4">
        <v>10746.93</v>
      </c>
      <c r="P592" s="4">
        <v>0</v>
      </c>
      <c r="Q592" s="6">
        <f t="shared" si="110"/>
        <v>196.86803549332831</v>
      </c>
      <c r="R592" s="6">
        <f t="shared" si="103"/>
        <v>1702.0821295996975</v>
      </c>
      <c r="S592" s="4">
        <f t="shared" si="104"/>
        <v>12035.714285714286</v>
      </c>
      <c r="T592" s="4">
        <f t="shared" si="105"/>
        <v>9331</v>
      </c>
      <c r="U592" s="4">
        <f t="shared" si="106"/>
        <v>3359.16</v>
      </c>
      <c r="V592" s="4">
        <f t="shared" ca="1" si="107"/>
        <v>59</v>
      </c>
      <c r="W592" s="20">
        <f ca="1">V592*Q592</f>
        <v>11615.21409410637</v>
      </c>
      <c r="X592" s="4">
        <f t="shared" si="108"/>
        <v>636.93000000000029</v>
      </c>
      <c r="Y592" s="13">
        <f t="shared" si="109"/>
        <v>6.3000000000000028E-2</v>
      </c>
    </row>
    <row r="593" spans="1:25" x14ac:dyDescent="0.3">
      <c r="A593" s="12" t="s">
        <v>1228</v>
      </c>
      <c r="B593" s="7">
        <v>44994</v>
      </c>
      <c r="C593" s="4" t="s">
        <v>1229</v>
      </c>
      <c r="D593" s="4" t="s">
        <v>50</v>
      </c>
      <c r="E593" s="4">
        <v>14605</v>
      </c>
      <c r="F593" s="4">
        <v>12.7</v>
      </c>
      <c r="G593" s="4">
        <v>36</v>
      </c>
      <c r="H593" s="4" t="s">
        <v>19</v>
      </c>
      <c r="I593" s="4" t="s">
        <v>57</v>
      </c>
      <c r="J593" s="4" t="s">
        <v>28</v>
      </c>
      <c r="K593" s="4">
        <v>105485</v>
      </c>
      <c r="L593" s="4" t="s">
        <v>22</v>
      </c>
      <c r="M593" s="4">
        <v>0.33</v>
      </c>
      <c r="N593" s="4">
        <v>0.52</v>
      </c>
      <c r="O593" s="4">
        <v>16459.84</v>
      </c>
      <c r="P593" s="4">
        <v>0</v>
      </c>
      <c r="Q593" s="6">
        <f t="shared" si="110"/>
        <v>489.99241867211481</v>
      </c>
      <c r="R593" s="6">
        <f t="shared" si="103"/>
        <v>3034.7270721961322</v>
      </c>
      <c r="S593" s="4">
        <f t="shared" si="104"/>
        <v>28086.538461538461</v>
      </c>
      <c r="T593" s="4">
        <f t="shared" si="105"/>
        <v>8790.4166666666661</v>
      </c>
      <c r="U593" s="4">
        <f t="shared" si="106"/>
        <v>2900.8375000000001</v>
      </c>
      <c r="V593" s="4">
        <f t="shared" ca="1" si="107"/>
        <v>36</v>
      </c>
      <c r="W593" s="20">
        <f ca="1">V593*Q593</f>
        <v>17639.727072196132</v>
      </c>
      <c r="X593" s="4">
        <f t="shared" si="108"/>
        <v>1854.8400000000001</v>
      </c>
      <c r="Y593" s="13">
        <f t="shared" si="109"/>
        <v>0.12700034234851079</v>
      </c>
    </row>
    <row r="594" spans="1:25" x14ac:dyDescent="0.3">
      <c r="A594" s="12" t="s">
        <v>1230</v>
      </c>
      <c r="B594" s="7">
        <v>45055</v>
      </c>
      <c r="C594" s="4" t="s">
        <v>1231</v>
      </c>
      <c r="D594" s="4" t="s">
        <v>53</v>
      </c>
      <c r="E594" s="4">
        <v>13115</v>
      </c>
      <c r="F594" s="4">
        <v>22</v>
      </c>
      <c r="G594" s="4">
        <v>36</v>
      </c>
      <c r="H594" s="4" t="s">
        <v>19</v>
      </c>
      <c r="I594" s="4" t="s">
        <v>36</v>
      </c>
      <c r="J594" s="4" t="s">
        <v>47</v>
      </c>
      <c r="K594" s="4">
        <v>84722</v>
      </c>
      <c r="L594" s="4" t="s">
        <v>33</v>
      </c>
      <c r="M594" s="4">
        <v>0.11</v>
      </c>
      <c r="N594" s="4">
        <v>0.93</v>
      </c>
      <c r="O594" s="4">
        <v>16000.3</v>
      </c>
      <c r="P594" s="4">
        <v>0</v>
      </c>
      <c r="Q594" s="6">
        <f t="shared" si="110"/>
        <v>500.86779343090603</v>
      </c>
      <c r="R594" s="6">
        <f t="shared" si="103"/>
        <v>4916.2405635126161</v>
      </c>
      <c r="S594" s="4">
        <f t="shared" si="104"/>
        <v>14102.150537634408</v>
      </c>
      <c r="T594" s="4">
        <f t="shared" si="105"/>
        <v>7060.166666666667</v>
      </c>
      <c r="U594" s="4">
        <f t="shared" si="106"/>
        <v>776.61833333333334</v>
      </c>
      <c r="V594" s="4">
        <f t="shared" ca="1" si="107"/>
        <v>34</v>
      </c>
      <c r="W594" s="20">
        <f ca="1">V594*Q594</f>
        <v>17029.504976650805</v>
      </c>
      <c r="X594" s="4">
        <f t="shared" si="108"/>
        <v>2885.2999999999993</v>
      </c>
      <c r="Y594" s="13">
        <f t="shared" si="109"/>
        <v>0.21999999999999995</v>
      </c>
    </row>
    <row r="595" spans="1:25" x14ac:dyDescent="0.3">
      <c r="A595" s="12" t="s">
        <v>1232</v>
      </c>
      <c r="B595" s="7">
        <v>44631</v>
      </c>
      <c r="C595" s="4" t="s">
        <v>1233</v>
      </c>
      <c r="D595" s="4" t="s">
        <v>18</v>
      </c>
      <c r="E595" s="4">
        <v>23911</v>
      </c>
      <c r="F595" s="4">
        <v>13.1</v>
      </c>
      <c r="G595" s="4">
        <v>60</v>
      </c>
      <c r="H595" s="4" t="s">
        <v>26</v>
      </c>
      <c r="I595" s="4" t="s">
        <v>73</v>
      </c>
      <c r="J595" s="4" t="s">
        <v>37</v>
      </c>
      <c r="K595" s="4">
        <v>119499</v>
      </c>
      <c r="L595" s="4" t="s">
        <v>29</v>
      </c>
      <c r="M595" s="4">
        <v>0.5</v>
      </c>
      <c r="N595" s="4">
        <v>0.82</v>
      </c>
      <c r="O595" s="4">
        <v>5871.91</v>
      </c>
      <c r="P595" s="4">
        <v>0</v>
      </c>
      <c r="Q595" s="6">
        <f t="shared" si="110"/>
        <v>545.27354043646426</v>
      </c>
      <c r="R595" s="6">
        <f t="shared" si="103"/>
        <v>8805.4124261878569</v>
      </c>
      <c r="S595" s="4">
        <f t="shared" si="104"/>
        <v>29159.756097560978</v>
      </c>
      <c r="T595" s="4">
        <f t="shared" si="105"/>
        <v>9958.25</v>
      </c>
      <c r="U595" s="4">
        <f t="shared" si="106"/>
        <v>4979.125</v>
      </c>
      <c r="V595" s="4">
        <f t="shared" ca="1" si="107"/>
        <v>48</v>
      </c>
      <c r="W595" s="20">
        <f ca="1">V595*Q595</f>
        <v>26173.129940950283</v>
      </c>
      <c r="X595" s="4">
        <f t="shared" si="108"/>
        <v>-18039.09</v>
      </c>
      <c r="Y595" s="13">
        <f t="shared" si="109"/>
        <v>-0.75442641462088578</v>
      </c>
    </row>
    <row r="596" spans="1:25" x14ac:dyDescent="0.3">
      <c r="A596" s="12" t="s">
        <v>1234</v>
      </c>
      <c r="B596" s="7">
        <v>44643</v>
      </c>
      <c r="C596" s="4" t="s">
        <v>1235</v>
      </c>
      <c r="D596" s="4" t="s">
        <v>40</v>
      </c>
      <c r="E596" s="4">
        <v>39525</v>
      </c>
      <c r="F596" s="4">
        <v>6.6</v>
      </c>
      <c r="G596" s="4">
        <v>36</v>
      </c>
      <c r="H596" s="4" t="s">
        <v>19</v>
      </c>
      <c r="I596" s="4" t="s">
        <v>84</v>
      </c>
      <c r="J596" s="4" t="s">
        <v>47</v>
      </c>
      <c r="K596" s="4">
        <v>80818</v>
      </c>
      <c r="L596" s="4" t="s">
        <v>29</v>
      </c>
      <c r="M596" s="4">
        <v>0.12</v>
      </c>
      <c r="N596" s="4">
        <v>0.5</v>
      </c>
      <c r="O596" s="4">
        <v>42133.65</v>
      </c>
      <c r="P596" s="4">
        <v>0</v>
      </c>
      <c r="Q596" s="6">
        <f t="shared" si="110"/>
        <v>1213.2016709225923</v>
      </c>
      <c r="R596" s="6">
        <f t="shared" si="103"/>
        <v>4150.2601532133194</v>
      </c>
      <c r="S596" s="4">
        <f t="shared" si="104"/>
        <v>79050</v>
      </c>
      <c r="T596" s="4">
        <f t="shared" si="105"/>
        <v>6734.833333333333</v>
      </c>
      <c r="U596" s="4">
        <f t="shared" si="106"/>
        <v>808.18</v>
      </c>
      <c r="V596" s="4">
        <f t="shared" ca="1" si="107"/>
        <v>47</v>
      </c>
      <c r="W596" s="20">
        <f ca="1">V596*Q596</f>
        <v>57020.478533361835</v>
      </c>
      <c r="X596" s="4">
        <f t="shared" si="108"/>
        <v>2608.6500000000015</v>
      </c>
      <c r="Y596" s="13">
        <f t="shared" si="109"/>
        <v>6.6000000000000031E-2</v>
      </c>
    </row>
    <row r="597" spans="1:25" x14ac:dyDescent="0.3">
      <c r="A597" s="12" t="s">
        <v>1236</v>
      </c>
      <c r="B597" s="7">
        <v>44445</v>
      </c>
      <c r="C597" s="4" t="s">
        <v>1237</v>
      </c>
      <c r="D597" s="4" t="s">
        <v>76</v>
      </c>
      <c r="E597" s="4">
        <v>33556</v>
      </c>
      <c r="F597" s="4">
        <v>15.9</v>
      </c>
      <c r="G597" s="4">
        <v>60</v>
      </c>
      <c r="H597" s="4" t="s">
        <v>81</v>
      </c>
      <c r="I597" s="4" t="s">
        <v>84</v>
      </c>
      <c r="J597" s="4" t="s">
        <v>37</v>
      </c>
      <c r="K597" s="4">
        <v>59932</v>
      </c>
      <c r="L597" s="4" t="s">
        <v>22</v>
      </c>
      <c r="M597" s="4">
        <v>0.49</v>
      </c>
      <c r="N597" s="4">
        <v>0.84</v>
      </c>
      <c r="O597" s="4">
        <v>8269.1299999999992</v>
      </c>
      <c r="P597" s="4">
        <v>9226.86</v>
      </c>
      <c r="Q597" s="6">
        <f t="shared" si="110"/>
        <v>814.23485830628704</v>
      </c>
      <c r="R597" s="6">
        <f t="shared" si="103"/>
        <v>15298.091498377224</v>
      </c>
      <c r="S597" s="4">
        <f t="shared" si="104"/>
        <v>39947.619047619046</v>
      </c>
      <c r="T597" s="4">
        <f t="shared" si="105"/>
        <v>4994.333333333333</v>
      </c>
      <c r="U597" s="4">
        <f t="shared" si="106"/>
        <v>2447.2233333333334</v>
      </c>
      <c r="V597" s="4">
        <f t="shared" ca="1" si="107"/>
        <v>54</v>
      </c>
      <c r="W597" s="20">
        <v>0</v>
      </c>
      <c r="X597" s="4">
        <f t="shared" si="108"/>
        <v>-16060.010000000002</v>
      </c>
      <c r="Y597" s="13">
        <f t="shared" si="109"/>
        <v>-0.47860323042078917</v>
      </c>
    </row>
    <row r="598" spans="1:25" x14ac:dyDescent="0.3">
      <c r="A598" s="12" t="s">
        <v>1238</v>
      </c>
      <c r="B598" s="7">
        <v>44362</v>
      </c>
      <c r="C598" s="4" t="s">
        <v>1239</v>
      </c>
      <c r="D598" s="4" t="s">
        <v>18</v>
      </c>
      <c r="E598" s="4">
        <v>13595</v>
      </c>
      <c r="F598" s="4">
        <v>22.2</v>
      </c>
      <c r="G598" s="4">
        <v>36</v>
      </c>
      <c r="H598" s="4" t="s">
        <v>81</v>
      </c>
      <c r="I598" s="4" t="s">
        <v>41</v>
      </c>
      <c r="J598" s="4" t="s">
        <v>47</v>
      </c>
      <c r="K598" s="4">
        <v>36901</v>
      </c>
      <c r="L598" s="4" t="s">
        <v>22</v>
      </c>
      <c r="M598" s="4">
        <v>0.32</v>
      </c>
      <c r="N598" s="4">
        <v>0.73</v>
      </c>
      <c r="O598" s="4">
        <v>5141.99</v>
      </c>
      <c r="P598" s="4">
        <v>2205.12</v>
      </c>
      <c r="Q598" s="6">
        <f t="shared" si="110"/>
        <v>520.60688756972809</v>
      </c>
      <c r="R598" s="6">
        <f t="shared" si="103"/>
        <v>5146.8479525102121</v>
      </c>
      <c r="S598" s="4">
        <f t="shared" si="104"/>
        <v>18623.287671232876</v>
      </c>
      <c r="T598" s="4">
        <f t="shared" si="105"/>
        <v>3075.0833333333335</v>
      </c>
      <c r="U598" s="4">
        <f t="shared" si="106"/>
        <v>984.02666666666676</v>
      </c>
      <c r="V598" s="4">
        <f t="shared" ca="1" si="107"/>
        <v>57</v>
      </c>
      <c r="W598" s="20">
        <v>0</v>
      </c>
      <c r="X598" s="4">
        <f t="shared" si="108"/>
        <v>-6247.89</v>
      </c>
      <c r="Y598" s="13">
        <f t="shared" si="109"/>
        <v>-0.45957263699889667</v>
      </c>
    </row>
    <row r="599" spans="1:25" x14ac:dyDescent="0.3">
      <c r="A599" s="12" t="s">
        <v>1240</v>
      </c>
      <c r="B599" s="7">
        <v>45180</v>
      </c>
      <c r="C599" s="4" t="s">
        <v>1241</v>
      </c>
      <c r="D599" s="4" t="s">
        <v>56</v>
      </c>
      <c r="E599" s="4">
        <v>2969</v>
      </c>
      <c r="F599" s="4">
        <v>16.8</v>
      </c>
      <c r="G599" s="4">
        <v>36</v>
      </c>
      <c r="H599" s="4" t="s">
        <v>81</v>
      </c>
      <c r="I599" s="4" t="s">
        <v>36</v>
      </c>
      <c r="J599" s="4" t="s">
        <v>37</v>
      </c>
      <c r="K599" s="4">
        <v>147473</v>
      </c>
      <c r="L599" s="4" t="s">
        <v>33</v>
      </c>
      <c r="M599" s="4">
        <v>0.49</v>
      </c>
      <c r="N599" s="4">
        <v>0.85</v>
      </c>
      <c r="O599" s="4">
        <v>760.95</v>
      </c>
      <c r="P599" s="4">
        <v>303.63</v>
      </c>
      <c r="Q599" s="6">
        <f t="shared" si="110"/>
        <v>105.55765926055338</v>
      </c>
      <c r="R599" s="6">
        <f t="shared" si="103"/>
        <v>831.07573337992153</v>
      </c>
      <c r="S599" s="4">
        <f t="shared" si="104"/>
        <v>3492.9411764705883</v>
      </c>
      <c r="T599" s="4">
        <f t="shared" si="105"/>
        <v>12289.416666666666</v>
      </c>
      <c r="U599" s="4">
        <f t="shared" si="106"/>
        <v>6021.8141666666661</v>
      </c>
      <c r="V599" s="4">
        <f t="shared" ca="1" si="107"/>
        <v>30</v>
      </c>
      <c r="W599" s="20">
        <v>0</v>
      </c>
      <c r="X599" s="4">
        <f t="shared" si="108"/>
        <v>-1904.42</v>
      </c>
      <c r="Y599" s="13">
        <f t="shared" si="109"/>
        <v>-0.64143482654092288</v>
      </c>
    </row>
    <row r="600" spans="1:25" x14ac:dyDescent="0.3">
      <c r="A600" s="12" t="s">
        <v>1242</v>
      </c>
      <c r="B600" s="7">
        <v>45216</v>
      </c>
      <c r="C600" s="4" t="s">
        <v>1243</v>
      </c>
      <c r="D600" s="4" t="s">
        <v>25</v>
      </c>
      <c r="E600" s="4">
        <v>18275</v>
      </c>
      <c r="F600" s="4">
        <v>9.5</v>
      </c>
      <c r="G600" s="4">
        <v>36</v>
      </c>
      <c r="H600" s="4" t="s">
        <v>19</v>
      </c>
      <c r="I600" s="4" t="s">
        <v>36</v>
      </c>
      <c r="J600" s="4" t="s">
        <v>21</v>
      </c>
      <c r="K600" s="4">
        <v>129023</v>
      </c>
      <c r="L600" s="4" t="s">
        <v>33</v>
      </c>
      <c r="M600" s="4">
        <v>0.15</v>
      </c>
      <c r="N600" s="4">
        <v>0.74</v>
      </c>
      <c r="O600" s="4">
        <v>20011.12</v>
      </c>
      <c r="P600" s="4">
        <v>0</v>
      </c>
      <c r="Q600" s="6">
        <f t="shared" si="110"/>
        <v>585.40215651278538</v>
      </c>
      <c r="R600" s="6">
        <f t="shared" si="103"/>
        <v>2799.4776344602724</v>
      </c>
      <c r="S600" s="4">
        <f t="shared" si="104"/>
        <v>24695.945945945947</v>
      </c>
      <c r="T600" s="4">
        <f t="shared" si="105"/>
        <v>10751.916666666666</v>
      </c>
      <c r="U600" s="4">
        <f t="shared" si="106"/>
        <v>1612.7874999999999</v>
      </c>
      <c r="V600" s="4">
        <f t="shared" ca="1" si="107"/>
        <v>29</v>
      </c>
      <c r="W600" s="20">
        <f ca="1">V600*Q600</f>
        <v>16976.662538870776</v>
      </c>
      <c r="X600" s="4">
        <f t="shared" si="108"/>
        <v>1736.119999999999</v>
      </c>
      <c r="Y600" s="13">
        <f t="shared" si="109"/>
        <v>9.4999726402188733E-2</v>
      </c>
    </row>
    <row r="601" spans="1:25" x14ac:dyDescent="0.3">
      <c r="A601" s="12" t="s">
        <v>1244</v>
      </c>
      <c r="B601" s="7">
        <v>44738</v>
      </c>
      <c r="C601" s="4" t="s">
        <v>1245</v>
      </c>
      <c r="D601" s="4" t="s">
        <v>72</v>
      </c>
      <c r="E601" s="4">
        <v>5470</v>
      </c>
      <c r="F601" s="4">
        <v>12.7</v>
      </c>
      <c r="G601" s="4">
        <v>60</v>
      </c>
      <c r="H601" s="4" t="s">
        <v>81</v>
      </c>
      <c r="I601" s="4" t="s">
        <v>27</v>
      </c>
      <c r="J601" s="4" t="s">
        <v>28</v>
      </c>
      <c r="K601" s="4">
        <v>38597</v>
      </c>
      <c r="L601" s="4" t="s">
        <v>22</v>
      </c>
      <c r="M601" s="4">
        <v>0.3</v>
      </c>
      <c r="N601" s="4">
        <v>0.79</v>
      </c>
      <c r="O601" s="4">
        <v>1347.15</v>
      </c>
      <c r="P601" s="4">
        <v>2258.6</v>
      </c>
      <c r="Q601" s="6">
        <f t="shared" si="110"/>
        <v>123.62087962739317</v>
      </c>
      <c r="R601" s="6">
        <f t="shared" si="103"/>
        <v>1947.25277764359</v>
      </c>
      <c r="S601" s="4">
        <f t="shared" si="104"/>
        <v>6924.0506329113923</v>
      </c>
      <c r="T601" s="4">
        <f t="shared" si="105"/>
        <v>3216.4166666666665</v>
      </c>
      <c r="U601" s="4">
        <f t="shared" si="106"/>
        <v>964.92499999999995</v>
      </c>
      <c r="V601" s="4">
        <f t="shared" ca="1" si="107"/>
        <v>44</v>
      </c>
      <c r="W601" s="20">
        <v>0</v>
      </c>
      <c r="X601" s="4">
        <f t="shared" si="108"/>
        <v>-1864.25</v>
      </c>
      <c r="Y601" s="13">
        <f t="shared" si="109"/>
        <v>-0.34081352833638023</v>
      </c>
    </row>
    <row r="602" spans="1:25" x14ac:dyDescent="0.3">
      <c r="A602" s="12" t="s">
        <v>1246</v>
      </c>
      <c r="B602" s="7">
        <v>44955</v>
      </c>
      <c r="C602" s="4" t="s">
        <v>1247</v>
      </c>
      <c r="D602" s="4" t="s">
        <v>76</v>
      </c>
      <c r="E602" s="4">
        <v>11225</v>
      </c>
      <c r="F602" s="4">
        <v>14</v>
      </c>
      <c r="G602" s="4">
        <v>36</v>
      </c>
      <c r="H602" s="4" t="s">
        <v>26</v>
      </c>
      <c r="I602" s="4" t="s">
        <v>57</v>
      </c>
      <c r="J602" s="4" t="s">
        <v>37</v>
      </c>
      <c r="K602" s="4">
        <v>93909</v>
      </c>
      <c r="L602" s="4" t="s">
        <v>33</v>
      </c>
      <c r="M602" s="4">
        <v>0.17</v>
      </c>
      <c r="N602" s="4">
        <v>0.85</v>
      </c>
      <c r="O602" s="4">
        <v>3482.53</v>
      </c>
      <c r="P602" s="4">
        <v>0</v>
      </c>
      <c r="Q602" s="6">
        <f t="shared" si="110"/>
        <v>383.64389403383757</v>
      </c>
      <c r="R602" s="6">
        <f t="shared" si="103"/>
        <v>2586.1801852181525</v>
      </c>
      <c r="S602" s="4">
        <f t="shared" si="104"/>
        <v>13205.882352941177</v>
      </c>
      <c r="T602" s="4">
        <f t="shared" si="105"/>
        <v>7825.75</v>
      </c>
      <c r="U602" s="4">
        <f t="shared" si="106"/>
        <v>1330.3775000000001</v>
      </c>
      <c r="V602" s="4">
        <f t="shared" ca="1" si="107"/>
        <v>37</v>
      </c>
      <c r="W602" s="20">
        <f t="shared" ref="W602:W612" ca="1" si="112">V602*Q602</f>
        <v>14194.82407925199</v>
      </c>
      <c r="X602" s="4">
        <f t="shared" si="108"/>
        <v>-7742.4699999999993</v>
      </c>
      <c r="Y602" s="13">
        <f t="shared" si="109"/>
        <v>-0.68975233853006679</v>
      </c>
    </row>
    <row r="603" spans="1:25" x14ac:dyDescent="0.3">
      <c r="A603" s="12" t="s">
        <v>1248</v>
      </c>
      <c r="B603" s="7">
        <v>44277</v>
      </c>
      <c r="C603" s="4" t="s">
        <v>1249</v>
      </c>
      <c r="D603" s="4" t="s">
        <v>50</v>
      </c>
      <c r="E603" s="4">
        <v>24196</v>
      </c>
      <c r="F603" s="4">
        <v>16.600000000000001</v>
      </c>
      <c r="G603" s="4">
        <v>60</v>
      </c>
      <c r="H603" s="4" t="s">
        <v>19</v>
      </c>
      <c r="I603" s="4" t="s">
        <v>20</v>
      </c>
      <c r="J603" s="4" t="s">
        <v>21</v>
      </c>
      <c r="K603" s="4">
        <v>102391</v>
      </c>
      <c r="L603" s="4" t="s">
        <v>22</v>
      </c>
      <c r="M603" s="4">
        <v>0.12</v>
      </c>
      <c r="N603" s="4">
        <v>0.68</v>
      </c>
      <c r="O603" s="4">
        <v>28212.54</v>
      </c>
      <c r="P603" s="4">
        <v>0</v>
      </c>
      <c r="Q603" s="6">
        <f t="shared" si="110"/>
        <v>596.14116922063363</v>
      </c>
      <c r="R603" s="6">
        <f t="shared" si="103"/>
        <v>11572.47015323802</v>
      </c>
      <c r="S603" s="4">
        <f t="shared" si="104"/>
        <v>35582.352941176468</v>
      </c>
      <c r="T603" s="4">
        <f t="shared" si="105"/>
        <v>8532.5833333333339</v>
      </c>
      <c r="U603" s="4">
        <f t="shared" si="106"/>
        <v>1023.9100000000001</v>
      </c>
      <c r="V603" s="4">
        <f t="shared" ca="1" si="107"/>
        <v>59</v>
      </c>
      <c r="W603" s="20">
        <f t="shared" ca="1" si="112"/>
        <v>35172.328984017382</v>
      </c>
      <c r="X603" s="4">
        <f t="shared" si="108"/>
        <v>4016.5400000000009</v>
      </c>
      <c r="Y603" s="13">
        <f t="shared" si="109"/>
        <v>0.16600016531658129</v>
      </c>
    </row>
    <row r="604" spans="1:25" x14ac:dyDescent="0.3">
      <c r="A604" s="12" t="s">
        <v>1250</v>
      </c>
      <c r="B604" s="7">
        <v>44329</v>
      </c>
      <c r="C604" s="4" t="s">
        <v>1251</v>
      </c>
      <c r="D604" s="4" t="s">
        <v>40</v>
      </c>
      <c r="E604" s="4">
        <v>14669</v>
      </c>
      <c r="F604" s="4">
        <v>20.2</v>
      </c>
      <c r="G604" s="4">
        <v>36</v>
      </c>
      <c r="H604" s="4" t="s">
        <v>19</v>
      </c>
      <c r="I604" s="4" t="s">
        <v>27</v>
      </c>
      <c r="J604" s="4" t="s">
        <v>32</v>
      </c>
      <c r="K604" s="4">
        <v>114214</v>
      </c>
      <c r="L604" s="4" t="s">
        <v>22</v>
      </c>
      <c r="M604" s="4">
        <v>0.35</v>
      </c>
      <c r="N604" s="4">
        <v>0.5</v>
      </c>
      <c r="O604" s="4">
        <v>17632.14</v>
      </c>
      <c r="P604" s="4">
        <v>0</v>
      </c>
      <c r="Q604" s="6">
        <f t="shared" si="110"/>
        <v>546.64860373882368</v>
      </c>
      <c r="R604" s="6">
        <f t="shared" si="103"/>
        <v>5010.3497345976539</v>
      </c>
      <c r="S604" s="4">
        <f t="shared" si="104"/>
        <v>29338</v>
      </c>
      <c r="T604" s="4">
        <f t="shared" si="105"/>
        <v>9517.8333333333339</v>
      </c>
      <c r="U604" s="4">
        <f t="shared" si="106"/>
        <v>3331.2416666666668</v>
      </c>
      <c r="V604" s="4">
        <f t="shared" ca="1" si="107"/>
        <v>58</v>
      </c>
      <c r="W604" s="20">
        <f t="shared" ca="1" si="112"/>
        <v>31705.619016851775</v>
      </c>
      <c r="X604" s="4">
        <f t="shared" si="108"/>
        <v>2963.1399999999994</v>
      </c>
      <c r="Y604" s="13">
        <f t="shared" si="109"/>
        <v>0.20200013634194555</v>
      </c>
    </row>
    <row r="605" spans="1:25" x14ac:dyDescent="0.3">
      <c r="A605" s="12" t="s">
        <v>1252</v>
      </c>
      <c r="B605" s="7">
        <v>44993</v>
      </c>
      <c r="C605" s="4" t="s">
        <v>1253</v>
      </c>
      <c r="D605" s="4" t="s">
        <v>18</v>
      </c>
      <c r="E605" s="4">
        <v>38380</v>
      </c>
      <c r="F605" s="4">
        <v>7</v>
      </c>
      <c r="G605" s="4">
        <v>36</v>
      </c>
      <c r="H605" s="4" t="s">
        <v>19</v>
      </c>
      <c r="I605" s="4" t="s">
        <v>41</v>
      </c>
      <c r="J605" s="4" t="s">
        <v>47</v>
      </c>
      <c r="K605" s="4">
        <v>38263</v>
      </c>
      <c r="L605" s="4" t="s">
        <v>29</v>
      </c>
      <c r="M605" s="4">
        <v>0.18</v>
      </c>
      <c r="N605" s="4">
        <v>0.88</v>
      </c>
      <c r="O605" s="4">
        <v>41066.6</v>
      </c>
      <c r="P605" s="4">
        <v>0</v>
      </c>
      <c r="Q605" s="6">
        <f t="shared" si="110"/>
        <v>1185.0629776929752</v>
      </c>
      <c r="R605" s="6">
        <f t="shared" si="103"/>
        <v>4282.2671969471048</v>
      </c>
      <c r="S605" s="4">
        <f t="shared" si="104"/>
        <v>43613.63636363636</v>
      </c>
      <c r="T605" s="4">
        <f t="shared" si="105"/>
        <v>3188.5833333333335</v>
      </c>
      <c r="U605" s="4">
        <f t="shared" si="106"/>
        <v>573.94500000000005</v>
      </c>
      <c r="V605" s="4">
        <f t="shared" ca="1" si="107"/>
        <v>36</v>
      </c>
      <c r="W605" s="20">
        <f t="shared" ca="1" si="112"/>
        <v>42662.267196947105</v>
      </c>
      <c r="X605" s="4">
        <f t="shared" si="108"/>
        <v>2686.5999999999985</v>
      </c>
      <c r="Y605" s="13">
        <f t="shared" si="109"/>
        <v>6.9999999999999965E-2</v>
      </c>
    </row>
    <row r="606" spans="1:25" x14ac:dyDescent="0.3">
      <c r="A606" s="12" t="s">
        <v>1254</v>
      </c>
      <c r="B606" s="7">
        <v>45096</v>
      </c>
      <c r="C606" s="4" t="s">
        <v>1255</v>
      </c>
      <c r="D606" s="4" t="s">
        <v>53</v>
      </c>
      <c r="E606" s="4">
        <v>39006</v>
      </c>
      <c r="F606" s="4">
        <v>22.8</v>
      </c>
      <c r="G606" s="4">
        <v>60</v>
      </c>
      <c r="H606" s="4" t="s">
        <v>19</v>
      </c>
      <c r="I606" s="4" t="s">
        <v>27</v>
      </c>
      <c r="J606" s="4" t="s">
        <v>32</v>
      </c>
      <c r="K606" s="4">
        <v>93293</v>
      </c>
      <c r="L606" s="4" t="s">
        <v>22</v>
      </c>
      <c r="M606" s="4">
        <v>0.34</v>
      </c>
      <c r="N606" s="4">
        <v>0.67</v>
      </c>
      <c r="O606" s="4">
        <v>47899.37</v>
      </c>
      <c r="P606" s="4">
        <v>0</v>
      </c>
      <c r="Q606" s="6">
        <f t="shared" si="110"/>
        <v>1095.1200568661857</v>
      </c>
      <c r="R606" s="6">
        <f t="shared" si="103"/>
        <v>26701.203411971146</v>
      </c>
      <c r="S606" s="4">
        <f t="shared" si="104"/>
        <v>58217.910447761191</v>
      </c>
      <c r="T606" s="4">
        <f t="shared" si="105"/>
        <v>7774.416666666667</v>
      </c>
      <c r="U606" s="4">
        <f t="shared" si="106"/>
        <v>2643.3016666666667</v>
      </c>
      <c r="V606" s="4">
        <f t="shared" ca="1" si="107"/>
        <v>33</v>
      </c>
      <c r="W606" s="20">
        <f t="shared" ca="1" si="112"/>
        <v>36138.96187658413</v>
      </c>
      <c r="X606" s="4">
        <f t="shared" si="108"/>
        <v>8893.3700000000026</v>
      </c>
      <c r="Y606" s="13">
        <f t="shared" si="109"/>
        <v>0.22800005127416301</v>
      </c>
    </row>
    <row r="607" spans="1:25" x14ac:dyDescent="0.3">
      <c r="A607" s="12" t="s">
        <v>1256</v>
      </c>
      <c r="B607" s="7">
        <v>44334</v>
      </c>
      <c r="C607" s="4" t="s">
        <v>1257</v>
      </c>
      <c r="D607" s="4" t="s">
        <v>76</v>
      </c>
      <c r="E607" s="4">
        <v>16577</v>
      </c>
      <c r="F607" s="4">
        <v>5.2</v>
      </c>
      <c r="G607" s="4">
        <v>60</v>
      </c>
      <c r="H607" s="4" t="s">
        <v>19</v>
      </c>
      <c r="I607" s="4" t="s">
        <v>36</v>
      </c>
      <c r="J607" s="4" t="s">
        <v>21</v>
      </c>
      <c r="K607" s="4">
        <v>142824</v>
      </c>
      <c r="L607" s="4" t="s">
        <v>33</v>
      </c>
      <c r="M607" s="4">
        <v>0.14000000000000001</v>
      </c>
      <c r="N607" s="4">
        <v>0.72</v>
      </c>
      <c r="O607" s="4">
        <v>17439</v>
      </c>
      <c r="P607" s="4">
        <v>0</v>
      </c>
      <c r="Q607" s="6">
        <f t="shared" si="110"/>
        <v>314.34964337568107</v>
      </c>
      <c r="R607" s="6">
        <f t="shared" si="103"/>
        <v>2283.9786025408648</v>
      </c>
      <c r="S607" s="4">
        <f t="shared" si="104"/>
        <v>23023.611111111113</v>
      </c>
      <c r="T607" s="4">
        <f t="shared" si="105"/>
        <v>11902</v>
      </c>
      <c r="U607" s="4">
        <f t="shared" si="106"/>
        <v>1666.2800000000002</v>
      </c>
      <c r="V607" s="4">
        <f t="shared" ca="1" si="107"/>
        <v>58</v>
      </c>
      <c r="W607" s="20">
        <f t="shared" ca="1" si="112"/>
        <v>18232.279315789503</v>
      </c>
      <c r="X607" s="4">
        <f t="shared" si="108"/>
        <v>862</v>
      </c>
      <c r="Y607" s="13">
        <f t="shared" si="109"/>
        <v>5.1999758701815772E-2</v>
      </c>
    </row>
    <row r="608" spans="1:25" x14ac:dyDescent="0.3">
      <c r="A608" s="12" t="s">
        <v>1258</v>
      </c>
      <c r="B608" s="7">
        <v>44380</v>
      </c>
      <c r="C608" s="4" t="s">
        <v>1259</v>
      </c>
      <c r="D608" s="4" t="s">
        <v>25</v>
      </c>
      <c r="E608" s="4">
        <v>23473</v>
      </c>
      <c r="F608" s="4">
        <v>12.4</v>
      </c>
      <c r="G608" s="4">
        <v>60</v>
      </c>
      <c r="H608" s="4" t="s">
        <v>60</v>
      </c>
      <c r="I608" s="4" t="s">
        <v>84</v>
      </c>
      <c r="J608" s="4" t="s">
        <v>32</v>
      </c>
      <c r="K608" s="4">
        <v>55805</v>
      </c>
      <c r="L608" s="4" t="s">
        <v>29</v>
      </c>
      <c r="M608" s="4">
        <v>0.23</v>
      </c>
      <c r="N608" s="4">
        <v>0.5</v>
      </c>
      <c r="O608" s="4">
        <v>0</v>
      </c>
      <c r="P608" s="4">
        <v>0</v>
      </c>
      <c r="Q608" s="6">
        <f t="shared" si="110"/>
        <v>526.90097505261826</v>
      </c>
      <c r="R608" s="6">
        <f t="shared" si="103"/>
        <v>8141.0585031570954</v>
      </c>
      <c r="S608" s="4">
        <f t="shared" si="104"/>
        <v>46946</v>
      </c>
      <c r="T608" s="4">
        <f t="shared" si="105"/>
        <v>4650.416666666667</v>
      </c>
      <c r="U608" s="4">
        <f t="shared" si="106"/>
        <v>1069.5958333333335</v>
      </c>
      <c r="V608" s="4">
        <f t="shared" ca="1" si="107"/>
        <v>56</v>
      </c>
      <c r="W608" s="20">
        <f t="shared" ca="1" si="112"/>
        <v>29506.454602946622</v>
      </c>
      <c r="X608" s="4">
        <f t="shared" si="108"/>
        <v>-23473</v>
      </c>
      <c r="Y608" s="13">
        <f t="shared" si="109"/>
        <v>-1</v>
      </c>
    </row>
    <row r="609" spans="1:25" x14ac:dyDescent="0.3">
      <c r="A609" s="12" t="s">
        <v>1260</v>
      </c>
      <c r="B609" s="7">
        <v>44981</v>
      </c>
      <c r="C609" s="4" t="s">
        <v>1261</v>
      </c>
      <c r="D609" s="4" t="s">
        <v>53</v>
      </c>
      <c r="E609" s="4">
        <v>29625</v>
      </c>
      <c r="F609" s="4">
        <v>5.5</v>
      </c>
      <c r="G609" s="4">
        <v>60</v>
      </c>
      <c r="H609" s="4" t="s">
        <v>19</v>
      </c>
      <c r="I609" s="4" t="s">
        <v>20</v>
      </c>
      <c r="J609" s="4" t="s">
        <v>32</v>
      </c>
      <c r="K609" s="4">
        <v>121679</v>
      </c>
      <c r="L609" s="4" t="s">
        <v>29</v>
      </c>
      <c r="M609" s="4">
        <v>0.41</v>
      </c>
      <c r="N609" s="4">
        <v>0.72</v>
      </c>
      <c r="O609" s="4">
        <v>31254.37</v>
      </c>
      <c r="P609" s="4">
        <v>0</v>
      </c>
      <c r="Q609" s="6">
        <f t="shared" si="110"/>
        <v>565.87192933904885</v>
      </c>
      <c r="R609" s="6">
        <f t="shared" si="103"/>
        <v>4327.3157603429281</v>
      </c>
      <c r="S609" s="4">
        <f t="shared" si="104"/>
        <v>41145.833333333336</v>
      </c>
      <c r="T609" s="4">
        <f t="shared" si="105"/>
        <v>10139.916666666666</v>
      </c>
      <c r="U609" s="4">
        <f t="shared" si="106"/>
        <v>4157.3658333333333</v>
      </c>
      <c r="V609" s="4">
        <f t="shared" ca="1" si="107"/>
        <v>36</v>
      </c>
      <c r="W609" s="20">
        <f t="shared" ca="1" si="112"/>
        <v>20371.389456205758</v>
      </c>
      <c r="X609" s="4">
        <f t="shared" si="108"/>
        <v>1629.369999999999</v>
      </c>
      <c r="Y609" s="13">
        <f t="shared" si="109"/>
        <v>5.4999831223628656E-2</v>
      </c>
    </row>
    <row r="610" spans="1:25" x14ac:dyDescent="0.3">
      <c r="A610" s="12" t="s">
        <v>1262</v>
      </c>
      <c r="B610" s="7">
        <v>45180</v>
      </c>
      <c r="C610" s="4" t="s">
        <v>1263</v>
      </c>
      <c r="D610" s="4" t="s">
        <v>18</v>
      </c>
      <c r="E610" s="4">
        <v>16504</v>
      </c>
      <c r="F610" s="4">
        <v>12.9</v>
      </c>
      <c r="G610" s="4">
        <v>60</v>
      </c>
      <c r="H610" s="4" t="s">
        <v>19</v>
      </c>
      <c r="I610" s="4" t="s">
        <v>20</v>
      </c>
      <c r="J610" s="4" t="s">
        <v>21</v>
      </c>
      <c r="K610" s="4">
        <v>41874</v>
      </c>
      <c r="L610" s="4" t="s">
        <v>33</v>
      </c>
      <c r="M610" s="4">
        <v>0.27</v>
      </c>
      <c r="N610" s="4">
        <v>0.94</v>
      </c>
      <c r="O610" s="4">
        <v>18633.02</v>
      </c>
      <c r="P610" s="4">
        <v>0</v>
      </c>
      <c r="Q610" s="6">
        <f t="shared" si="110"/>
        <v>374.67240234958206</v>
      </c>
      <c r="R610" s="6">
        <f t="shared" si="103"/>
        <v>5976.3441409749248</v>
      </c>
      <c r="S610" s="4">
        <f t="shared" si="104"/>
        <v>17557.446808510638</v>
      </c>
      <c r="T610" s="4">
        <f t="shared" si="105"/>
        <v>3489.5</v>
      </c>
      <c r="U610" s="4">
        <f t="shared" si="106"/>
        <v>942.16500000000008</v>
      </c>
      <c r="V610" s="4">
        <f t="shared" ca="1" si="107"/>
        <v>30</v>
      </c>
      <c r="W610" s="20">
        <f t="shared" ca="1" si="112"/>
        <v>11240.172070487462</v>
      </c>
      <c r="X610" s="4">
        <f t="shared" si="108"/>
        <v>2129.0200000000004</v>
      </c>
      <c r="Y610" s="13">
        <f t="shared" si="109"/>
        <v>0.12900024236548718</v>
      </c>
    </row>
    <row r="611" spans="1:25" x14ac:dyDescent="0.3">
      <c r="A611" s="12" t="s">
        <v>1264</v>
      </c>
      <c r="B611" s="7">
        <v>44265</v>
      </c>
      <c r="C611" s="4" t="s">
        <v>1265</v>
      </c>
      <c r="D611" s="4" t="s">
        <v>40</v>
      </c>
      <c r="E611" s="4">
        <v>25089</v>
      </c>
      <c r="F611" s="4">
        <v>15.5</v>
      </c>
      <c r="G611" s="4">
        <v>36</v>
      </c>
      <c r="H611" s="4" t="s">
        <v>60</v>
      </c>
      <c r="I611" s="4" t="s">
        <v>57</v>
      </c>
      <c r="J611" s="4" t="s">
        <v>28</v>
      </c>
      <c r="K611" s="4">
        <v>123065</v>
      </c>
      <c r="L611" s="4" t="s">
        <v>33</v>
      </c>
      <c r="M611" s="4">
        <v>0.35</v>
      </c>
      <c r="N611" s="4">
        <v>0.63</v>
      </c>
      <c r="O611" s="4">
        <v>0</v>
      </c>
      <c r="P611" s="4">
        <v>0</v>
      </c>
      <c r="Q611" s="6">
        <f t="shared" si="110"/>
        <v>875.87407615582561</v>
      </c>
      <c r="R611" s="6">
        <f t="shared" si="103"/>
        <v>6442.4667416097218</v>
      </c>
      <c r="S611" s="4">
        <f t="shared" si="104"/>
        <v>39823.809523809527</v>
      </c>
      <c r="T611" s="4">
        <f t="shared" si="105"/>
        <v>10255.416666666666</v>
      </c>
      <c r="U611" s="4">
        <f t="shared" si="106"/>
        <v>3589.395833333333</v>
      </c>
      <c r="V611" s="4">
        <f t="shared" ca="1" si="107"/>
        <v>60</v>
      </c>
      <c r="W611" s="20">
        <f t="shared" ca="1" si="112"/>
        <v>52552.444569349536</v>
      </c>
      <c r="X611" s="4">
        <f t="shared" si="108"/>
        <v>-25089</v>
      </c>
      <c r="Y611" s="13">
        <f t="shared" si="109"/>
        <v>-1</v>
      </c>
    </row>
    <row r="612" spans="1:25" x14ac:dyDescent="0.3">
      <c r="A612" s="12" t="s">
        <v>1266</v>
      </c>
      <c r="B612" s="7">
        <v>44742</v>
      </c>
      <c r="C612" s="4" t="s">
        <v>1267</v>
      </c>
      <c r="D612" s="4" t="s">
        <v>65</v>
      </c>
      <c r="E612" s="4">
        <v>37487</v>
      </c>
      <c r="F612" s="4">
        <v>15.2</v>
      </c>
      <c r="G612" s="4">
        <v>36</v>
      </c>
      <c r="H612" s="4" t="s">
        <v>19</v>
      </c>
      <c r="I612" s="4" t="s">
        <v>20</v>
      </c>
      <c r="J612" s="4" t="s">
        <v>37</v>
      </c>
      <c r="K612" s="4">
        <v>116402</v>
      </c>
      <c r="L612" s="4" t="s">
        <v>33</v>
      </c>
      <c r="M612" s="4">
        <v>0.36</v>
      </c>
      <c r="N612" s="4">
        <v>0.68</v>
      </c>
      <c r="O612" s="4">
        <v>43185.02</v>
      </c>
      <c r="P612" s="4">
        <v>0</v>
      </c>
      <c r="Q612" s="6">
        <f t="shared" si="110"/>
        <v>1303.1736806574365</v>
      </c>
      <c r="R612" s="6">
        <f t="shared" si="103"/>
        <v>9427.252503667718</v>
      </c>
      <c r="S612" s="4">
        <f t="shared" si="104"/>
        <v>55127.941176470587</v>
      </c>
      <c r="T612" s="4">
        <f t="shared" si="105"/>
        <v>9700.1666666666661</v>
      </c>
      <c r="U612" s="4">
        <f t="shared" si="106"/>
        <v>3492.0599999999995</v>
      </c>
      <c r="V612" s="4">
        <f t="shared" ca="1" si="107"/>
        <v>44</v>
      </c>
      <c r="W612" s="20">
        <f t="shared" ca="1" si="112"/>
        <v>57339.641948927208</v>
      </c>
      <c r="X612" s="4">
        <f t="shared" si="108"/>
        <v>5698.0199999999968</v>
      </c>
      <c r="Y612" s="13">
        <f t="shared" si="109"/>
        <v>0.15199989329634264</v>
      </c>
    </row>
    <row r="613" spans="1:25" x14ac:dyDescent="0.3">
      <c r="A613" s="12" t="s">
        <v>1268</v>
      </c>
      <c r="B613" s="7">
        <v>44249</v>
      </c>
      <c r="C613" s="4" t="s">
        <v>1269</v>
      </c>
      <c r="D613" s="4" t="s">
        <v>25</v>
      </c>
      <c r="E613" s="4">
        <v>1302</v>
      </c>
      <c r="F613" s="4">
        <v>8.3000000000000007</v>
      </c>
      <c r="G613" s="4">
        <v>60</v>
      </c>
      <c r="H613" s="4" t="s">
        <v>81</v>
      </c>
      <c r="I613" s="4" t="s">
        <v>73</v>
      </c>
      <c r="J613" s="4" t="s">
        <v>47</v>
      </c>
      <c r="K613" s="4">
        <v>44079</v>
      </c>
      <c r="L613" s="4" t="s">
        <v>22</v>
      </c>
      <c r="M613" s="4">
        <v>0.44</v>
      </c>
      <c r="N613" s="4">
        <v>0.81</v>
      </c>
      <c r="O613" s="4">
        <v>399.41</v>
      </c>
      <c r="P613" s="4">
        <v>452.5</v>
      </c>
      <c r="Q613" s="6">
        <f t="shared" si="110"/>
        <v>26.587196530351779</v>
      </c>
      <c r="R613" s="6">
        <f t="shared" si="103"/>
        <v>293.23179182110675</v>
      </c>
      <c r="S613" s="4">
        <f t="shared" si="104"/>
        <v>1607.4074074074074</v>
      </c>
      <c r="T613" s="4">
        <f t="shared" si="105"/>
        <v>3673.25</v>
      </c>
      <c r="U613" s="4">
        <f t="shared" si="106"/>
        <v>1616.23</v>
      </c>
      <c r="V613" s="4">
        <f t="shared" ca="1" si="107"/>
        <v>60</v>
      </c>
      <c r="W613" s="20">
        <v>0</v>
      </c>
      <c r="X613" s="4">
        <f t="shared" si="108"/>
        <v>-450.08999999999992</v>
      </c>
      <c r="Y613" s="13">
        <f t="shared" si="109"/>
        <v>-0.34569124423963127</v>
      </c>
    </row>
    <row r="614" spans="1:25" x14ac:dyDescent="0.3">
      <c r="A614" s="12" t="s">
        <v>1270</v>
      </c>
      <c r="B614" s="7">
        <v>44401</v>
      </c>
      <c r="C614" s="4" t="s">
        <v>1271</v>
      </c>
      <c r="D614" s="4" t="s">
        <v>53</v>
      </c>
      <c r="E614" s="4">
        <v>32463</v>
      </c>
      <c r="F614" s="4">
        <v>17.899999999999999</v>
      </c>
      <c r="G614" s="4">
        <v>36</v>
      </c>
      <c r="H614" s="4" t="s">
        <v>19</v>
      </c>
      <c r="I614" s="4" t="s">
        <v>41</v>
      </c>
      <c r="J614" s="4" t="s">
        <v>37</v>
      </c>
      <c r="K614" s="4">
        <v>79850</v>
      </c>
      <c r="L614" s="4" t="s">
        <v>29</v>
      </c>
      <c r="M614" s="4">
        <v>0.23</v>
      </c>
      <c r="N614" s="4">
        <v>0.87</v>
      </c>
      <c r="O614" s="4">
        <v>38273.879999999997</v>
      </c>
      <c r="P614" s="4">
        <v>0</v>
      </c>
      <c r="Q614" s="6">
        <f t="shared" si="110"/>
        <v>1171.9873549833558</v>
      </c>
      <c r="R614" s="6">
        <f t="shared" si="103"/>
        <v>9728.5447794008069</v>
      </c>
      <c r="S614" s="4">
        <f t="shared" si="104"/>
        <v>37313.793103448275</v>
      </c>
      <c r="T614" s="4">
        <f t="shared" si="105"/>
        <v>6654.166666666667</v>
      </c>
      <c r="U614" s="4">
        <f t="shared" si="106"/>
        <v>1530.4583333333335</v>
      </c>
      <c r="V614" s="4">
        <f t="shared" ca="1" si="107"/>
        <v>55</v>
      </c>
      <c r="W614" s="20">
        <f t="shared" ref="W614:W620" ca="1" si="113">V614*Q614</f>
        <v>64459.304524084568</v>
      </c>
      <c r="X614" s="4">
        <f t="shared" si="108"/>
        <v>5810.8799999999974</v>
      </c>
      <c r="Y614" s="13">
        <f t="shared" si="109"/>
        <v>0.17900009241290077</v>
      </c>
    </row>
    <row r="615" spans="1:25" x14ac:dyDescent="0.3">
      <c r="A615" s="12" t="s">
        <v>1272</v>
      </c>
      <c r="B615" s="7">
        <v>44322</v>
      </c>
      <c r="C615" s="4" t="s">
        <v>1273</v>
      </c>
      <c r="D615" s="4" t="s">
        <v>25</v>
      </c>
      <c r="E615" s="4">
        <v>30259</v>
      </c>
      <c r="F615" s="4">
        <v>5.9</v>
      </c>
      <c r="G615" s="4">
        <v>36</v>
      </c>
      <c r="H615" s="4" t="s">
        <v>26</v>
      </c>
      <c r="I615" s="4" t="s">
        <v>27</v>
      </c>
      <c r="J615" s="4" t="s">
        <v>47</v>
      </c>
      <c r="K615" s="4">
        <v>102779</v>
      </c>
      <c r="L615" s="4" t="s">
        <v>22</v>
      </c>
      <c r="M615" s="4">
        <v>0.37</v>
      </c>
      <c r="N615" s="4">
        <v>0.69</v>
      </c>
      <c r="O615" s="4">
        <v>2968.33</v>
      </c>
      <c r="P615" s="4">
        <v>0</v>
      </c>
      <c r="Q615" s="6">
        <f t="shared" si="110"/>
        <v>919.16698886114443</v>
      </c>
      <c r="R615" s="6">
        <f t="shared" si="103"/>
        <v>2831.0115990011982</v>
      </c>
      <c r="S615" s="4">
        <f t="shared" si="104"/>
        <v>43853.6231884058</v>
      </c>
      <c r="T615" s="4">
        <f t="shared" si="105"/>
        <v>8564.9166666666661</v>
      </c>
      <c r="U615" s="4">
        <f t="shared" si="106"/>
        <v>3169.0191666666665</v>
      </c>
      <c r="V615" s="4">
        <f t="shared" ca="1" si="107"/>
        <v>58</v>
      </c>
      <c r="W615" s="20">
        <f t="shared" ca="1" si="113"/>
        <v>53311.685353946377</v>
      </c>
      <c r="X615" s="4">
        <f t="shared" si="108"/>
        <v>-27290.67</v>
      </c>
      <c r="Y615" s="13">
        <f t="shared" si="109"/>
        <v>-0.90190257444066224</v>
      </c>
    </row>
    <row r="616" spans="1:25" x14ac:dyDescent="0.3">
      <c r="A616" s="12" t="s">
        <v>1274</v>
      </c>
      <c r="B616" s="7">
        <v>44239</v>
      </c>
      <c r="C616" s="4" t="s">
        <v>1275</v>
      </c>
      <c r="D616" s="4" t="s">
        <v>56</v>
      </c>
      <c r="E616" s="4">
        <v>38208</v>
      </c>
      <c r="F616" s="4">
        <v>20.2</v>
      </c>
      <c r="G616" s="4">
        <v>36</v>
      </c>
      <c r="H616" s="4" t="s">
        <v>19</v>
      </c>
      <c r="I616" s="4" t="s">
        <v>57</v>
      </c>
      <c r="J616" s="4" t="s">
        <v>37</v>
      </c>
      <c r="K616" s="4">
        <v>125408</v>
      </c>
      <c r="L616" s="4" t="s">
        <v>22</v>
      </c>
      <c r="M616" s="4">
        <v>0.48</v>
      </c>
      <c r="N616" s="4">
        <v>0.64</v>
      </c>
      <c r="O616" s="4">
        <v>45926.02</v>
      </c>
      <c r="P616" s="4">
        <v>0</v>
      </c>
      <c r="Q616" s="6">
        <f t="shared" si="110"/>
        <v>1423.8427876237627</v>
      </c>
      <c r="R616" s="6">
        <f t="shared" si="103"/>
        <v>13050.340354455453</v>
      </c>
      <c r="S616" s="4">
        <f t="shared" si="104"/>
        <v>59700</v>
      </c>
      <c r="T616" s="4">
        <f t="shared" si="105"/>
        <v>10450.666666666666</v>
      </c>
      <c r="U616" s="4">
        <f t="shared" si="106"/>
        <v>5016.32</v>
      </c>
      <c r="V616" s="4">
        <f t="shared" ca="1" si="107"/>
        <v>61</v>
      </c>
      <c r="W616" s="20">
        <f t="shared" ca="1" si="113"/>
        <v>86854.410045049517</v>
      </c>
      <c r="X616" s="4">
        <f t="shared" si="108"/>
        <v>7718.0199999999968</v>
      </c>
      <c r="Y616" s="13">
        <f t="shared" si="109"/>
        <v>0.20200010469011717</v>
      </c>
    </row>
    <row r="617" spans="1:25" x14ac:dyDescent="0.3">
      <c r="A617" s="12" t="s">
        <v>1276</v>
      </c>
      <c r="B617" s="7">
        <v>44307</v>
      </c>
      <c r="C617" s="4" t="s">
        <v>1277</v>
      </c>
      <c r="D617" s="4" t="s">
        <v>53</v>
      </c>
      <c r="E617" s="4">
        <v>31659</v>
      </c>
      <c r="F617" s="4">
        <v>23.9</v>
      </c>
      <c r="G617" s="4">
        <v>60</v>
      </c>
      <c r="H617" s="4" t="s">
        <v>26</v>
      </c>
      <c r="I617" s="4" t="s">
        <v>20</v>
      </c>
      <c r="J617" s="4" t="s">
        <v>32</v>
      </c>
      <c r="K617" s="4">
        <v>39018</v>
      </c>
      <c r="L617" s="4" t="s">
        <v>22</v>
      </c>
      <c r="M617" s="4">
        <v>0.39</v>
      </c>
      <c r="N617" s="4">
        <v>0.92</v>
      </c>
      <c r="O617" s="4">
        <v>13280.94</v>
      </c>
      <c r="P617" s="4">
        <v>0</v>
      </c>
      <c r="Q617" s="6">
        <f t="shared" si="110"/>
        <v>908.92834853064585</v>
      </c>
      <c r="R617" s="6">
        <f t="shared" si="103"/>
        <v>22876.70091183875</v>
      </c>
      <c r="S617" s="4">
        <f t="shared" si="104"/>
        <v>34411.956521739128</v>
      </c>
      <c r="T617" s="4">
        <f t="shared" si="105"/>
        <v>3251.5</v>
      </c>
      <c r="U617" s="4">
        <f t="shared" si="106"/>
        <v>1268.085</v>
      </c>
      <c r="V617" s="4">
        <f t="shared" ca="1" si="107"/>
        <v>58</v>
      </c>
      <c r="W617" s="20">
        <f t="shared" ca="1" si="113"/>
        <v>52717.844214777462</v>
      </c>
      <c r="X617" s="4">
        <f t="shared" si="108"/>
        <v>-18378.059999999998</v>
      </c>
      <c r="Y617" s="13">
        <f t="shared" si="109"/>
        <v>-0.58050033165924375</v>
      </c>
    </row>
    <row r="618" spans="1:25" x14ac:dyDescent="0.3">
      <c r="A618" s="12" t="s">
        <v>1278</v>
      </c>
      <c r="B618" s="7">
        <v>44957</v>
      </c>
      <c r="C618" s="4" t="s">
        <v>1279</v>
      </c>
      <c r="D618" s="4" t="s">
        <v>76</v>
      </c>
      <c r="E618" s="4">
        <v>36840</v>
      </c>
      <c r="F618" s="4">
        <v>11.8</v>
      </c>
      <c r="G618" s="4">
        <v>36</v>
      </c>
      <c r="H618" s="4" t="s">
        <v>19</v>
      </c>
      <c r="I618" s="4" t="s">
        <v>57</v>
      </c>
      <c r="J618" s="4" t="s">
        <v>28</v>
      </c>
      <c r="K618" s="4">
        <v>79500</v>
      </c>
      <c r="L618" s="4" t="s">
        <v>22</v>
      </c>
      <c r="M618" s="4">
        <v>0.3</v>
      </c>
      <c r="N618" s="4">
        <v>0.8</v>
      </c>
      <c r="O618" s="4">
        <v>41187.120000000003</v>
      </c>
      <c r="P618" s="4">
        <v>0</v>
      </c>
      <c r="Q618" s="6">
        <f t="shared" si="110"/>
        <v>1220.0990558504816</v>
      </c>
      <c r="R618" s="6">
        <f t="shared" si="103"/>
        <v>7083.5660106173382</v>
      </c>
      <c r="S618" s="4">
        <f t="shared" si="104"/>
        <v>46050</v>
      </c>
      <c r="T618" s="4">
        <f t="shared" si="105"/>
        <v>6625</v>
      </c>
      <c r="U618" s="4">
        <f t="shared" si="106"/>
        <v>1987.5</v>
      </c>
      <c r="V618" s="4">
        <f t="shared" ca="1" si="107"/>
        <v>37</v>
      </c>
      <c r="W618" s="20">
        <f t="shared" ca="1" si="113"/>
        <v>45143.665066467816</v>
      </c>
      <c r="X618" s="4">
        <f t="shared" si="108"/>
        <v>4347.1200000000026</v>
      </c>
      <c r="Y618" s="13">
        <f t="shared" si="109"/>
        <v>0.11800000000000008</v>
      </c>
    </row>
    <row r="619" spans="1:25" x14ac:dyDescent="0.3">
      <c r="A619" s="12" t="s">
        <v>1280</v>
      </c>
      <c r="B619" s="7">
        <v>45044</v>
      </c>
      <c r="C619" s="4" t="s">
        <v>1281</v>
      </c>
      <c r="D619" s="4" t="s">
        <v>65</v>
      </c>
      <c r="E619" s="4">
        <v>32890</v>
      </c>
      <c r="F619" s="4">
        <v>15.3</v>
      </c>
      <c r="G619" s="4">
        <v>36</v>
      </c>
      <c r="H619" s="4" t="s">
        <v>26</v>
      </c>
      <c r="I619" s="4" t="s">
        <v>73</v>
      </c>
      <c r="J619" s="4" t="s">
        <v>32</v>
      </c>
      <c r="K619" s="4">
        <v>42100</v>
      </c>
      <c r="L619" s="4" t="s">
        <v>29</v>
      </c>
      <c r="M619" s="4">
        <v>0.35</v>
      </c>
      <c r="N619" s="4">
        <v>0.55000000000000004</v>
      </c>
      <c r="O619" s="4">
        <v>8090.19</v>
      </c>
      <c r="P619" s="4">
        <v>0</v>
      </c>
      <c r="Q619" s="6">
        <f t="shared" si="110"/>
        <v>1144.980492633525</v>
      </c>
      <c r="R619" s="6">
        <f t="shared" si="103"/>
        <v>8329.2977348069035</v>
      </c>
      <c r="S619" s="4">
        <f t="shared" si="104"/>
        <v>59799.999999999993</v>
      </c>
      <c r="T619" s="4">
        <f t="shared" si="105"/>
        <v>3508.3333333333335</v>
      </c>
      <c r="U619" s="4">
        <f t="shared" si="106"/>
        <v>1227.9166666666667</v>
      </c>
      <c r="V619" s="4">
        <f t="shared" ca="1" si="107"/>
        <v>34</v>
      </c>
      <c r="W619" s="20">
        <f t="shared" ca="1" si="113"/>
        <v>38929.336749539849</v>
      </c>
      <c r="X619" s="4">
        <f t="shared" si="108"/>
        <v>-24799.81</v>
      </c>
      <c r="Y619" s="13">
        <f t="shared" si="109"/>
        <v>-0.75402280328367288</v>
      </c>
    </row>
    <row r="620" spans="1:25" x14ac:dyDescent="0.3">
      <c r="A620" s="12" t="s">
        <v>1282</v>
      </c>
      <c r="B620" s="7">
        <v>44291</v>
      </c>
      <c r="C620" s="4" t="s">
        <v>1283</v>
      </c>
      <c r="D620" s="4" t="s">
        <v>65</v>
      </c>
      <c r="E620" s="4">
        <v>14598</v>
      </c>
      <c r="F620" s="4">
        <v>12.6</v>
      </c>
      <c r="G620" s="4">
        <v>36</v>
      </c>
      <c r="H620" s="4" t="s">
        <v>19</v>
      </c>
      <c r="I620" s="4" t="s">
        <v>57</v>
      </c>
      <c r="J620" s="4" t="s">
        <v>28</v>
      </c>
      <c r="K620" s="4">
        <v>87021</v>
      </c>
      <c r="L620" s="4" t="s">
        <v>29</v>
      </c>
      <c r="M620" s="4">
        <v>0.4</v>
      </c>
      <c r="N620" s="4">
        <v>0.53</v>
      </c>
      <c r="O620" s="4">
        <v>16437.349999999999</v>
      </c>
      <c r="P620" s="4">
        <v>0</v>
      </c>
      <c r="Q620" s="6">
        <f t="shared" si="110"/>
        <v>489.05650372602412</v>
      </c>
      <c r="R620" s="6">
        <f t="shared" si="103"/>
        <v>3008.0341341368694</v>
      </c>
      <c r="S620" s="4">
        <f t="shared" si="104"/>
        <v>27543.396226415094</v>
      </c>
      <c r="T620" s="4">
        <f t="shared" si="105"/>
        <v>7251.75</v>
      </c>
      <c r="U620" s="4">
        <f t="shared" si="106"/>
        <v>2900.7000000000003</v>
      </c>
      <c r="V620" s="4">
        <f t="shared" ca="1" si="107"/>
        <v>59</v>
      </c>
      <c r="W620" s="20">
        <f t="shared" ca="1" si="113"/>
        <v>28854.333719835424</v>
      </c>
      <c r="X620" s="4">
        <f t="shared" si="108"/>
        <v>1839.3499999999985</v>
      </c>
      <c r="Y620" s="13">
        <f t="shared" si="109"/>
        <v>0.1260001370050691</v>
      </c>
    </row>
    <row r="621" spans="1:25" x14ac:dyDescent="0.3">
      <c r="A621" s="12" t="s">
        <v>1284</v>
      </c>
      <c r="B621" s="7">
        <v>45096</v>
      </c>
      <c r="C621" s="4" t="s">
        <v>1285</v>
      </c>
      <c r="D621" s="4" t="s">
        <v>72</v>
      </c>
      <c r="E621" s="4">
        <v>20508</v>
      </c>
      <c r="F621" s="4">
        <v>5.0999999999999996</v>
      </c>
      <c r="G621" s="4">
        <v>60</v>
      </c>
      <c r="H621" s="4" t="s">
        <v>81</v>
      </c>
      <c r="I621" s="4" t="s">
        <v>20</v>
      </c>
      <c r="J621" s="4" t="s">
        <v>21</v>
      </c>
      <c r="K621" s="4">
        <v>144995</v>
      </c>
      <c r="L621" s="4" t="s">
        <v>22</v>
      </c>
      <c r="M621" s="4">
        <v>0.34</v>
      </c>
      <c r="N621" s="4">
        <v>0.72</v>
      </c>
      <c r="O621" s="4">
        <v>2495.92</v>
      </c>
      <c r="P621" s="4">
        <v>3057.79</v>
      </c>
      <c r="Q621" s="6">
        <f t="shared" si="110"/>
        <v>387.9515242608486</v>
      </c>
      <c r="R621" s="6">
        <f t="shared" si="103"/>
        <v>2769.091455650916</v>
      </c>
      <c r="S621" s="4">
        <f t="shared" si="104"/>
        <v>28483.333333333336</v>
      </c>
      <c r="T621" s="4">
        <f t="shared" si="105"/>
        <v>12082.916666666666</v>
      </c>
      <c r="U621" s="4">
        <f t="shared" si="106"/>
        <v>4108.1916666666666</v>
      </c>
      <c r="V621" s="4">
        <f t="shared" ca="1" si="107"/>
        <v>33</v>
      </c>
      <c r="W621" s="20">
        <v>0</v>
      </c>
      <c r="X621" s="4">
        <f t="shared" si="108"/>
        <v>-14954.29</v>
      </c>
      <c r="Y621" s="13">
        <f t="shared" si="109"/>
        <v>-0.72919299785449587</v>
      </c>
    </row>
    <row r="622" spans="1:25" x14ac:dyDescent="0.3">
      <c r="A622" s="12" t="s">
        <v>1286</v>
      </c>
      <c r="B622" s="7">
        <v>44556</v>
      </c>
      <c r="C622" s="4" t="s">
        <v>1287</v>
      </c>
      <c r="D622" s="4" t="s">
        <v>25</v>
      </c>
      <c r="E622" s="4">
        <v>14380</v>
      </c>
      <c r="F622" s="4">
        <v>12.7</v>
      </c>
      <c r="G622" s="4">
        <v>36</v>
      </c>
      <c r="H622" s="4" t="s">
        <v>19</v>
      </c>
      <c r="I622" s="4" t="s">
        <v>57</v>
      </c>
      <c r="J622" s="4" t="s">
        <v>47</v>
      </c>
      <c r="K622" s="4">
        <v>49800</v>
      </c>
      <c r="L622" s="4" t="s">
        <v>33</v>
      </c>
      <c r="M622" s="4">
        <v>0.11</v>
      </c>
      <c r="N622" s="4">
        <v>0.6</v>
      </c>
      <c r="O622" s="4">
        <v>16206.26</v>
      </c>
      <c r="P622" s="4">
        <v>0</v>
      </c>
      <c r="Q622" s="6">
        <f t="shared" si="110"/>
        <v>482.44375080486208</v>
      </c>
      <c r="R622" s="6">
        <f t="shared" si="103"/>
        <v>2987.9750289750336</v>
      </c>
      <c r="S622" s="4">
        <f t="shared" si="104"/>
        <v>23966.666666666668</v>
      </c>
      <c r="T622" s="4">
        <f t="shared" si="105"/>
        <v>4150</v>
      </c>
      <c r="U622" s="4">
        <f t="shared" si="106"/>
        <v>456.5</v>
      </c>
      <c r="V622" s="4">
        <f t="shared" ca="1" si="107"/>
        <v>50</v>
      </c>
      <c r="W622" s="20">
        <f t="shared" ref="W622:W639" ca="1" si="114">V622*Q622</f>
        <v>24122.187540243103</v>
      </c>
      <c r="X622" s="4">
        <f t="shared" si="108"/>
        <v>1826.2600000000002</v>
      </c>
      <c r="Y622" s="13">
        <f t="shared" si="109"/>
        <v>0.127</v>
      </c>
    </row>
    <row r="623" spans="1:25" x14ac:dyDescent="0.3">
      <c r="A623" s="12" t="s">
        <v>1288</v>
      </c>
      <c r="B623" s="7">
        <v>45096</v>
      </c>
      <c r="C623" s="4" t="s">
        <v>1289</v>
      </c>
      <c r="D623" s="4" t="s">
        <v>50</v>
      </c>
      <c r="E623" s="4">
        <v>27984</v>
      </c>
      <c r="F623" s="4">
        <v>20.8</v>
      </c>
      <c r="G623" s="4">
        <v>36</v>
      </c>
      <c r="H623" s="4" t="s">
        <v>19</v>
      </c>
      <c r="I623" s="4" t="s">
        <v>57</v>
      </c>
      <c r="J623" s="4" t="s">
        <v>47</v>
      </c>
      <c r="K623" s="4">
        <v>93400</v>
      </c>
      <c r="L623" s="4" t="s">
        <v>29</v>
      </c>
      <c r="M623" s="4">
        <v>0.18</v>
      </c>
      <c r="N623" s="4">
        <v>0.61</v>
      </c>
      <c r="O623" s="4">
        <v>33804.67</v>
      </c>
      <c r="P623" s="4">
        <v>0</v>
      </c>
      <c r="Q623" s="6">
        <f t="shared" si="110"/>
        <v>1051.4276585940574</v>
      </c>
      <c r="R623" s="6">
        <f t="shared" si="103"/>
        <v>9867.3957093860663</v>
      </c>
      <c r="S623" s="4">
        <f t="shared" si="104"/>
        <v>45875.409836065577</v>
      </c>
      <c r="T623" s="4">
        <f t="shared" si="105"/>
        <v>7783.333333333333</v>
      </c>
      <c r="U623" s="4">
        <f t="shared" si="106"/>
        <v>1401</v>
      </c>
      <c r="V623" s="4">
        <f t="shared" ca="1" si="107"/>
        <v>33</v>
      </c>
      <c r="W623" s="20">
        <f t="shared" ca="1" si="114"/>
        <v>34697.112733603899</v>
      </c>
      <c r="X623" s="4">
        <f t="shared" si="108"/>
        <v>5820.6699999999983</v>
      </c>
      <c r="Y623" s="13">
        <f t="shared" si="109"/>
        <v>0.20799992853058885</v>
      </c>
    </row>
    <row r="624" spans="1:25" x14ac:dyDescent="0.3">
      <c r="A624" s="12" t="s">
        <v>1290</v>
      </c>
      <c r="B624" s="7">
        <v>44477</v>
      </c>
      <c r="C624" s="4" t="s">
        <v>1291</v>
      </c>
      <c r="D624" s="4" t="s">
        <v>65</v>
      </c>
      <c r="E624" s="4">
        <v>9125</v>
      </c>
      <c r="F624" s="4">
        <v>16.899999999999999</v>
      </c>
      <c r="G624" s="4">
        <v>60</v>
      </c>
      <c r="H624" s="4" t="s">
        <v>26</v>
      </c>
      <c r="I624" s="4" t="s">
        <v>36</v>
      </c>
      <c r="J624" s="4" t="s">
        <v>21</v>
      </c>
      <c r="K624" s="4">
        <v>122446</v>
      </c>
      <c r="L624" s="4" t="s">
        <v>22</v>
      </c>
      <c r="M624" s="4">
        <v>0.42</v>
      </c>
      <c r="N624" s="4">
        <v>0.89</v>
      </c>
      <c r="O624" s="4">
        <v>3684.51</v>
      </c>
      <c r="P624" s="4">
        <v>0</v>
      </c>
      <c r="Q624" s="6">
        <f t="shared" si="110"/>
        <v>226.28939611915695</v>
      </c>
      <c r="R624" s="6">
        <f t="shared" si="103"/>
        <v>4452.3637671494162</v>
      </c>
      <c r="S624" s="4">
        <f t="shared" si="104"/>
        <v>10252.808988764045</v>
      </c>
      <c r="T624" s="4">
        <f t="shared" si="105"/>
        <v>10203.833333333334</v>
      </c>
      <c r="U624" s="4">
        <f t="shared" si="106"/>
        <v>4285.6099999999997</v>
      </c>
      <c r="V624" s="4">
        <f t="shared" ca="1" si="107"/>
        <v>53</v>
      </c>
      <c r="W624" s="20">
        <f t="shared" ca="1" si="114"/>
        <v>11993.337994315318</v>
      </c>
      <c r="X624" s="4">
        <f t="shared" si="108"/>
        <v>-5440.49</v>
      </c>
      <c r="Y624" s="13">
        <f t="shared" si="109"/>
        <v>-0.59621808219178085</v>
      </c>
    </row>
    <row r="625" spans="1:25" x14ac:dyDescent="0.3">
      <c r="A625" s="12" t="s">
        <v>1292</v>
      </c>
      <c r="B625" s="7">
        <v>44863</v>
      </c>
      <c r="C625" s="4" t="s">
        <v>1293</v>
      </c>
      <c r="D625" s="4" t="s">
        <v>65</v>
      </c>
      <c r="E625" s="4">
        <v>37059</v>
      </c>
      <c r="F625" s="4">
        <v>7</v>
      </c>
      <c r="G625" s="4">
        <v>60</v>
      </c>
      <c r="H625" s="4" t="s">
        <v>19</v>
      </c>
      <c r="I625" s="4" t="s">
        <v>20</v>
      </c>
      <c r="J625" s="4" t="s">
        <v>37</v>
      </c>
      <c r="K625" s="4">
        <v>59437</v>
      </c>
      <c r="L625" s="4" t="s">
        <v>33</v>
      </c>
      <c r="M625" s="4">
        <v>0.21</v>
      </c>
      <c r="N625" s="4">
        <v>0.54</v>
      </c>
      <c r="O625" s="4">
        <v>39653.129999999997</v>
      </c>
      <c r="P625" s="4">
        <v>0</v>
      </c>
      <c r="Q625" s="6">
        <f t="shared" si="110"/>
        <v>733.8126167068134</v>
      </c>
      <c r="R625" s="6">
        <f t="shared" si="103"/>
        <v>6969.7570024088054</v>
      </c>
      <c r="S625" s="4">
        <f t="shared" si="104"/>
        <v>68627.777777777766</v>
      </c>
      <c r="T625" s="4">
        <f t="shared" si="105"/>
        <v>4953.083333333333</v>
      </c>
      <c r="U625" s="4">
        <f t="shared" si="106"/>
        <v>1040.1474999999998</v>
      </c>
      <c r="V625" s="4">
        <f t="shared" ca="1" si="107"/>
        <v>40</v>
      </c>
      <c r="W625" s="20">
        <f t="shared" ca="1" si="114"/>
        <v>29352.504668272537</v>
      </c>
      <c r="X625" s="4">
        <f t="shared" si="108"/>
        <v>2594.1299999999974</v>
      </c>
      <c r="Y625" s="13">
        <f t="shared" si="109"/>
        <v>6.9999999999999923E-2</v>
      </c>
    </row>
    <row r="626" spans="1:25" x14ac:dyDescent="0.3">
      <c r="A626" s="12" t="s">
        <v>1294</v>
      </c>
      <c r="B626" s="7">
        <v>44289</v>
      </c>
      <c r="C626" s="4" t="s">
        <v>1295</v>
      </c>
      <c r="D626" s="4" t="s">
        <v>56</v>
      </c>
      <c r="E626" s="4">
        <v>5033</v>
      </c>
      <c r="F626" s="4">
        <v>21.9</v>
      </c>
      <c r="G626" s="4">
        <v>36</v>
      </c>
      <c r="H626" s="4" t="s">
        <v>26</v>
      </c>
      <c r="I626" s="4" t="s">
        <v>20</v>
      </c>
      <c r="J626" s="4" t="s">
        <v>21</v>
      </c>
      <c r="K626" s="4">
        <v>133124</v>
      </c>
      <c r="L626" s="4" t="s">
        <v>33</v>
      </c>
      <c r="M626" s="4">
        <v>0.39</v>
      </c>
      <c r="N626" s="4">
        <v>0.82</v>
      </c>
      <c r="O626" s="4">
        <v>1105.3900000000001</v>
      </c>
      <c r="P626" s="4">
        <v>0</v>
      </c>
      <c r="Q626" s="6">
        <f t="shared" si="110"/>
        <v>191.95227618821642</v>
      </c>
      <c r="R626" s="6">
        <f t="shared" si="103"/>
        <v>1877.2819427757913</v>
      </c>
      <c r="S626" s="4">
        <f t="shared" si="104"/>
        <v>6137.8048780487807</v>
      </c>
      <c r="T626" s="4">
        <f t="shared" si="105"/>
        <v>11093.666666666666</v>
      </c>
      <c r="U626" s="4">
        <f t="shared" si="106"/>
        <v>4326.53</v>
      </c>
      <c r="V626" s="4">
        <f t="shared" ca="1" si="107"/>
        <v>59</v>
      </c>
      <c r="W626" s="20">
        <f t="shared" ca="1" si="114"/>
        <v>11325.184295104769</v>
      </c>
      <c r="X626" s="4">
        <f t="shared" si="108"/>
        <v>-3927.6099999999997</v>
      </c>
      <c r="Y626" s="13">
        <f t="shared" si="109"/>
        <v>-0.78037154778462148</v>
      </c>
    </row>
    <row r="627" spans="1:25" x14ac:dyDescent="0.3">
      <c r="A627" s="12" t="s">
        <v>1296</v>
      </c>
      <c r="B627" s="7">
        <v>44868</v>
      </c>
      <c r="C627" s="4" t="s">
        <v>1297</v>
      </c>
      <c r="D627" s="4" t="s">
        <v>46</v>
      </c>
      <c r="E627" s="4">
        <v>38873</v>
      </c>
      <c r="F627" s="4">
        <v>15.6</v>
      </c>
      <c r="G627" s="4">
        <v>36</v>
      </c>
      <c r="H627" s="4" t="s">
        <v>60</v>
      </c>
      <c r="I627" s="4" t="s">
        <v>20</v>
      </c>
      <c r="J627" s="4" t="s">
        <v>21</v>
      </c>
      <c r="K627" s="4">
        <v>106537</v>
      </c>
      <c r="L627" s="4" t="s">
        <v>22</v>
      </c>
      <c r="M627" s="4">
        <v>0.25</v>
      </c>
      <c r="N627" s="4">
        <v>0.62</v>
      </c>
      <c r="O627" s="4">
        <v>0</v>
      </c>
      <c r="P627" s="4">
        <v>0</v>
      </c>
      <c r="Q627" s="6">
        <f t="shared" si="110"/>
        <v>1358.9950859206767</v>
      </c>
      <c r="R627" s="6">
        <f t="shared" si="103"/>
        <v>10050.823093144361</v>
      </c>
      <c r="S627" s="4">
        <f t="shared" si="104"/>
        <v>62698.387096774197</v>
      </c>
      <c r="T627" s="4">
        <f t="shared" si="105"/>
        <v>8878.0833333333339</v>
      </c>
      <c r="U627" s="4">
        <f t="shared" si="106"/>
        <v>2219.5208333333335</v>
      </c>
      <c r="V627" s="4">
        <f t="shared" ca="1" si="107"/>
        <v>40</v>
      </c>
      <c r="W627" s="20">
        <f t="shared" ca="1" si="114"/>
        <v>54359.803436827067</v>
      </c>
      <c r="X627" s="4">
        <f t="shared" si="108"/>
        <v>-38873</v>
      </c>
      <c r="Y627" s="13">
        <f t="shared" si="109"/>
        <v>-1</v>
      </c>
    </row>
    <row r="628" spans="1:25" x14ac:dyDescent="0.3">
      <c r="A628" s="12" t="s">
        <v>1298</v>
      </c>
      <c r="B628" s="7">
        <v>44257</v>
      </c>
      <c r="C628" s="4" t="s">
        <v>1299</v>
      </c>
      <c r="D628" s="4" t="s">
        <v>56</v>
      </c>
      <c r="E628" s="4">
        <v>18087</v>
      </c>
      <c r="F628" s="4">
        <v>21.8</v>
      </c>
      <c r="G628" s="4">
        <v>60</v>
      </c>
      <c r="H628" s="4" t="s">
        <v>26</v>
      </c>
      <c r="I628" s="4" t="s">
        <v>57</v>
      </c>
      <c r="J628" s="4" t="s">
        <v>28</v>
      </c>
      <c r="K628" s="4">
        <v>76675</v>
      </c>
      <c r="L628" s="4" t="s">
        <v>29</v>
      </c>
      <c r="M628" s="4">
        <v>0.31</v>
      </c>
      <c r="N628" s="4">
        <v>0.84</v>
      </c>
      <c r="O628" s="4">
        <v>1721.26</v>
      </c>
      <c r="P628" s="4">
        <v>0</v>
      </c>
      <c r="Q628" s="6">
        <f t="shared" si="110"/>
        <v>497.48870110620021</v>
      </c>
      <c r="R628" s="6">
        <f t="shared" si="103"/>
        <v>11762.322066372013</v>
      </c>
      <c r="S628" s="4">
        <f t="shared" si="104"/>
        <v>21532.142857142859</v>
      </c>
      <c r="T628" s="4">
        <f t="shared" si="105"/>
        <v>6389.583333333333</v>
      </c>
      <c r="U628" s="4">
        <f t="shared" si="106"/>
        <v>1980.7708333333333</v>
      </c>
      <c r="V628" s="4">
        <f t="shared" ca="1" si="107"/>
        <v>60</v>
      </c>
      <c r="W628" s="20">
        <f t="shared" ca="1" si="114"/>
        <v>29849.322066372013</v>
      </c>
      <c r="X628" s="4">
        <f t="shared" si="108"/>
        <v>-16365.74</v>
      </c>
      <c r="Y628" s="13">
        <f t="shared" si="109"/>
        <v>-0.90483441145574173</v>
      </c>
    </row>
    <row r="629" spans="1:25" x14ac:dyDescent="0.3">
      <c r="A629" s="12" t="s">
        <v>1300</v>
      </c>
      <c r="B629" s="7">
        <v>44830</v>
      </c>
      <c r="C629" s="4" t="s">
        <v>1301</v>
      </c>
      <c r="D629" s="4" t="s">
        <v>56</v>
      </c>
      <c r="E629" s="4">
        <v>6704</v>
      </c>
      <c r="F629" s="4">
        <v>16.600000000000001</v>
      </c>
      <c r="G629" s="4">
        <v>60</v>
      </c>
      <c r="H629" s="4" t="s">
        <v>19</v>
      </c>
      <c r="I629" s="4" t="s">
        <v>27</v>
      </c>
      <c r="J629" s="4" t="s">
        <v>21</v>
      </c>
      <c r="K629" s="4">
        <v>49942</v>
      </c>
      <c r="L629" s="4" t="s">
        <v>33</v>
      </c>
      <c r="M629" s="4">
        <v>0.13</v>
      </c>
      <c r="N629" s="4">
        <v>0.83</v>
      </c>
      <c r="O629" s="4">
        <v>7816.86</v>
      </c>
      <c r="P629" s="4">
        <v>0</v>
      </c>
      <c r="Q629" s="6">
        <f t="shared" si="110"/>
        <v>165.17318558667253</v>
      </c>
      <c r="R629" s="6">
        <f t="shared" si="103"/>
        <v>3206.3911352003524</v>
      </c>
      <c r="S629" s="4">
        <f t="shared" si="104"/>
        <v>8077.1084337349403</v>
      </c>
      <c r="T629" s="4">
        <f t="shared" si="105"/>
        <v>4161.833333333333</v>
      </c>
      <c r="U629" s="4">
        <f t="shared" si="106"/>
        <v>541.0383333333333</v>
      </c>
      <c r="V629" s="4">
        <f t="shared" ca="1" si="107"/>
        <v>41</v>
      </c>
      <c r="W629" s="20">
        <f t="shared" ca="1" si="114"/>
        <v>6772.1006090535739</v>
      </c>
      <c r="X629" s="4">
        <f t="shared" si="108"/>
        <v>1112.8599999999997</v>
      </c>
      <c r="Y629" s="13">
        <f t="shared" si="109"/>
        <v>0.16599940334128874</v>
      </c>
    </row>
    <row r="630" spans="1:25" x14ac:dyDescent="0.3">
      <c r="A630" s="12" t="s">
        <v>1302</v>
      </c>
      <c r="B630" s="7">
        <v>45271</v>
      </c>
      <c r="C630" s="4" t="s">
        <v>1303</v>
      </c>
      <c r="D630" s="4" t="s">
        <v>46</v>
      </c>
      <c r="E630" s="4">
        <v>8848</v>
      </c>
      <c r="F630" s="4">
        <v>16.2</v>
      </c>
      <c r="G630" s="4">
        <v>60</v>
      </c>
      <c r="H630" s="4" t="s">
        <v>26</v>
      </c>
      <c r="I630" s="4" t="s">
        <v>27</v>
      </c>
      <c r="J630" s="4" t="s">
        <v>47</v>
      </c>
      <c r="K630" s="4">
        <v>50862</v>
      </c>
      <c r="L630" s="4" t="s">
        <v>29</v>
      </c>
      <c r="M630" s="4">
        <v>0.17</v>
      </c>
      <c r="N630" s="4">
        <v>0.5</v>
      </c>
      <c r="O630" s="4">
        <v>2965.85</v>
      </c>
      <c r="P630" s="4">
        <v>0</v>
      </c>
      <c r="Q630" s="6">
        <f t="shared" si="110"/>
        <v>216.10754561471467</v>
      </c>
      <c r="R630" s="6">
        <f t="shared" si="103"/>
        <v>4118.4527368828803</v>
      </c>
      <c r="S630" s="4">
        <f t="shared" si="104"/>
        <v>17696</v>
      </c>
      <c r="T630" s="4">
        <f t="shared" si="105"/>
        <v>4238.5</v>
      </c>
      <c r="U630" s="4">
        <f t="shared" si="106"/>
        <v>720.54500000000007</v>
      </c>
      <c r="V630" s="4">
        <f t="shared" ca="1" si="107"/>
        <v>27</v>
      </c>
      <c r="W630" s="20">
        <f t="shared" ca="1" si="114"/>
        <v>5834.9037315972964</v>
      </c>
      <c r="X630" s="4">
        <f t="shared" si="108"/>
        <v>-5882.15</v>
      </c>
      <c r="Y630" s="13">
        <f t="shared" si="109"/>
        <v>-0.66479995479204335</v>
      </c>
    </row>
    <row r="631" spans="1:25" x14ac:dyDescent="0.3">
      <c r="A631" s="12" t="s">
        <v>1304</v>
      </c>
      <c r="B631" s="7">
        <v>45225</v>
      </c>
      <c r="C631" s="4" t="s">
        <v>1305</v>
      </c>
      <c r="D631" s="4" t="s">
        <v>25</v>
      </c>
      <c r="E631" s="4">
        <v>22592</v>
      </c>
      <c r="F631" s="4">
        <v>7.1</v>
      </c>
      <c r="G631" s="4">
        <v>60</v>
      </c>
      <c r="H631" s="4" t="s">
        <v>26</v>
      </c>
      <c r="I631" s="4" t="s">
        <v>73</v>
      </c>
      <c r="J631" s="4" t="s">
        <v>32</v>
      </c>
      <c r="K631" s="4">
        <v>41669</v>
      </c>
      <c r="L631" s="4" t="s">
        <v>29</v>
      </c>
      <c r="M631" s="4">
        <v>0.48</v>
      </c>
      <c r="N631" s="4">
        <v>0.73</v>
      </c>
      <c r="O631" s="4">
        <v>10077.370000000001</v>
      </c>
      <c r="P631" s="4">
        <v>0</v>
      </c>
      <c r="Q631" s="6">
        <f t="shared" si="110"/>
        <v>448.41533974002084</v>
      </c>
      <c r="R631" s="6">
        <f t="shared" si="103"/>
        <v>4312.9203844012518</v>
      </c>
      <c r="S631" s="4">
        <f t="shared" si="104"/>
        <v>30947.945205479453</v>
      </c>
      <c r="T631" s="4">
        <f t="shared" si="105"/>
        <v>3472.4166666666665</v>
      </c>
      <c r="U631" s="4">
        <f t="shared" si="106"/>
        <v>1666.7599999999998</v>
      </c>
      <c r="V631" s="4">
        <f t="shared" ca="1" si="107"/>
        <v>28</v>
      </c>
      <c r="W631" s="20">
        <f t="shared" ca="1" si="114"/>
        <v>12555.629512720583</v>
      </c>
      <c r="X631" s="4">
        <f t="shared" si="108"/>
        <v>-12514.63</v>
      </c>
      <c r="Y631" s="13">
        <f t="shared" si="109"/>
        <v>-0.55394077549575071</v>
      </c>
    </row>
    <row r="632" spans="1:25" x14ac:dyDescent="0.3">
      <c r="A632" s="12" t="s">
        <v>1306</v>
      </c>
      <c r="B632" s="7">
        <v>44800</v>
      </c>
      <c r="C632" s="4" t="s">
        <v>1307</v>
      </c>
      <c r="D632" s="4" t="s">
        <v>53</v>
      </c>
      <c r="E632" s="4">
        <v>7924</v>
      </c>
      <c r="F632" s="4">
        <v>8.3000000000000007</v>
      </c>
      <c r="G632" s="4">
        <v>60</v>
      </c>
      <c r="H632" s="4" t="s">
        <v>26</v>
      </c>
      <c r="I632" s="4" t="s">
        <v>27</v>
      </c>
      <c r="J632" s="4" t="s">
        <v>28</v>
      </c>
      <c r="K632" s="4">
        <v>83772</v>
      </c>
      <c r="L632" s="4" t="s">
        <v>33</v>
      </c>
      <c r="M632" s="4">
        <v>0.46</v>
      </c>
      <c r="N632" s="4">
        <v>0.56000000000000005</v>
      </c>
      <c r="O632" s="4">
        <v>3561.75</v>
      </c>
      <c r="P632" s="4">
        <v>0</v>
      </c>
      <c r="Q632" s="6">
        <f t="shared" si="110"/>
        <v>161.81024985138822</v>
      </c>
      <c r="R632" s="6">
        <f t="shared" si="103"/>
        <v>1784.6149910832937</v>
      </c>
      <c r="S632" s="4">
        <f t="shared" si="104"/>
        <v>14149.999999999998</v>
      </c>
      <c r="T632" s="4">
        <f t="shared" si="105"/>
        <v>6981</v>
      </c>
      <c r="U632" s="4">
        <f t="shared" si="106"/>
        <v>3211.26</v>
      </c>
      <c r="V632" s="4">
        <f t="shared" ca="1" si="107"/>
        <v>42</v>
      </c>
      <c r="W632" s="20">
        <f t="shared" ca="1" si="114"/>
        <v>6796.0304937583051</v>
      </c>
      <c r="X632" s="4">
        <f t="shared" si="108"/>
        <v>-4362.25</v>
      </c>
      <c r="Y632" s="13">
        <f t="shared" si="109"/>
        <v>-0.55051110550227156</v>
      </c>
    </row>
    <row r="633" spans="1:25" x14ac:dyDescent="0.3">
      <c r="A633" s="12" t="s">
        <v>1308</v>
      </c>
      <c r="B633" s="7">
        <v>44878</v>
      </c>
      <c r="C633" s="4" t="s">
        <v>1309</v>
      </c>
      <c r="D633" s="4" t="s">
        <v>40</v>
      </c>
      <c r="E633" s="4">
        <v>28208</v>
      </c>
      <c r="F633" s="4">
        <v>24.4</v>
      </c>
      <c r="G633" s="4">
        <v>60</v>
      </c>
      <c r="H633" s="4" t="s">
        <v>19</v>
      </c>
      <c r="I633" s="4" t="s">
        <v>57</v>
      </c>
      <c r="J633" s="4" t="s">
        <v>28</v>
      </c>
      <c r="K633" s="4">
        <v>45916</v>
      </c>
      <c r="L633" s="4" t="s">
        <v>22</v>
      </c>
      <c r="M633" s="4">
        <v>0.36</v>
      </c>
      <c r="N633" s="4">
        <v>0.89</v>
      </c>
      <c r="O633" s="4">
        <v>35090.75</v>
      </c>
      <c r="P633" s="4">
        <v>0</v>
      </c>
      <c r="Q633" s="6">
        <f t="shared" si="110"/>
        <v>818.04919120455065</v>
      </c>
      <c r="R633" s="6">
        <f t="shared" si="103"/>
        <v>20874.951472273038</v>
      </c>
      <c r="S633" s="4">
        <f t="shared" si="104"/>
        <v>31694.382022471909</v>
      </c>
      <c r="T633" s="4">
        <f t="shared" si="105"/>
        <v>3826.3333333333335</v>
      </c>
      <c r="U633" s="4">
        <f t="shared" si="106"/>
        <v>1377.48</v>
      </c>
      <c r="V633" s="4">
        <f t="shared" ca="1" si="107"/>
        <v>40</v>
      </c>
      <c r="W633" s="20">
        <f t="shared" ca="1" si="114"/>
        <v>32721.967648182028</v>
      </c>
      <c r="X633" s="4">
        <f t="shared" si="108"/>
        <v>6882.75</v>
      </c>
      <c r="Y633" s="13">
        <f t="shared" si="109"/>
        <v>0.2439999290981282</v>
      </c>
    </row>
    <row r="634" spans="1:25" x14ac:dyDescent="0.3">
      <c r="A634" s="12" t="s">
        <v>1310</v>
      </c>
      <c r="B634" s="7">
        <v>44730</v>
      </c>
      <c r="C634" s="4" t="s">
        <v>1311</v>
      </c>
      <c r="D634" s="4" t="s">
        <v>50</v>
      </c>
      <c r="E634" s="4">
        <v>20614</v>
      </c>
      <c r="F634" s="4">
        <v>9.6</v>
      </c>
      <c r="G634" s="4">
        <v>60</v>
      </c>
      <c r="H634" s="4" t="s">
        <v>19</v>
      </c>
      <c r="I634" s="4" t="s">
        <v>27</v>
      </c>
      <c r="J634" s="4" t="s">
        <v>37</v>
      </c>
      <c r="K634" s="4">
        <v>40878</v>
      </c>
      <c r="L634" s="4" t="s">
        <v>33</v>
      </c>
      <c r="M634" s="4">
        <v>0.28000000000000003</v>
      </c>
      <c r="N634" s="4">
        <v>0.89</v>
      </c>
      <c r="O634" s="4">
        <v>22592.94</v>
      </c>
      <c r="P634" s="4">
        <v>0</v>
      </c>
      <c r="Q634" s="6">
        <f t="shared" si="110"/>
        <v>433.94044834533275</v>
      </c>
      <c r="R634" s="6">
        <f t="shared" si="103"/>
        <v>5422.4269007199655</v>
      </c>
      <c r="S634" s="4">
        <f t="shared" si="104"/>
        <v>23161.797752808987</v>
      </c>
      <c r="T634" s="4">
        <f t="shared" si="105"/>
        <v>3406.5</v>
      </c>
      <c r="U634" s="4">
        <f t="shared" si="106"/>
        <v>953.82</v>
      </c>
      <c r="V634" s="4">
        <f t="shared" ca="1" si="107"/>
        <v>45</v>
      </c>
      <c r="W634" s="20">
        <f t="shared" ca="1" si="114"/>
        <v>19527.320175539975</v>
      </c>
      <c r="X634" s="4">
        <f t="shared" si="108"/>
        <v>1978.9399999999987</v>
      </c>
      <c r="Y634" s="13">
        <f t="shared" si="109"/>
        <v>9.5999805957116463E-2</v>
      </c>
    </row>
    <row r="635" spans="1:25" x14ac:dyDescent="0.3">
      <c r="A635" s="12" t="s">
        <v>1312</v>
      </c>
      <c r="B635" s="7">
        <v>45034</v>
      </c>
      <c r="C635" s="4" t="s">
        <v>1313</v>
      </c>
      <c r="D635" s="4" t="s">
        <v>65</v>
      </c>
      <c r="E635" s="4">
        <v>1488</v>
      </c>
      <c r="F635" s="4">
        <v>24.5</v>
      </c>
      <c r="G635" s="4">
        <v>36</v>
      </c>
      <c r="H635" s="4" t="s">
        <v>19</v>
      </c>
      <c r="I635" s="4" t="s">
        <v>20</v>
      </c>
      <c r="J635" s="4" t="s">
        <v>32</v>
      </c>
      <c r="K635" s="4">
        <v>32985</v>
      </c>
      <c r="L635" s="4" t="s">
        <v>33</v>
      </c>
      <c r="M635" s="4">
        <v>0.37</v>
      </c>
      <c r="N635" s="4">
        <v>0.69</v>
      </c>
      <c r="O635" s="4">
        <v>1852.56</v>
      </c>
      <c r="P635" s="4">
        <v>0</v>
      </c>
      <c r="Q635" s="6">
        <f t="shared" si="110"/>
        <v>58.769840070349197</v>
      </c>
      <c r="R635" s="6">
        <f t="shared" si="103"/>
        <v>627.71424253257101</v>
      </c>
      <c r="S635" s="4">
        <f t="shared" si="104"/>
        <v>2156.521739130435</v>
      </c>
      <c r="T635" s="4">
        <f t="shared" si="105"/>
        <v>2748.75</v>
      </c>
      <c r="U635" s="4">
        <f t="shared" si="106"/>
        <v>1017.0375</v>
      </c>
      <c r="V635" s="4">
        <f t="shared" ca="1" si="107"/>
        <v>35</v>
      </c>
      <c r="W635" s="20">
        <f t="shared" ca="1" si="114"/>
        <v>2056.9444024622221</v>
      </c>
      <c r="X635" s="4">
        <f t="shared" si="108"/>
        <v>364.55999999999995</v>
      </c>
      <c r="Y635" s="13">
        <f t="shared" si="109"/>
        <v>0.24499999999999997</v>
      </c>
    </row>
    <row r="636" spans="1:25" x14ac:dyDescent="0.3">
      <c r="A636" s="12" t="s">
        <v>1314</v>
      </c>
      <c r="B636" s="7">
        <v>44841</v>
      </c>
      <c r="C636" s="4" t="s">
        <v>1315</v>
      </c>
      <c r="D636" s="4" t="s">
        <v>72</v>
      </c>
      <c r="E636" s="4">
        <v>26923</v>
      </c>
      <c r="F636" s="4">
        <v>15.6</v>
      </c>
      <c r="G636" s="4">
        <v>60</v>
      </c>
      <c r="H636" s="4" t="s">
        <v>19</v>
      </c>
      <c r="I636" s="4" t="s">
        <v>57</v>
      </c>
      <c r="J636" s="4" t="s">
        <v>28</v>
      </c>
      <c r="K636" s="4">
        <v>127905</v>
      </c>
      <c r="L636" s="4" t="s">
        <v>29</v>
      </c>
      <c r="M636" s="4">
        <v>0.35</v>
      </c>
      <c r="N636" s="4">
        <v>0.7</v>
      </c>
      <c r="O636" s="4">
        <v>31122.99</v>
      </c>
      <c r="P636" s="4">
        <v>0</v>
      </c>
      <c r="Q636" s="6">
        <f t="shared" si="110"/>
        <v>649.00681015060161</v>
      </c>
      <c r="R636" s="6">
        <f t="shared" si="103"/>
        <v>12017.408609036094</v>
      </c>
      <c r="S636" s="4">
        <f t="shared" si="104"/>
        <v>38461.428571428572</v>
      </c>
      <c r="T636" s="4">
        <f t="shared" si="105"/>
        <v>10658.75</v>
      </c>
      <c r="U636" s="4">
        <f t="shared" si="106"/>
        <v>3730.5624999999995</v>
      </c>
      <c r="V636" s="4">
        <f t="shared" ca="1" si="107"/>
        <v>41</v>
      </c>
      <c r="W636" s="20">
        <f t="shared" ca="1" si="114"/>
        <v>26609.279216174666</v>
      </c>
      <c r="X636" s="4">
        <f t="shared" si="108"/>
        <v>4199.9900000000016</v>
      </c>
      <c r="Y636" s="13">
        <f t="shared" si="109"/>
        <v>0.1560000742859266</v>
      </c>
    </row>
    <row r="637" spans="1:25" x14ac:dyDescent="0.3">
      <c r="A637" s="12" t="s">
        <v>1316</v>
      </c>
      <c r="B637" s="7">
        <v>44429</v>
      </c>
      <c r="C637" s="4" t="s">
        <v>1317</v>
      </c>
      <c r="D637" s="4" t="s">
        <v>50</v>
      </c>
      <c r="E637" s="4">
        <v>36941</v>
      </c>
      <c r="F637" s="4">
        <v>7.7</v>
      </c>
      <c r="G637" s="4">
        <v>60</v>
      </c>
      <c r="H637" s="4" t="s">
        <v>19</v>
      </c>
      <c r="I637" s="4" t="s">
        <v>84</v>
      </c>
      <c r="J637" s="4" t="s">
        <v>21</v>
      </c>
      <c r="K637" s="4">
        <v>103648</v>
      </c>
      <c r="L637" s="4" t="s">
        <v>22</v>
      </c>
      <c r="M637" s="4">
        <v>0.33</v>
      </c>
      <c r="N637" s="4">
        <v>0.64</v>
      </c>
      <c r="O637" s="4">
        <v>39785.46</v>
      </c>
      <c r="P637" s="4">
        <v>0</v>
      </c>
      <c r="Q637" s="6">
        <f t="shared" si="110"/>
        <v>743.73772009756931</v>
      </c>
      <c r="R637" s="6">
        <f t="shared" si="103"/>
        <v>7683.2632058541567</v>
      </c>
      <c r="S637" s="4">
        <f t="shared" si="104"/>
        <v>57720.3125</v>
      </c>
      <c r="T637" s="4">
        <f t="shared" si="105"/>
        <v>8637.3333333333339</v>
      </c>
      <c r="U637" s="4">
        <f t="shared" si="106"/>
        <v>2850.32</v>
      </c>
      <c r="V637" s="4">
        <f t="shared" ca="1" si="107"/>
        <v>54</v>
      </c>
      <c r="W637" s="20">
        <f t="shared" ca="1" si="114"/>
        <v>40161.836885268742</v>
      </c>
      <c r="X637" s="4">
        <f t="shared" si="108"/>
        <v>2844.4599999999991</v>
      </c>
      <c r="Y637" s="13">
        <f t="shared" si="109"/>
        <v>7.7000081210579011E-2</v>
      </c>
    </row>
    <row r="638" spans="1:25" x14ac:dyDescent="0.3">
      <c r="A638" s="12" t="s">
        <v>1318</v>
      </c>
      <c r="B638" s="7">
        <v>44720</v>
      </c>
      <c r="C638" s="4" t="s">
        <v>1319</v>
      </c>
      <c r="D638" s="4" t="s">
        <v>53</v>
      </c>
      <c r="E638" s="4">
        <v>30165</v>
      </c>
      <c r="F638" s="4">
        <v>7</v>
      </c>
      <c r="G638" s="4">
        <v>36</v>
      </c>
      <c r="H638" s="4" t="s">
        <v>19</v>
      </c>
      <c r="I638" s="4" t="s">
        <v>84</v>
      </c>
      <c r="J638" s="4" t="s">
        <v>28</v>
      </c>
      <c r="K638" s="4">
        <v>71235</v>
      </c>
      <c r="L638" s="4" t="s">
        <v>29</v>
      </c>
      <c r="M638" s="4">
        <v>0.12</v>
      </c>
      <c r="N638" s="4">
        <v>0.82</v>
      </c>
      <c r="O638" s="4">
        <v>32276.55</v>
      </c>
      <c r="P638" s="4">
        <v>0</v>
      </c>
      <c r="Q638" s="6">
        <f t="shared" si="110"/>
        <v>931.40762694394459</v>
      </c>
      <c r="R638" s="6">
        <f t="shared" si="103"/>
        <v>3365.6745699820021</v>
      </c>
      <c r="S638" s="4">
        <f t="shared" si="104"/>
        <v>36786.585365853658</v>
      </c>
      <c r="T638" s="4">
        <f t="shared" si="105"/>
        <v>5936.25</v>
      </c>
      <c r="U638" s="4">
        <f t="shared" si="106"/>
        <v>712.35</v>
      </c>
      <c r="V638" s="4">
        <f t="shared" ca="1" si="107"/>
        <v>45</v>
      </c>
      <c r="W638" s="20">
        <f t="shared" ca="1" si="114"/>
        <v>41913.343212477506</v>
      </c>
      <c r="X638" s="4">
        <f t="shared" si="108"/>
        <v>2111.5499999999993</v>
      </c>
      <c r="Y638" s="13">
        <f t="shared" si="109"/>
        <v>6.9999999999999979E-2</v>
      </c>
    </row>
    <row r="639" spans="1:25" x14ac:dyDescent="0.3">
      <c r="A639" s="12" t="s">
        <v>1320</v>
      </c>
      <c r="B639" s="7">
        <v>44542</v>
      </c>
      <c r="C639" s="4" t="s">
        <v>1321</v>
      </c>
      <c r="D639" s="4" t="s">
        <v>46</v>
      </c>
      <c r="E639" s="4">
        <v>2667</v>
      </c>
      <c r="F639" s="4">
        <v>9.1999999999999993</v>
      </c>
      <c r="G639" s="4">
        <v>60</v>
      </c>
      <c r="H639" s="4" t="s">
        <v>26</v>
      </c>
      <c r="I639" s="4" t="s">
        <v>27</v>
      </c>
      <c r="J639" s="4" t="s">
        <v>28</v>
      </c>
      <c r="K639" s="4">
        <v>48931</v>
      </c>
      <c r="L639" s="4" t="s">
        <v>33</v>
      </c>
      <c r="M639" s="4">
        <v>0.35</v>
      </c>
      <c r="N639" s="4">
        <v>0.66</v>
      </c>
      <c r="O639" s="4">
        <v>1282.69</v>
      </c>
      <c r="P639" s="4">
        <v>0</v>
      </c>
      <c r="Q639" s="6">
        <f t="shared" si="110"/>
        <v>55.621768027713642</v>
      </c>
      <c r="R639" s="6">
        <f t="shared" si="103"/>
        <v>670.30608166281854</v>
      </c>
      <c r="S639" s="4">
        <f t="shared" si="104"/>
        <v>4040.9090909090905</v>
      </c>
      <c r="T639" s="4">
        <f t="shared" si="105"/>
        <v>4077.5833333333335</v>
      </c>
      <c r="U639" s="4">
        <f t="shared" si="106"/>
        <v>1427.1541666666667</v>
      </c>
      <c r="V639" s="4">
        <f t="shared" ca="1" si="107"/>
        <v>51</v>
      </c>
      <c r="W639" s="20">
        <f t="shared" ca="1" si="114"/>
        <v>2836.7101694133958</v>
      </c>
      <c r="X639" s="4">
        <f t="shared" si="108"/>
        <v>-1384.31</v>
      </c>
      <c r="Y639" s="13">
        <f t="shared" si="109"/>
        <v>-0.51905136857892764</v>
      </c>
    </row>
    <row r="640" spans="1:25" x14ac:dyDescent="0.3">
      <c r="A640" s="12" t="s">
        <v>1322</v>
      </c>
      <c r="B640" s="7">
        <v>45266</v>
      </c>
      <c r="C640" s="4" t="s">
        <v>1323</v>
      </c>
      <c r="D640" s="4" t="s">
        <v>50</v>
      </c>
      <c r="E640" s="4">
        <v>27213</v>
      </c>
      <c r="F640" s="4">
        <v>23.5</v>
      </c>
      <c r="G640" s="4">
        <v>60</v>
      </c>
      <c r="H640" s="4" t="s">
        <v>81</v>
      </c>
      <c r="I640" s="4" t="s">
        <v>20</v>
      </c>
      <c r="J640" s="4" t="s">
        <v>28</v>
      </c>
      <c r="K640" s="4">
        <v>122876</v>
      </c>
      <c r="L640" s="4" t="s">
        <v>22</v>
      </c>
      <c r="M640" s="4">
        <v>0.41</v>
      </c>
      <c r="N640" s="4">
        <v>0.62</v>
      </c>
      <c r="O640" s="4">
        <v>9805.16</v>
      </c>
      <c r="P640" s="4">
        <v>8501.7099999999991</v>
      </c>
      <c r="Q640" s="6">
        <f t="shared" si="110"/>
        <v>774.98490379881309</v>
      </c>
      <c r="R640" s="6">
        <f t="shared" si="103"/>
        <v>19286.094227928785</v>
      </c>
      <c r="S640" s="4">
        <f t="shared" si="104"/>
        <v>43891.93548387097</v>
      </c>
      <c r="T640" s="4">
        <f t="shared" si="105"/>
        <v>10239.666666666666</v>
      </c>
      <c r="U640" s="4">
        <f t="shared" si="106"/>
        <v>4198.2633333333324</v>
      </c>
      <c r="V640" s="4">
        <f t="shared" ca="1" si="107"/>
        <v>27</v>
      </c>
      <c r="W640" s="20">
        <v>0</v>
      </c>
      <c r="X640" s="4">
        <f t="shared" si="108"/>
        <v>-8906.130000000001</v>
      </c>
      <c r="Y640" s="13">
        <f t="shared" si="109"/>
        <v>-0.32727483188182122</v>
      </c>
    </row>
    <row r="641" spans="1:25" x14ac:dyDescent="0.3">
      <c r="A641" s="12" t="s">
        <v>1324</v>
      </c>
      <c r="B641" s="7">
        <v>44742</v>
      </c>
      <c r="C641" s="4" t="s">
        <v>1325</v>
      </c>
      <c r="D641" s="4" t="s">
        <v>65</v>
      </c>
      <c r="E641" s="4">
        <v>5114</v>
      </c>
      <c r="F641" s="4">
        <v>13.3</v>
      </c>
      <c r="G641" s="4">
        <v>36</v>
      </c>
      <c r="H641" s="4" t="s">
        <v>26</v>
      </c>
      <c r="I641" s="4" t="s">
        <v>20</v>
      </c>
      <c r="J641" s="4" t="s">
        <v>37</v>
      </c>
      <c r="K641" s="4">
        <v>30336</v>
      </c>
      <c r="L641" s="4" t="s">
        <v>22</v>
      </c>
      <c r="M641" s="4">
        <v>0.5</v>
      </c>
      <c r="N641" s="4">
        <v>0.69</v>
      </c>
      <c r="O641" s="4">
        <v>260.63</v>
      </c>
      <c r="P641" s="4">
        <v>0</v>
      </c>
      <c r="Q641" s="6">
        <f t="shared" si="110"/>
        <v>173.05076530700595</v>
      </c>
      <c r="R641" s="6">
        <f t="shared" si="103"/>
        <v>1115.8275510522144</v>
      </c>
      <c r="S641" s="4">
        <f t="shared" si="104"/>
        <v>7411.594202898551</v>
      </c>
      <c r="T641" s="4">
        <f t="shared" si="105"/>
        <v>2528</v>
      </c>
      <c r="U641" s="4">
        <f t="shared" si="106"/>
        <v>1264</v>
      </c>
      <c r="V641" s="4">
        <f t="shared" ca="1" si="107"/>
        <v>44</v>
      </c>
      <c r="W641" s="20">
        <f ca="1">V641*Q641</f>
        <v>7614.2336735082617</v>
      </c>
      <c r="X641" s="4">
        <f t="shared" si="108"/>
        <v>-4853.37</v>
      </c>
      <c r="Y641" s="13">
        <f t="shared" si="109"/>
        <v>-0.94903597966366837</v>
      </c>
    </row>
    <row r="642" spans="1:25" x14ac:dyDescent="0.3">
      <c r="A642" s="12" t="s">
        <v>1326</v>
      </c>
      <c r="B642" s="7">
        <v>44990</v>
      </c>
      <c r="C642" s="4" t="s">
        <v>1327</v>
      </c>
      <c r="D642" s="4" t="s">
        <v>50</v>
      </c>
      <c r="E642" s="4">
        <v>37321</v>
      </c>
      <c r="F642" s="4">
        <v>12.9</v>
      </c>
      <c r="G642" s="4">
        <v>60</v>
      </c>
      <c r="H642" s="4" t="s">
        <v>19</v>
      </c>
      <c r="I642" s="4" t="s">
        <v>41</v>
      </c>
      <c r="J642" s="4" t="s">
        <v>28</v>
      </c>
      <c r="K642" s="4">
        <v>72933</v>
      </c>
      <c r="L642" s="4" t="s">
        <v>22</v>
      </c>
      <c r="M642" s="4">
        <v>0.1</v>
      </c>
      <c r="N642" s="4">
        <v>0.54</v>
      </c>
      <c r="O642" s="4">
        <v>42135.41</v>
      </c>
      <c r="P642" s="4">
        <v>0</v>
      </c>
      <c r="Q642" s="6">
        <f t="shared" si="110"/>
        <v>847.25816335971592</v>
      </c>
      <c r="R642" s="6">
        <f t="shared" ref="R642:R705" si="115">(Q642*G642)-E642</f>
        <v>13514.489801582953</v>
      </c>
      <c r="S642" s="4">
        <f t="shared" ref="S642:S705" si="116">E642 / N642</f>
        <v>69112.962962962964</v>
      </c>
      <c r="T642" s="4">
        <f t="shared" ref="T642:T705" si="117">K642/12</f>
        <v>6077.75</v>
      </c>
      <c r="U642" s="4">
        <f t="shared" ref="U642:U705" si="118">M642*T642</f>
        <v>607.77499999999998</v>
      </c>
      <c r="V642" s="4">
        <f t="shared" ref="V642:V705" ca="1" si="119">DATEDIF(B642, TODAY(), "m")</f>
        <v>36</v>
      </c>
      <c r="W642" s="20">
        <f ca="1">V642*Q642</f>
        <v>30501.293880949772</v>
      </c>
      <c r="X642" s="4">
        <f t="shared" ref="X642:X705" si="120">(O642 + P642) - E642</f>
        <v>4814.4100000000035</v>
      </c>
      <c r="Y642" s="13">
        <f t="shared" ref="Y642:Y705" si="121">(X642/E642)</f>
        <v>0.12900002679456615</v>
      </c>
    </row>
    <row r="643" spans="1:25" x14ac:dyDescent="0.3">
      <c r="A643" s="12" t="s">
        <v>1328</v>
      </c>
      <c r="B643" s="7">
        <v>44445</v>
      </c>
      <c r="C643" s="4" t="s">
        <v>1329</v>
      </c>
      <c r="D643" s="4" t="s">
        <v>40</v>
      </c>
      <c r="E643" s="4">
        <v>8761</v>
      </c>
      <c r="F643" s="4">
        <v>11.3</v>
      </c>
      <c r="G643" s="4">
        <v>36</v>
      </c>
      <c r="H643" s="4" t="s">
        <v>19</v>
      </c>
      <c r="I643" s="4" t="s">
        <v>20</v>
      </c>
      <c r="J643" s="4" t="s">
        <v>28</v>
      </c>
      <c r="K643" s="4">
        <v>114899</v>
      </c>
      <c r="L643" s="4" t="s">
        <v>22</v>
      </c>
      <c r="M643" s="4">
        <v>0.39</v>
      </c>
      <c r="N643" s="4">
        <v>0.84</v>
      </c>
      <c r="O643" s="4">
        <v>9750.99</v>
      </c>
      <c r="P643" s="4">
        <v>0</v>
      </c>
      <c r="Q643" s="6">
        <f t="shared" ref="Q643:Q706" si="122">PMT(F643/100/12, G643, -E643)</f>
        <v>288.07016876127807</v>
      </c>
      <c r="R643" s="6">
        <f t="shared" si="115"/>
        <v>1609.5260754060109</v>
      </c>
      <c r="S643" s="4">
        <f t="shared" si="116"/>
        <v>10429.761904761905</v>
      </c>
      <c r="T643" s="4">
        <f t="shared" si="117"/>
        <v>9574.9166666666661</v>
      </c>
      <c r="U643" s="4">
        <f t="shared" si="118"/>
        <v>3734.2174999999997</v>
      </c>
      <c r="V643" s="4">
        <f t="shared" ca="1" si="119"/>
        <v>54</v>
      </c>
      <c r="W643" s="20">
        <f ca="1">V643*Q643</f>
        <v>15555.789113109016</v>
      </c>
      <c r="X643" s="4">
        <f t="shared" si="120"/>
        <v>989.98999999999978</v>
      </c>
      <c r="Y643" s="13">
        <f t="shared" si="121"/>
        <v>0.11299965757333635</v>
      </c>
    </row>
    <row r="644" spans="1:25" x14ac:dyDescent="0.3">
      <c r="A644" s="12" t="s">
        <v>1330</v>
      </c>
      <c r="B644" s="7">
        <v>44243</v>
      </c>
      <c r="C644" s="4" t="s">
        <v>1331</v>
      </c>
      <c r="D644" s="4" t="s">
        <v>46</v>
      </c>
      <c r="E644" s="4">
        <v>32116</v>
      </c>
      <c r="F644" s="4">
        <v>7.9</v>
      </c>
      <c r="G644" s="4">
        <v>36</v>
      </c>
      <c r="H644" s="4" t="s">
        <v>60</v>
      </c>
      <c r="I644" s="4" t="s">
        <v>20</v>
      </c>
      <c r="J644" s="4" t="s">
        <v>37</v>
      </c>
      <c r="K644" s="4">
        <v>75536</v>
      </c>
      <c r="L644" s="4" t="s">
        <v>22</v>
      </c>
      <c r="M644" s="4">
        <v>0.33</v>
      </c>
      <c r="N644" s="4">
        <v>0.51</v>
      </c>
      <c r="O644" s="4">
        <v>0</v>
      </c>
      <c r="P644" s="4">
        <v>0</v>
      </c>
      <c r="Q644" s="6">
        <f t="shared" si="122"/>
        <v>1004.917796973756</v>
      </c>
      <c r="R644" s="6">
        <f t="shared" si="115"/>
        <v>4061.0406910552192</v>
      </c>
      <c r="S644" s="4">
        <f t="shared" si="116"/>
        <v>62972.549019607839</v>
      </c>
      <c r="T644" s="4">
        <f t="shared" si="117"/>
        <v>6294.666666666667</v>
      </c>
      <c r="U644" s="4">
        <f t="shared" si="118"/>
        <v>2077.2400000000002</v>
      </c>
      <c r="V644" s="4">
        <f t="shared" ca="1" si="119"/>
        <v>61</v>
      </c>
      <c r="W644" s="20">
        <f ca="1">V644*Q644</f>
        <v>61299.98561539912</v>
      </c>
      <c r="X644" s="4">
        <f t="shared" si="120"/>
        <v>-32116</v>
      </c>
      <c r="Y644" s="13">
        <f t="shared" si="121"/>
        <v>-1</v>
      </c>
    </row>
    <row r="645" spans="1:25" x14ac:dyDescent="0.3">
      <c r="A645" s="12" t="s">
        <v>1332</v>
      </c>
      <c r="B645" s="7">
        <v>44410</v>
      </c>
      <c r="C645" s="4" t="s">
        <v>1333</v>
      </c>
      <c r="D645" s="4" t="s">
        <v>50</v>
      </c>
      <c r="E645" s="4">
        <v>34768</v>
      </c>
      <c r="F645" s="4">
        <v>14.8</v>
      </c>
      <c r="G645" s="4">
        <v>36</v>
      </c>
      <c r="H645" s="4" t="s">
        <v>60</v>
      </c>
      <c r="I645" s="4" t="s">
        <v>20</v>
      </c>
      <c r="J645" s="4" t="s">
        <v>32</v>
      </c>
      <c r="K645" s="4">
        <v>99504</v>
      </c>
      <c r="L645" s="4" t="s">
        <v>33</v>
      </c>
      <c r="M645" s="4">
        <v>0.27</v>
      </c>
      <c r="N645" s="4">
        <v>0.79</v>
      </c>
      <c r="O645" s="4">
        <v>0</v>
      </c>
      <c r="P645" s="4">
        <v>0</v>
      </c>
      <c r="Q645" s="6">
        <f t="shared" si="122"/>
        <v>1201.8417203480126</v>
      </c>
      <c r="R645" s="6">
        <f t="shared" si="115"/>
        <v>8498.3019325284549</v>
      </c>
      <c r="S645" s="4">
        <f t="shared" si="116"/>
        <v>44010.126582278477</v>
      </c>
      <c r="T645" s="4">
        <f t="shared" si="117"/>
        <v>8292</v>
      </c>
      <c r="U645" s="4">
        <f t="shared" si="118"/>
        <v>2238.84</v>
      </c>
      <c r="V645" s="4">
        <f t="shared" ca="1" si="119"/>
        <v>55</v>
      </c>
      <c r="W645" s="20">
        <f ca="1">V645*Q645</f>
        <v>66101.294619140695</v>
      </c>
      <c r="X645" s="4">
        <f t="shared" si="120"/>
        <v>-34768</v>
      </c>
      <c r="Y645" s="13">
        <f t="shared" si="121"/>
        <v>-1</v>
      </c>
    </row>
    <row r="646" spans="1:25" x14ac:dyDescent="0.3">
      <c r="A646" s="12" t="s">
        <v>1334</v>
      </c>
      <c r="B646" s="7">
        <v>44435</v>
      </c>
      <c r="C646" s="4" t="s">
        <v>1335</v>
      </c>
      <c r="D646" s="4" t="s">
        <v>65</v>
      </c>
      <c r="E646" s="4">
        <v>26426</v>
      </c>
      <c r="F646" s="4">
        <v>7.6</v>
      </c>
      <c r="G646" s="4">
        <v>36</v>
      </c>
      <c r="H646" s="4" t="s">
        <v>81</v>
      </c>
      <c r="I646" s="4" t="s">
        <v>57</v>
      </c>
      <c r="J646" s="4" t="s">
        <v>47</v>
      </c>
      <c r="K646" s="4">
        <v>129214</v>
      </c>
      <c r="L646" s="4" t="s">
        <v>33</v>
      </c>
      <c r="M646" s="4">
        <v>0.15</v>
      </c>
      <c r="N646" s="4">
        <v>0.57999999999999996</v>
      </c>
      <c r="O646" s="4">
        <v>5657.08</v>
      </c>
      <c r="P646" s="4">
        <v>8575.9699999999993</v>
      </c>
      <c r="Q646" s="6">
        <f t="shared" si="122"/>
        <v>823.22712769011957</v>
      </c>
      <c r="R646" s="6">
        <f t="shared" si="115"/>
        <v>3210.1765968443033</v>
      </c>
      <c r="S646" s="4">
        <f t="shared" si="116"/>
        <v>45562.068965517246</v>
      </c>
      <c r="T646" s="4">
        <f t="shared" si="117"/>
        <v>10767.833333333334</v>
      </c>
      <c r="U646" s="4">
        <f t="shared" si="118"/>
        <v>1615.175</v>
      </c>
      <c r="V646" s="4">
        <f t="shared" ca="1" si="119"/>
        <v>54</v>
      </c>
      <c r="W646" s="20">
        <v>0</v>
      </c>
      <c r="X646" s="4">
        <f t="shared" si="120"/>
        <v>-12192.95</v>
      </c>
      <c r="Y646" s="13">
        <f t="shared" si="121"/>
        <v>-0.46139975781427384</v>
      </c>
    </row>
    <row r="647" spans="1:25" x14ac:dyDescent="0.3">
      <c r="A647" s="12" t="s">
        <v>1336</v>
      </c>
      <c r="B647" s="7">
        <v>45276</v>
      </c>
      <c r="C647" s="4" t="s">
        <v>1337</v>
      </c>
      <c r="D647" s="4" t="s">
        <v>65</v>
      </c>
      <c r="E647" s="4">
        <v>18772</v>
      </c>
      <c r="F647" s="4">
        <v>21.7</v>
      </c>
      <c r="G647" s="4">
        <v>60</v>
      </c>
      <c r="H647" s="4" t="s">
        <v>26</v>
      </c>
      <c r="I647" s="4" t="s">
        <v>20</v>
      </c>
      <c r="J647" s="4" t="s">
        <v>37</v>
      </c>
      <c r="K647" s="4">
        <v>81148</v>
      </c>
      <c r="L647" s="4" t="s">
        <v>33</v>
      </c>
      <c r="M647" s="4">
        <v>0.26</v>
      </c>
      <c r="N647" s="4">
        <v>0.6</v>
      </c>
      <c r="O647" s="4">
        <v>7853.16</v>
      </c>
      <c r="P647" s="4">
        <v>0</v>
      </c>
      <c r="Q647" s="6">
        <f t="shared" si="122"/>
        <v>515.26535309431733</v>
      </c>
      <c r="R647" s="6">
        <f t="shared" si="115"/>
        <v>12143.921185659041</v>
      </c>
      <c r="S647" s="4">
        <f t="shared" si="116"/>
        <v>31286.666666666668</v>
      </c>
      <c r="T647" s="4">
        <f t="shared" si="117"/>
        <v>6762.333333333333</v>
      </c>
      <c r="U647" s="4">
        <f t="shared" si="118"/>
        <v>1758.2066666666667</v>
      </c>
      <c r="V647" s="4">
        <f t="shared" ca="1" si="119"/>
        <v>27</v>
      </c>
      <c r="W647" s="20">
        <f t="shared" ref="W647:W656" ca="1" si="123">V647*Q647</f>
        <v>13912.164533546567</v>
      </c>
      <c r="X647" s="4">
        <f t="shared" si="120"/>
        <v>-10918.84</v>
      </c>
      <c r="Y647" s="13">
        <f t="shared" si="121"/>
        <v>-0.58165565736202851</v>
      </c>
    </row>
    <row r="648" spans="1:25" x14ac:dyDescent="0.3">
      <c r="A648" s="12" t="s">
        <v>1338</v>
      </c>
      <c r="B648" s="7">
        <v>44546</v>
      </c>
      <c r="C648" s="4" t="s">
        <v>1339</v>
      </c>
      <c r="D648" s="4" t="s">
        <v>50</v>
      </c>
      <c r="E648" s="4">
        <v>39218</v>
      </c>
      <c r="F648" s="4">
        <v>12.4</v>
      </c>
      <c r="G648" s="4">
        <v>36</v>
      </c>
      <c r="H648" s="4" t="s">
        <v>19</v>
      </c>
      <c r="I648" s="4" t="s">
        <v>73</v>
      </c>
      <c r="J648" s="4" t="s">
        <v>37</v>
      </c>
      <c r="K648" s="4">
        <v>143936</v>
      </c>
      <c r="L648" s="4" t="s">
        <v>29</v>
      </c>
      <c r="M648" s="4">
        <v>0.24</v>
      </c>
      <c r="N648" s="4">
        <v>0.79</v>
      </c>
      <c r="O648" s="4">
        <v>44081.03</v>
      </c>
      <c r="P648" s="4">
        <v>0</v>
      </c>
      <c r="Q648" s="6">
        <f t="shared" si="122"/>
        <v>1310.1040176656984</v>
      </c>
      <c r="R648" s="6">
        <f t="shared" si="115"/>
        <v>7945.744635965144</v>
      </c>
      <c r="S648" s="4">
        <f t="shared" si="116"/>
        <v>49643.037974683539</v>
      </c>
      <c r="T648" s="4">
        <f t="shared" si="117"/>
        <v>11994.666666666666</v>
      </c>
      <c r="U648" s="4">
        <f t="shared" si="118"/>
        <v>2878.72</v>
      </c>
      <c r="V648" s="4">
        <f t="shared" ca="1" si="119"/>
        <v>51</v>
      </c>
      <c r="W648" s="20">
        <f t="shared" ca="1" si="123"/>
        <v>66815.304900950621</v>
      </c>
      <c r="X648" s="4">
        <f t="shared" si="120"/>
        <v>4863.0299999999988</v>
      </c>
      <c r="Y648" s="13">
        <f t="shared" si="121"/>
        <v>0.12399994900300879</v>
      </c>
    </row>
    <row r="649" spans="1:25" x14ac:dyDescent="0.3">
      <c r="A649" s="12" t="s">
        <v>1340</v>
      </c>
      <c r="B649" s="7">
        <v>44303</v>
      </c>
      <c r="C649" s="4" t="s">
        <v>1341</v>
      </c>
      <c r="D649" s="4" t="s">
        <v>25</v>
      </c>
      <c r="E649" s="4">
        <v>4712</v>
      </c>
      <c r="F649" s="4">
        <v>12.5</v>
      </c>
      <c r="G649" s="4">
        <v>36</v>
      </c>
      <c r="H649" s="4" t="s">
        <v>26</v>
      </c>
      <c r="I649" s="4" t="s">
        <v>73</v>
      </c>
      <c r="J649" s="4" t="s">
        <v>28</v>
      </c>
      <c r="K649" s="4">
        <v>46279</v>
      </c>
      <c r="L649" s="4" t="s">
        <v>22</v>
      </c>
      <c r="M649" s="4">
        <v>0.22</v>
      </c>
      <c r="N649" s="4">
        <v>0.95</v>
      </c>
      <c r="O649" s="4">
        <v>1012.2</v>
      </c>
      <c r="P649" s="4">
        <v>0</v>
      </c>
      <c r="Q649" s="6">
        <f t="shared" si="122"/>
        <v>157.63348371748828</v>
      </c>
      <c r="R649" s="6">
        <f t="shared" si="115"/>
        <v>962.80541382957745</v>
      </c>
      <c r="S649" s="4">
        <f t="shared" si="116"/>
        <v>4960</v>
      </c>
      <c r="T649" s="4">
        <f t="shared" si="117"/>
        <v>3856.5833333333335</v>
      </c>
      <c r="U649" s="4">
        <f t="shared" si="118"/>
        <v>848.44833333333338</v>
      </c>
      <c r="V649" s="4">
        <f t="shared" ca="1" si="119"/>
        <v>59</v>
      </c>
      <c r="W649" s="20">
        <f t="shared" ca="1" si="123"/>
        <v>9300.3755393318079</v>
      </c>
      <c r="X649" s="4">
        <f t="shared" si="120"/>
        <v>-3699.8</v>
      </c>
      <c r="Y649" s="13">
        <f t="shared" si="121"/>
        <v>-0.7851867572156197</v>
      </c>
    </row>
    <row r="650" spans="1:25" x14ac:dyDescent="0.3">
      <c r="A650" s="12" t="s">
        <v>1342</v>
      </c>
      <c r="B650" s="7">
        <v>45027</v>
      </c>
      <c r="C650" s="4" t="s">
        <v>1343</v>
      </c>
      <c r="D650" s="4" t="s">
        <v>72</v>
      </c>
      <c r="E650" s="4">
        <v>2367</v>
      </c>
      <c r="F650" s="4">
        <v>14.5</v>
      </c>
      <c r="G650" s="4">
        <v>60</v>
      </c>
      <c r="H650" s="4" t="s">
        <v>19</v>
      </c>
      <c r="I650" s="4" t="s">
        <v>36</v>
      </c>
      <c r="J650" s="4" t="s">
        <v>28</v>
      </c>
      <c r="K650" s="4">
        <v>98665</v>
      </c>
      <c r="L650" s="4" t="s">
        <v>22</v>
      </c>
      <c r="M650" s="4">
        <v>0.39</v>
      </c>
      <c r="N650" s="4">
        <v>0.85</v>
      </c>
      <c r="O650" s="4">
        <v>2710.22</v>
      </c>
      <c r="P650" s="4">
        <v>0</v>
      </c>
      <c r="Q650" s="6">
        <f t="shared" si="122"/>
        <v>55.691441318391043</v>
      </c>
      <c r="R650" s="6">
        <f t="shared" si="115"/>
        <v>974.48647910346244</v>
      </c>
      <c r="S650" s="4">
        <f t="shared" si="116"/>
        <v>2784.7058823529414</v>
      </c>
      <c r="T650" s="4">
        <f t="shared" si="117"/>
        <v>8222.0833333333339</v>
      </c>
      <c r="U650" s="4">
        <f t="shared" si="118"/>
        <v>3206.6125000000002</v>
      </c>
      <c r="V650" s="4">
        <f t="shared" ca="1" si="119"/>
        <v>35</v>
      </c>
      <c r="W650" s="20">
        <f t="shared" ca="1" si="123"/>
        <v>1949.2004461436866</v>
      </c>
      <c r="X650" s="4">
        <f t="shared" si="120"/>
        <v>343.2199999999998</v>
      </c>
      <c r="Y650" s="13">
        <f t="shared" si="121"/>
        <v>0.14500211237853816</v>
      </c>
    </row>
    <row r="651" spans="1:25" x14ac:dyDescent="0.3">
      <c r="A651" s="12" t="s">
        <v>1344</v>
      </c>
      <c r="B651" s="7">
        <v>44244</v>
      </c>
      <c r="C651" s="4" t="s">
        <v>1345</v>
      </c>
      <c r="D651" s="4" t="s">
        <v>18</v>
      </c>
      <c r="E651" s="4">
        <v>27200</v>
      </c>
      <c r="F651" s="4">
        <v>13.9</v>
      </c>
      <c r="G651" s="4">
        <v>36</v>
      </c>
      <c r="H651" s="4" t="s">
        <v>19</v>
      </c>
      <c r="I651" s="4" t="s">
        <v>20</v>
      </c>
      <c r="J651" s="4" t="s">
        <v>47</v>
      </c>
      <c r="K651" s="4">
        <v>133751</v>
      </c>
      <c r="L651" s="4" t="s">
        <v>33</v>
      </c>
      <c r="M651" s="4">
        <v>0.38</v>
      </c>
      <c r="N651" s="4">
        <v>0.6</v>
      </c>
      <c r="O651" s="4">
        <v>30980.799999999999</v>
      </c>
      <c r="P651" s="4">
        <v>0</v>
      </c>
      <c r="Q651" s="6">
        <f t="shared" si="122"/>
        <v>928.31099755584387</v>
      </c>
      <c r="R651" s="6">
        <f t="shared" si="115"/>
        <v>6219.1959120103784</v>
      </c>
      <c r="S651" s="4">
        <f t="shared" si="116"/>
        <v>45333.333333333336</v>
      </c>
      <c r="T651" s="4">
        <f t="shared" si="117"/>
        <v>11145.916666666666</v>
      </c>
      <c r="U651" s="4">
        <f t="shared" si="118"/>
        <v>4235.4483333333328</v>
      </c>
      <c r="V651" s="4">
        <f t="shared" ca="1" si="119"/>
        <v>61</v>
      </c>
      <c r="W651" s="20">
        <f t="shared" ca="1" si="123"/>
        <v>56626.970850906473</v>
      </c>
      <c r="X651" s="4">
        <f t="shared" si="120"/>
        <v>3780.7999999999993</v>
      </c>
      <c r="Y651" s="13">
        <f t="shared" si="121"/>
        <v>0.13899999999999998</v>
      </c>
    </row>
    <row r="652" spans="1:25" x14ac:dyDescent="0.3">
      <c r="A652" s="12" t="s">
        <v>1346</v>
      </c>
      <c r="B652" s="7">
        <v>44533</v>
      </c>
      <c r="C652" s="4" t="s">
        <v>1347</v>
      </c>
      <c r="D652" s="4" t="s">
        <v>56</v>
      </c>
      <c r="E652" s="4">
        <v>4726</v>
      </c>
      <c r="F652" s="4">
        <v>24.9</v>
      </c>
      <c r="G652" s="4">
        <v>36</v>
      </c>
      <c r="H652" s="4" t="s">
        <v>26</v>
      </c>
      <c r="I652" s="4" t="s">
        <v>57</v>
      </c>
      <c r="J652" s="4" t="s">
        <v>28</v>
      </c>
      <c r="K652" s="4">
        <v>134433</v>
      </c>
      <c r="L652" s="4" t="s">
        <v>22</v>
      </c>
      <c r="M652" s="4">
        <v>0.34</v>
      </c>
      <c r="N652" s="4">
        <v>0.57999999999999996</v>
      </c>
      <c r="O652" s="4">
        <v>1515.61</v>
      </c>
      <c r="P652" s="4">
        <v>0</v>
      </c>
      <c r="Q652" s="6">
        <f t="shared" si="122"/>
        <v>187.65507529115848</v>
      </c>
      <c r="R652" s="6">
        <f t="shared" si="115"/>
        <v>2029.5827104817054</v>
      </c>
      <c r="S652" s="4">
        <f t="shared" si="116"/>
        <v>8148.2758620689665</v>
      </c>
      <c r="T652" s="4">
        <f t="shared" si="117"/>
        <v>11202.75</v>
      </c>
      <c r="U652" s="4">
        <f t="shared" si="118"/>
        <v>3808.9350000000004</v>
      </c>
      <c r="V652" s="4">
        <f t="shared" ca="1" si="119"/>
        <v>51</v>
      </c>
      <c r="W652" s="20">
        <f t="shared" ca="1" si="123"/>
        <v>9570.4088398490821</v>
      </c>
      <c r="X652" s="4">
        <f t="shared" si="120"/>
        <v>-3210.3900000000003</v>
      </c>
      <c r="Y652" s="13">
        <f t="shared" si="121"/>
        <v>-0.67930385103681767</v>
      </c>
    </row>
    <row r="653" spans="1:25" x14ac:dyDescent="0.3">
      <c r="A653" s="12" t="s">
        <v>1348</v>
      </c>
      <c r="B653" s="7">
        <v>45246</v>
      </c>
      <c r="C653" s="4" t="s">
        <v>1349</v>
      </c>
      <c r="D653" s="4" t="s">
        <v>46</v>
      </c>
      <c r="E653" s="4">
        <v>24616</v>
      </c>
      <c r="F653" s="4">
        <v>15.9</v>
      </c>
      <c r="G653" s="4">
        <v>36</v>
      </c>
      <c r="H653" s="4" t="s">
        <v>19</v>
      </c>
      <c r="I653" s="4" t="s">
        <v>73</v>
      </c>
      <c r="J653" s="4" t="s">
        <v>21</v>
      </c>
      <c r="K653" s="4">
        <v>101386</v>
      </c>
      <c r="L653" s="4" t="s">
        <v>29</v>
      </c>
      <c r="M653" s="4">
        <v>0.48</v>
      </c>
      <c r="N653" s="4">
        <v>0.89</v>
      </c>
      <c r="O653" s="4">
        <v>28529.94</v>
      </c>
      <c r="P653" s="4">
        <v>0</v>
      </c>
      <c r="Q653" s="6">
        <f t="shared" si="122"/>
        <v>864.21071904235089</v>
      </c>
      <c r="R653" s="6">
        <f t="shared" si="115"/>
        <v>6495.5858855246333</v>
      </c>
      <c r="S653" s="4">
        <f t="shared" si="116"/>
        <v>27658.426966292136</v>
      </c>
      <c r="T653" s="4">
        <f t="shared" si="117"/>
        <v>8448.8333333333339</v>
      </c>
      <c r="U653" s="4">
        <f t="shared" si="118"/>
        <v>4055.44</v>
      </c>
      <c r="V653" s="4">
        <f t="shared" ca="1" si="119"/>
        <v>28</v>
      </c>
      <c r="W653" s="20">
        <f t="shared" ca="1" si="123"/>
        <v>24197.900133185824</v>
      </c>
      <c r="X653" s="4">
        <f t="shared" si="120"/>
        <v>3913.9399999999987</v>
      </c>
      <c r="Y653" s="13">
        <f t="shared" si="121"/>
        <v>0.15899983750406235</v>
      </c>
    </row>
    <row r="654" spans="1:25" x14ac:dyDescent="0.3">
      <c r="A654" s="12" t="s">
        <v>1350</v>
      </c>
      <c r="B654" s="7">
        <v>45000</v>
      </c>
      <c r="C654" s="4" t="s">
        <v>1351</v>
      </c>
      <c r="D654" s="4" t="s">
        <v>18</v>
      </c>
      <c r="E654" s="4">
        <v>28723</v>
      </c>
      <c r="F654" s="4">
        <v>6.8</v>
      </c>
      <c r="G654" s="4">
        <v>36</v>
      </c>
      <c r="H654" s="4" t="s">
        <v>19</v>
      </c>
      <c r="I654" s="4" t="s">
        <v>73</v>
      </c>
      <c r="J654" s="4" t="s">
        <v>28</v>
      </c>
      <c r="K654" s="4">
        <v>116124</v>
      </c>
      <c r="L654" s="4" t="s">
        <v>22</v>
      </c>
      <c r="M654" s="4">
        <v>0.24</v>
      </c>
      <c r="N654" s="4">
        <v>0.7</v>
      </c>
      <c r="O654" s="4">
        <v>30676.16</v>
      </c>
      <c r="P654" s="4">
        <v>0</v>
      </c>
      <c r="Q654" s="6">
        <f t="shared" si="122"/>
        <v>884.25869287788225</v>
      </c>
      <c r="R654" s="6">
        <f t="shared" si="115"/>
        <v>3110.3129436037598</v>
      </c>
      <c r="S654" s="4">
        <f t="shared" si="116"/>
        <v>41032.857142857145</v>
      </c>
      <c r="T654" s="4">
        <f t="shared" si="117"/>
        <v>9677</v>
      </c>
      <c r="U654" s="4">
        <f t="shared" si="118"/>
        <v>2322.48</v>
      </c>
      <c r="V654" s="4">
        <f t="shared" ca="1" si="119"/>
        <v>36</v>
      </c>
      <c r="W654" s="20">
        <f t="shared" ca="1" si="123"/>
        <v>31833.31294360376</v>
      </c>
      <c r="X654" s="4">
        <f t="shared" si="120"/>
        <v>1953.1599999999999</v>
      </c>
      <c r="Y654" s="13">
        <f t="shared" si="121"/>
        <v>6.7999860738780768E-2</v>
      </c>
    </row>
    <row r="655" spans="1:25" x14ac:dyDescent="0.3">
      <c r="A655" s="12" t="s">
        <v>1352</v>
      </c>
      <c r="B655" s="7">
        <v>44204</v>
      </c>
      <c r="C655" s="4" t="s">
        <v>1353</v>
      </c>
      <c r="D655" s="4" t="s">
        <v>53</v>
      </c>
      <c r="E655" s="4">
        <v>38574</v>
      </c>
      <c r="F655" s="4">
        <v>17.100000000000001</v>
      </c>
      <c r="G655" s="4">
        <v>60</v>
      </c>
      <c r="H655" s="4" t="s">
        <v>19</v>
      </c>
      <c r="I655" s="4" t="s">
        <v>73</v>
      </c>
      <c r="J655" s="4" t="s">
        <v>28</v>
      </c>
      <c r="K655" s="4">
        <v>135750</v>
      </c>
      <c r="L655" s="4" t="s">
        <v>22</v>
      </c>
      <c r="M655" s="4">
        <v>0.2</v>
      </c>
      <c r="N655" s="4">
        <v>0.56000000000000005</v>
      </c>
      <c r="O655" s="4">
        <v>45170.15</v>
      </c>
      <c r="P655" s="4">
        <v>0</v>
      </c>
      <c r="Q655" s="6">
        <f t="shared" si="122"/>
        <v>960.7385839068877</v>
      </c>
      <c r="R655" s="6">
        <f t="shared" si="115"/>
        <v>19070.315034413259</v>
      </c>
      <c r="S655" s="4">
        <f t="shared" si="116"/>
        <v>68882.142857142855</v>
      </c>
      <c r="T655" s="4">
        <f t="shared" si="117"/>
        <v>11312.5</v>
      </c>
      <c r="U655" s="4">
        <f t="shared" si="118"/>
        <v>2262.5</v>
      </c>
      <c r="V655" s="4">
        <f t="shared" ca="1" si="119"/>
        <v>62</v>
      </c>
      <c r="W655" s="20">
        <f t="shared" ca="1" si="123"/>
        <v>59565.792202227036</v>
      </c>
      <c r="X655" s="4">
        <f t="shared" si="120"/>
        <v>6596.1500000000015</v>
      </c>
      <c r="Y655" s="13">
        <f t="shared" si="121"/>
        <v>0.17099989630320944</v>
      </c>
    </row>
    <row r="656" spans="1:25" x14ac:dyDescent="0.3">
      <c r="A656" s="12" t="s">
        <v>1354</v>
      </c>
      <c r="B656" s="7">
        <v>44821</v>
      </c>
      <c r="C656" s="4" t="s">
        <v>1355</v>
      </c>
      <c r="D656" s="4" t="s">
        <v>53</v>
      </c>
      <c r="E656" s="4">
        <v>35958</v>
      </c>
      <c r="F656" s="4">
        <v>8</v>
      </c>
      <c r="G656" s="4">
        <v>36</v>
      </c>
      <c r="H656" s="4" t="s">
        <v>19</v>
      </c>
      <c r="I656" s="4" t="s">
        <v>84</v>
      </c>
      <c r="J656" s="4" t="s">
        <v>21</v>
      </c>
      <c r="K656" s="4">
        <v>107485</v>
      </c>
      <c r="L656" s="4" t="s">
        <v>29</v>
      </c>
      <c r="M656" s="4">
        <v>0.36</v>
      </c>
      <c r="N656" s="4">
        <v>0.89</v>
      </c>
      <c r="O656" s="4">
        <v>38834.639999999999</v>
      </c>
      <c r="P656" s="4">
        <v>0</v>
      </c>
      <c r="Q656" s="6">
        <f t="shared" si="122"/>
        <v>1126.7930292621304</v>
      </c>
      <c r="R656" s="6">
        <f t="shared" si="115"/>
        <v>4606.5490534366982</v>
      </c>
      <c r="S656" s="4">
        <f t="shared" si="116"/>
        <v>40402.247191011236</v>
      </c>
      <c r="T656" s="4">
        <f t="shared" si="117"/>
        <v>8957.0833333333339</v>
      </c>
      <c r="U656" s="4">
        <f t="shared" si="118"/>
        <v>3224.55</v>
      </c>
      <c r="V656" s="4">
        <f t="shared" ca="1" si="119"/>
        <v>42</v>
      </c>
      <c r="W656" s="20">
        <f t="shared" ca="1" si="123"/>
        <v>47325.307229009479</v>
      </c>
      <c r="X656" s="4">
        <f t="shared" si="120"/>
        <v>2876.6399999999994</v>
      </c>
      <c r="Y656" s="13">
        <f t="shared" si="121"/>
        <v>7.9999999999999988E-2</v>
      </c>
    </row>
    <row r="657" spans="1:25" x14ac:dyDescent="0.3">
      <c r="A657" s="12" t="s">
        <v>1356</v>
      </c>
      <c r="B657" s="7">
        <v>44915</v>
      </c>
      <c r="C657" s="4" t="s">
        <v>1357</v>
      </c>
      <c r="D657" s="4" t="s">
        <v>65</v>
      </c>
      <c r="E657" s="4">
        <v>10108</v>
      </c>
      <c r="F657" s="4">
        <v>5.6</v>
      </c>
      <c r="G657" s="4">
        <v>60</v>
      </c>
      <c r="H657" s="4" t="s">
        <v>81</v>
      </c>
      <c r="I657" s="4" t="s">
        <v>20</v>
      </c>
      <c r="J657" s="4" t="s">
        <v>47</v>
      </c>
      <c r="K657" s="4">
        <v>104055</v>
      </c>
      <c r="L657" s="4" t="s">
        <v>33</v>
      </c>
      <c r="M657" s="4">
        <v>0.18</v>
      </c>
      <c r="N657" s="4">
        <v>0.87</v>
      </c>
      <c r="O657" s="4">
        <v>2849.4</v>
      </c>
      <c r="P657" s="4">
        <v>2210.77</v>
      </c>
      <c r="Q657" s="6">
        <f t="shared" si="122"/>
        <v>193.5414470144274</v>
      </c>
      <c r="R657" s="6">
        <f t="shared" si="115"/>
        <v>1504.4868208656444</v>
      </c>
      <c r="S657" s="4">
        <f t="shared" si="116"/>
        <v>11618.3908045977</v>
      </c>
      <c r="T657" s="4">
        <f t="shared" si="117"/>
        <v>8671.25</v>
      </c>
      <c r="U657" s="4">
        <f t="shared" si="118"/>
        <v>1560.825</v>
      </c>
      <c r="V657" s="4">
        <f t="shared" ca="1" si="119"/>
        <v>38</v>
      </c>
      <c r="W657" s="20">
        <v>0</v>
      </c>
      <c r="X657" s="4">
        <f t="shared" si="120"/>
        <v>-5047.83</v>
      </c>
      <c r="Y657" s="13">
        <f t="shared" si="121"/>
        <v>-0.49938959240205777</v>
      </c>
    </row>
    <row r="658" spans="1:25" x14ac:dyDescent="0.3">
      <c r="A658" s="12" t="s">
        <v>1358</v>
      </c>
      <c r="B658" s="7">
        <v>44499</v>
      </c>
      <c r="C658" s="4" t="s">
        <v>1359</v>
      </c>
      <c r="D658" s="4" t="s">
        <v>53</v>
      </c>
      <c r="E658" s="4">
        <v>13178</v>
      </c>
      <c r="F658" s="4">
        <v>24.4</v>
      </c>
      <c r="G658" s="4">
        <v>60</v>
      </c>
      <c r="H658" s="4" t="s">
        <v>19</v>
      </c>
      <c r="I658" s="4" t="s">
        <v>84</v>
      </c>
      <c r="J658" s="4" t="s">
        <v>21</v>
      </c>
      <c r="K658" s="4">
        <v>121911</v>
      </c>
      <c r="L658" s="4" t="s">
        <v>33</v>
      </c>
      <c r="M658" s="4">
        <v>0.23</v>
      </c>
      <c r="N658" s="4">
        <v>0.94</v>
      </c>
      <c r="O658" s="4">
        <v>16393.43</v>
      </c>
      <c r="P658" s="4">
        <v>0</v>
      </c>
      <c r="Q658" s="6">
        <f t="shared" si="122"/>
        <v>382.1700312568621</v>
      </c>
      <c r="R658" s="6">
        <f t="shared" si="115"/>
        <v>9752.2018754117271</v>
      </c>
      <c r="S658" s="4">
        <f t="shared" si="116"/>
        <v>14019.148936170213</v>
      </c>
      <c r="T658" s="4">
        <f t="shared" si="117"/>
        <v>10159.25</v>
      </c>
      <c r="U658" s="4">
        <f t="shared" si="118"/>
        <v>2336.6275000000001</v>
      </c>
      <c r="V658" s="4">
        <f t="shared" ca="1" si="119"/>
        <v>52</v>
      </c>
      <c r="W658" s="20">
        <f t="shared" ref="W658:W669" ca="1" si="124">V658*Q658</f>
        <v>19872.841625356828</v>
      </c>
      <c r="X658" s="4">
        <f t="shared" si="120"/>
        <v>3215.4300000000003</v>
      </c>
      <c r="Y658" s="13">
        <f t="shared" si="121"/>
        <v>0.24399984823190168</v>
      </c>
    </row>
    <row r="659" spans="1:25" x14ac:dyDescent="0.3">
      <c r="A659" s="12" t="s">
        <v>1360</v>
      </c>
      <c r="B659" s="7">
        <v>44835</v>
      </c>
      <c r="C659" s="4" t="s">
        <v>1361</v>
      </c>
      <c r="D659" s="4" t="s">
        <v>25</v>
      </c>
      <c r="E659" s="4">
        <v>36643</v>
      </c>
      <c r="F659" s="4">
        <v>20.5</v>
      </c>
      <c r="G659" s="4">
        <v>36</v>
      </c>
      <c r="H659" s="4" t="s">
        <v>19</v>
      </c>
      <c r="I659" s="4" t="s">
        <v>73</v>
      </c>
      <c r="J659" s="4" t="s">
        <v>37</v>
      </c>
      <c r="K659" s="4">
        <v>128618</v>
      </c>
      <c r="L659" s="4" t="s">
        <v>22</v>
      </c>
      <c r="M659" s="4">
        <v>0.19</v>
      </c>
      <c r="N659" s="4">
        <v>0.91</v>
      </c>
      <c r="O659" s="4">
        <v>44154.82</v>
      </c>
      <c r="P659" s="4">
        <v>0</v>
      </c>
      <c r="Q659" s="6">
        <f t="shared" si="122"/>
        <v>1371.1384232391094</v>
      </c>
      <c r="R659" s="6">
        <f t="shared" si="115"/>
        <v>12717.983236607943</v>
      </c>
      <c r="S659" s="4">
        <f t="shared" si="116"/>
        <v>40267.032967032967</v>
      </c>
      <c r="T659" s="4">
        <f t="shared" si="117"/>
        <v>10718.166666666666</v>
      </c>
      <c r="U659" s="4">
        <f t="shared" si="118"/>
        <v>2036.4516666666666</v>
      </c>
      <c r="V659" s="4">
        <f t="shared" ca="1" si="119"/>
        <v>41</v>
      </c>
      <c r="W659" s="20">
        <f t="shared" ca="1" si="124"/>
        <v>56216.67535280349</v>
      </c>
      <c r="X659" s="4">
        <f t="shared" si="120"/>
        <v>7511.82</v>
      </c>
      <c r="Y659" s="13">
        <f t="shared" si="121"/>
        <v>0.20500013645170972</v>
      </c>
    </row>
    <row r="660" spans="1:25" x14ac:dyDescent="0.3">
      <c r="A660" s="12" t="s">
        <v>1362</v>
      </c>
      <c r="B660" s="7">
        <v>44252</v>
      </c>
      <c r="C660" s="4" t="s">
        <v>1363</v>
      </c>
      <c r="D660" s="4" t="s">
        <v>72</v>
      </c>
      <c r="E660" s="4">
        <v>32324</v>
      </c>
      <c r="F660" s="4">
        <v>24.6</v>
      </c>
      <c r="G660" s="4">
        <v>36</v>
      </c>
      <c r="H660" s="4" t="s">
        <v>19</v>
      </c>
      <c r="I660" s="4" t="s">
        <v>20</v>
      </c>
      <c r="J660" s="4" t="s">
        <v>21</v>
      </c>
      <c r="K660" s="4">
        <v>107273</v>
      </c>
      <c r="L660" s="4" t="s">
        <v>29</v>
      </c>
      <c r="M660" s="4">
        <v>0.13</v>
      </c>
      <c r="N660" s="4">
        <v>0.88</v>
      </c>
      <c r="O660" s="4">
        <v>40275.699999999997</v>
      </c>
      <c r="P660" s="4">
        <v>0</v>
      </c>
      <c r="Q660" s="6">
        <f t="shared" si="122"/>
        <v>1278.3681976436831</v>
      </c>
      <c r="R660" s="6">
        <f t="shared" si="115"/>
        <v>13697.255115172593</v>
      </c>
      <c r="S660" s="4">
        <f t="shared" si="116"/>
        <v>36731.818181818184</v>
      </c>
      <c r="T660" s="4">
        <f t="shared" si="117"/>
        <v>8939.4166666666661</v>
      </c>
      <c r="U660" s="4">
        <f t="shared" si="118"/>
        <v>1162.1241666666667</v>
      </c>
      <c r="V660" s="4">
        <f t="shared" ca="1" si="119"/>
        <v>60</v>
      </c>
      <c r="W660" s="20">
        <f t="shared" ca="1" si="124"/>
        <v>76702.091858620988</v>
      </c>
      <c r="X660" s="4">
        <f t="shared" si="120"/>
        <v>7951.6999999999971</v>
      </c>
      <c r="Y660" s="13">
        <f t="shared" si="121"/>
        <v>0.2459998762529389</v>
      </c>
    </row>
    <row r="661" spans="1:25" x14ac:dyDescent="0.3">
      <c r="A661" s="12" t="s">
        <v>1364</v>
      </c>
      <c r="B661" s="7">
        <v>44922</v>
      </c>
      <c r="C661" s="4" t="s">
        <v>1365</v>
      </c>
      <c r="D661" s="4" t="s">
        <v>53</v>
      </c>
      <c r="E661" s="4">
        <v>39360</v>
      </c>
      <c r="F661" s="4">
        <v>14.6</v>
      </c>
      <c r="G661" s="4">
        <v>36</v>
      </c>
      <c r="H661" s="4" t="s">
        <v>19</v>
      </c>
      <c r="I661" s="4" t="s">
        <v>36</v>
      </c>
      <c r="J661" s="4" t="s">
        <v>32</v>
      </c>
      <c r="K661" s="4">
        <v>96670</v>
      </c>
      <c r="L661" s="4" t="s">
        <v>33</v>
      </c>
      <c r="M661" s="4">
        <v>0.43</v>
      </c>
      <c r="N661" s="4">
        <v>0.52</v>
      </c>
      <c r="O661" s="4">
        <v>45106.559999999998</v>
      </c>
      <c r="P661" s="4">
        <v>0</v>
      </c>
      <c r="Q661" s="6">
        <f t="shared" si="122"/>
        <v>1356.7300466687184</v>
      </c>
      <c r="R661" s="6">
        <f t="shared" si="115"/>
        <v>9482.2816800738656</v>
      </c>
      <c r="S661" s="4">
        <f t="shared" si="116"/>
        <v>75692.307692307688</v>
      </c>
      <c r="T661" s="4">
        <f t="shared" si="117"/>
        <v>8055.833333333333</v>
      </c>
      <c r="U661" s="4">
        <f t="shared" si="118"/>
        <v>3464.0083333333332</v>
      </c>
      <c r="V661" s="4">
        <f t="shared" ca="1" si="119"/>
        <v>38</v>
      </c>
      <c r="W661" s="20">
        <f t="shared" ca="1" si="124"/>
        <v>51555.741773411297</v>
      </c>
      <c r="X661" s="4">
        <f t="shared" si="120"/>
        <v>5746.5599999999977</v>
      </c>
      <c r="Y661" s="13">
        <f t="shared" si="121"/>
        <v>0.14599999999999994</v>
      </c>
    </row>
    <row r="662" spans="1:25" x14ac:dyDescent="0.3">
      <c r="A662" s="12" t="s">
        <v>1366</v>
      </c>
      <c r="B662" s="7">
        <v>44722</v>
      </c>
      <c r="C662" s="4" t="s">
        <v>1367</v>
      </c>
      <c r="D662" s="4" t="s">
        <v>40</v>
      </c>
      <c r="E662" s="4">
        <v>18824</v>
      </c>
      <c r="F662" s="4">
        <v>15.6</v>
      </c>
      <c r="G662" s="4">
        <v>36</v>
      </c>
      <c r="H662" s="4" t="s">
        <v>19</v>
      </c>
      <c r="I662" s="4" t="s">
        <v>27</v>
      </c>
      <c r="J662" s="4" t="s">
        <v>37</v>
      </c>
      <c r="K662" s="4">
        <v>106474</v>
      </c>
      <c r="L662" s="4" t="s">
        <v>33</v>
      </c>
      <c r="M662" s="4">
        <v>0.2</v>
      </c>
      <c r="N662" s="4">
        <v>0.55000000000000004</v>
      </c>
      <c r="O662" s="4">
        <v>21760.54</v>
      </c>
      <c r="P662" s="4">
        <v>0</v>
      </c>
      <c r="Q662" s="6">
        <f t="shared" si="122"/>
        <v>658.08462164923776</v>
      </c>
      <c r="R662" s="6">
        <f t="shared" si="115"/>
        <v>4867.0463793725576</v>
      </c>
      <c r="S662" s="4">
        <f t="shared" si="116"/>
        <v>34225.454545454544</v>
      </c>
      <c r="T662" s="4">
        <f t="shared" si="117"/>
        <v>8872.8333333333339</v>
      </c>
      <c r="U662" s="4">
        <f t="shared" si="118"/>
        <v>1774.5666666666668</v>
      </c>
      <c r="V662" s="4">
        <f t="shared" ca="1" si="119"/>
        <v>45</v>
      </c>
      <c r="W662" s="20">
        <f t="shared" ca="1" si="124"/>
        <v>29613.807974215699</v>
      </c>
      <c r="X662" s="4">
        <f t="shared" si="120"/>
        <v>2936.5400000000009</v>
      </c>
      <c r="Y662" s="13">
        <f t="shared" si="121"/>
        <v>0.1559997875053124</v>
      </c>
    </row>
    <row r="663" spans="1:25" x14ac:dyDescent="0.3">
      <c r="A663" s="12" t="s">
        <v>1368</v>
      </c>
      <c r="B663" s="7">
        <v>44670</v>
      </c>
      <c r="C663" s="4" t="s">
        <v>1369</v>
      </c>
      <c r="D663" s="4" t="s">
        <v>72</v>
      </c>
      <c r="E663" s="4">
        <v>9927</v>
      </c>
      <c r="F663" s="4">
        <v>8.4</v>
      </c>
      <c r="G663" s="4">
        <v>60</v>
      </c>
      <c r="H663" s="4" t="s">
        <v>26</v>
      </c>
      <c r="I663" s="4" t="s">
        <v>20</v>
      </c>
      <c r="J663" s="4" t="s">
        <v>28</v>
      </c>
      <c r="K663" s="4">
        <v>84028</v>
      </c>
      <c r="L663" s="4" t="s">
        <v>33</v>
      </c>
      <c r="M663" s="4">
        <v>0.28999999999999998</v>
      </c>
      <c r="N663" s="4">
        <v>0.76</v>
      </c>
      <c r="O663" s="4">
        <v>2126.9699999999998</v>
      </c>
      <c r="P663" s="4">
        <v>0</v>
      </c>
      <c r="Q663" s="6">
        <f t="shared" si="122"/>
        <v>203.18949731758241</v>
      </c>
      <c r="R663" s="6">
        <f t="shared" si="115"/>
        <v>2264.3698390549453</v>
      </c>
      <c r="S663" s="4">
        <f t="shared" si="116"/>
        <v>13061.842105263158</v>
      </c>
      <c r="T663" s="4">
        <f t="shared" si="117"/>
        <v>7002.333333333333</v>
      </c>
      <c r="U663" s="4">
        <f t="shared" si="118"/>
        <v>2030.6766666666665</v>
      </c>
      <c r="V663" s="4">
        <f t="shared" ca="1" si="119"/>
        <v>47</v>
      </c>
      <c r="W663" s="20">
        <f t="shared" ca="1" si="124"/>
        <v>9549.9063739263729</v>
      </c>
      <c r="X663" s="4">
        <f t="shared" si="120"/>
        <v>-7800.0300000000007</v>
      </c>
      <c r="Y663" s="13">
        <f t="shared" si="121"/>
        <v>-0.78573889392565732</v>
      </c>
    </row>
    <row r="664" spans="1:25" x14ac:dyDescent="0.3">
      <c r="A664" s="12" t="s">
        <v>1370</v>
      </c>
      <c r="B664" s="7">
        <v>44224</v>
      </c>
      <c r="C664" s="4" t="s">
        <v>1371</v>
      </c>
      <c r="D664" s="4" t="s">
        <v>25</v>
      </c>
      <c r="E664" s="4">
        <v>29144</v>
      </c>
      <c r="F664" s="4">
        <v>9.9</v>
      </c>
      <c r="G664" s="4">
        <v>60</v>
      </c>
      <c r="H664" s="4" t="s">
        <v>19</v>
      </c>
      <c r="I664" s="4" t="s">
        <v>20</v>
      </c>
      <c r="J664" s="4" t="s">
        <v>37</v>
      </c>
      <c r="K664" s="4">
        <v>120022</v>
      </c>
      <c r="L664" s="4" t="s">
        <v>22</v>
      </c>
      <c r="M664" s="4">
        <v>0.12</v>
      </c>
      <c r="N664" s="4">
        <v>0.74</v>
      </c>
      <c r="O664" s="4">
        <v>32029.26</v>
      </c>
      <c r="P664" s="4">
        <v>0</v>
      </c>
      <c r="Q664" s="6">
        <f t="shared" si="122"/>
        <v>617.79084234392258</v>
      </c>
      <c r="R664" s="6">
        <f t="shared" si="115"/>
        <v>7923.4505406353564</v>
      </c>
      <c r="S664" s="4">
        <f t="shared" si="116"/>
        <v>39383.783783783787</v>
      </c>
      <c r="T664" s="4">
        <f t="shared" si="117"/>
        <v>10001.833333333334</v>
      </c>
      <c r="U664" s="4">
        <f t="shared" si="118"/>
        <v>1200.22</v>
      </c>
      <c r="V664" s="4">
        <f t="shared" ca="1" si="119"/>
        <v>61</v>
      </c>
      <c r="W664" s="20">
        <f t="shared" ca="1" si="124"/>
        <v>37685.241382979279</v>
      </c>
      <c r="X664" s="4">
        <f t="shared" si="120"/>
        <v>2885.2599999999984</v>
      </c>
      <c r="Y664" s="13">
        <f t="shared" si="121"/>
        <v>9.9000137249519574E-2</v>
      </c>
    </row>
    <row r="665" spans="1:25" x14ac:dyDescent="0.3">
      <c r="A665" s="12" t="s">
        <v>1372</v>
      </c>
      <c r="B665" s="7">
        <v>44274</v>
      </c>
      <c r="C665" s="4" t="s">
        <v>1373</v>
      </c>
      <c r="D665" s="4" t="s">
        <v>18</v>
      </c>
      <c r="E665" s="4">
        <v>32010</v>
      </c>
      <c r="F665" s="4">
        <v>21.8</v>
      </c>
      <c r="G665" s="4">
        <v>60</v>
      </c>
      <c r="H665" s="4" t="s">
        <v>26</v>
      </c>
      <c r="I665" s="4" t="s">
        <v>20</v>
      </c>
      <c r="J665" s="4" t="s">
        <v>47</v>
      </c>
      <c r="K665" s="4">
        <v>143892</v>
      </c>
      <c r="L665" s="4" t="s">
        <v>29</v>
      </c>
      <c r="M665" s="4">
        <v>0.38</v>
      </c>
      <c r="N665" s="4">
        <v>0.71</v>
      </c>
      <c r="O665" s="4">
        <v>14628.99</v>
      </c>
      <c r="P665" s="4">
        <v>0</v>
      </c>
      <c r="Q665" s="6">
        <f t="shared" si="122"/>
        <v>880.44525473596877</v>
      </c>
      <c r="R665" s="6">
        <f t="shared" si="115"/>
        <v>20816.715284158126</v>
      </c>
      <c r="S665" s="4">
        <f t="shared" si="116"/>
        <v>45084.507042253521</v>
      </c>
      <c r="T665" s="4">
        <f t="shared" si="117"/>
        <v>11991</v>
      </c>
      <c r="U665" s="4">
        <f t="shared" si="118"/>
        <v>4556.58</v>
      </c>
      <c r="V665" s="4">
        <f t="shared" ca="1" si="119"/>
        <v>60</v>
      </c>
      <c r="W665" s="20">
        <f t="shared" ca="1" si="124"/>
        <v>52826.715284158126</v>
      </c>
      <c r="X665" s="4">
        <f t="shared" si="120"/>
        <v>-17381.010000000002</v>
      </c>
      <c r="Y665" s="13">
        <f t="shared" si="121"/>
        <v>-0.54298687910028121</v>
      </c>
    </row>
    <row r="666" spans="1:25" x14ac:dyDescent="0.3">
      <c r="A666" s="12" t="s">
        <v>1374</v>
      </c>
      <c r="B666" s="7">
        <v>44561</v>
      </c>
      <c r="C666" s="4" t="s">
        <v>1375</v>
      </c>
      <c r="D666" s="4" t="s">
        <v>72</v>
      </c>
      <c r="E666" s="4">
        <v>23443</v>
      </c>
      <c r="F666" s="4">
        <v>12.1</v>
      </c>
      <c r="G666" s="4">
        <v>36</v>
      </c>
      <c r="H666" s="4" t="s">
        <v>315</v>
      </c>
      <c r="I666" s="4" t="s">
        <v>73</v>
      </c>
      <c r="J666" s="4" t="s">
        <v>47</v>
      </c>
      <c r="K666" s="4">
        <v>121632</v>
      </c>
      <c r="L666" s="4" t="s">
        <v>22</v>
      </c>
      <c r="M666" s="4">
        <v>0.23</v>
      </c>
      <c r="N666" s="4">
        <v>0.68</v>
      </c>
      <c r="O666" s="4">
        <v>0</v>
      </c>
      <c r="P666" s="4">
        <v>0</v>
      </c>
      <c r="Q666" s="6">
        <f t="shared" si="122"/>
        <v>779.7632234454145</v>
      </c>
      <c r="R666" s="6">
        <f t="shared" si="115"/>
        <v>4628.4760440349201</v>
      </c>
      <c r="S666" s="4">
        <f t="shared" si="116"/>
        <v>34475</v>
      </c>
      <c r="T666" s="4">
        <f t="shared" si="117"/>
        <v>10136</v>
      </c>
      <c r="U666" s="4">
        <f t="shared" si="118"/>
        <v>2331.2800000000002</v>
      </c>
      <c r="V666" s="4">
        <f t="shared" ca="1" si="119"/>
        <v>50</v>
      </c>
      <c r="W666" s="20">
        <f t="shared" ca="1" si="124"/>
        <v>38988.161172270724</v>
      </c>
      <c r="X666" s="4">
        <f t="shared" si="120"/>
        <v>-23443</v>
      </c>
      <c r="Y666" s="13">
        <f t="shared" si="121"/>
        <v>-1</v>
      </c>
    </row>
    <row r="667" spans="1:25" x14ac:dyDescent="0.3">
      <c r="A667" s="12" t="s">
        <v>1376</v>
      </c>
      <c r="B667" s="7">
        <v>44862</v>
      </c>
      <c r="C667" s="4" t="s">
        <v>1377</v>
      </c>
      <c r="D667" s="4" t="s">
        <v>72</v>
      </c>
      <c r="E667" s="4">
        <v>15437</v>
      </c>
      <c r="F667" s="4">
        <v>21.5</v>
      </c>
      <c r="G667" s="4">
        <v>60</v>
      </c>
      <c r="H667" s="4" t="s">
        <v>26</v>
      </c>
      <c r="I667" s="4" t="s">
        <v>20</v>
      </c>
      <c r="J667" s="4" t="s">
        <v>21</v>
      </c>
      <c r="K667" s="4">
        <v>136651</v>
      </c>
      <c r="L667" s="4" t="s">
        <v>33</v>
      </c>
      <c r="M667" s="4">
        <v>0.4</v>
      </c>
      <c r="N667" s="4">
        <v>0.69</v>
      </c>
      <c r="O667" s="4">
        <v>4267.6000000000004</v>
      </c>
      <c r="P667" s="4">
        <v>0</v>
      </c>
      <c r="Q667" s="6">
        <f t="shared" si="122"/>
        <v>421.97627172972955</v>
      </c>
      <c r="R667" s="6">
        <f t="shared" si="115"/>
        <v>9881.5763037837714</v>
      </c>
      <c r="S667" s="4">
        <f t="shared" si="116"/>
        <v>22372.463768115944</v>
      </c>
      <c r="T667" s="4">
        <f t="shared" si="117"/>
        <v>11387.583333333334</v>
      </c>
      <c r="U667" s="4">
        <f t="shared" si="118"/>
        <v>4555.0333333333338</v>
      </c>
      <c r="V667" s="4">
        <f t="shared" ca="1" si="119"/>
        <v>40</v>
      </c>
      <c r="W667" s="20">
        <f t="shared" ca="1" si="124"/>
        <v>16879.050869189181</v>
      </c>
      <c r="X667" s="4">
        <f t="shared" si="120"/>
        <v>-11169.4</v>
      </c>
      <c r="Y667" s="13">
        <f t="shared" si="121"/>
        <v>-0.72354732137073263</v>
      </c>
    </row>
    <row r="668" spans="1:25" x14ac:dyDescent="0.3">
      <c r="A668" s="12" t="s">
        <v>1378</v>
      </c>
      <c r="B668" s="7">
        <v>44722</v>
      </c>
      <c r="C668" s="4" t="s">
        <v>1379</v>
      </c>
      <c r="D668" s="4" t="s">
        <v>18</v>
      </c>
      <c r="E668" s="4">
        <v>12207</v>
      </c>
      <c r="F668" s="4">
        <v>19.2</v>
      </c>
      <c r="G668" s="4">
        <v>36</v>
      </c>
      <c r="H668" s="4" t="s">
        <v>19</v>
      </c>
      <c r="I668" s="4" t="s">
        <v>20</v>
      </c>
      <c r="J668" s="4" t="s">
        <v>37</v>
      </c>
      <c r="K668" s="4">
        <v>101128</v>
      </c>
      <c r="L668" s="4" t="s">
        <v>29</v>
      </c>
      <c r="M668" s="4">
        <v>0.26</v>
      </c>
      <c r="N668" s="4">
        <v>0.76</v>
      </c>
      <c r="O668" s="4">
        <v>14550.74</v>
      </c>
      <c r="P668" s="4">
        <v>0</v>
      </c>
      <c r="Q668" s="6">
        <f t="shared" si="122"/>
        <v>448.69536204658522</v>
      </c>
      <c r="R668" s="6">
        <f t="shared" si="115"/>
        <v>3946.0330336770676</v>
      </c>
      <c r="S668" s="4">
        <f t="shared" si="116"/>
        <v>16061.842105263158</v>
      </c>
      <c r="T668" s="4">
        <f t="shared" si="117"/>
        <v>8427.3333333333339</v>
      </c>
      <c r="U668" s="4">
        <f t="shared" si="118"/>
        <v>2191.106666666667</v>
      </c>
      <c r="V668" s="4">
        <f t="shared" ca="1" si="119"/>
        <v>45</v>
      </c>
      <c r="W668" s="20">
        <f t="shared" ca="1" si="124"/>
        <v>20191.291292096335</v>
      </c>
      <c r="X668" s="4">
        <f t="shared" si="120"/>
        <v>2343.7399999999998</v>
      </c>
      <c r="Y668" s="13">
        <f t="shared" si="121"/>
        <v>0.19199967231916112</v>
      </c>
    </row>
    <row r="669" spans="1:25" x14ac:dyDescent="0.3">
      <c r="A669" s="12" t="s">
        <v>1380</v>
      </c>
      <c r="B669" s="7">
        <v>44895</v>
      </c>
      <c r="C669" s="4" t="s">
        <v>1381</v>
      </c>
      <c r="D669" s="4" t="s">
        <v>25</v>
      </c>
      <c r="E669" s="4">
        <v>26537</v>
      </c>
      <c r="F669" s="4">
        <v>8.5</v>
      </c>
      <c r="G669" s="4">
        <v>36</v>
      </c>
      <c r="H669" s="4" t="s">
        <v>19</v>
      </c>
      <c r="I669" s="4" t="s">
        <v>20</v>
      </c>
      <c r="J669" s="4" t="s">
        <v>28</v>
      </c>
      <c r="K669" s="4">
        <v>48108</v>
      </c>
      <c r="L669" s="4" t="s">
        <v>22</v>
      </c>
      <c r="M669" s="4">
        <v>0.18</v>
      </c>
      <c r="N669" s="4">
        <v>0.5</v>
      </c>
      <c r="O669" s="4">
        <v>28792.639999999999</v>
      </c>
      <c r="P669" s="4">
        <v>0</v>
      </c>
      <c r="Q669" s="6">
        <f t="shared" si="122"/>
        <v>837.70774060894257</v>
      </c>
      <c r="R669" s="6">
        <f t="shared" si="115"/>
        <v>3620.478661921934</v>
      </c>
      <c r="S669" s="4">
        <f t="shared" si="116"/>
        <v>53074</v>
      </c>
      <c r="T669" s="4">
        <f t="shared" si="117"/>
        <v>4009</v>
      </c>
      <c r="U669" s="4">
        <f t="shared" si="118"/>
        <v>721.62</v>
      </c>
      <c r="V669" s="4">
        <f t="shared" ca="1" si="119"/>
        <v>39</v>
      </c>
      <c r="W669" s="20">
        <f t="shared" ca="1" si="124"/>
        <v>32670.601883748761</v>
      </c>
      <c r="X669" s="4">
        <f t="shared" si="120"/>
        <v>2255.6399999999994</v>
      </c>
      <c r="Y669" s="13">
        <f t="shared" si="121"/>
        <v>8.4999811583826329E-2</v>
      </c>
    </row>
    <row r="670" spans="1:25" x14ac:dyDescent="0.3">
      <c r="A670" s="12" t="s">
        <v>1382</v>
      </c>
      <c r="B670" s="7">
        <v>45079</v>
      </c>
      <c r="C670" s="4" t="s">
        <v>1383</v>
      </c>
      <c r="D670" s="4" t="s">
        <v>53</v>
      </c>
      <c r="E670" s="4">
        <v>36757</v>
      </c>
      <c r="F670" s="4">
        <v>15.1</v>
      </c>
      <c r="G670" s="4">
        <v>36</v>
      </c>
      <c r="H670" s="4" t="s">
        <v>81</v>
      </c>
      <c r="I670" s="4" t="s">
        <v>27</v>
      </c>
      <c r="J670" s="4" t="s">
        <v>47</v>
      </c>
      <c r="K670" s="4">
        <v>82495</v>
      </c>
      <c r="L670" s="4" t="s">
        <v>33</v>
      </c>
      <c r="M670" s="4">
        <v>0.31</v>
      </c>
      <c r="N670" s="4">
        <v>0.62</v>
      </c>
      <c r="O670" s="4">
        <v>8800.92</v>
      </c>
      <c r="P670" s="4">
        <v>6346.33</v>
      </c>
      <c r="Q670" s="6">
        <f t="shared" si="122"/>
        <v>1275.9942217684784</v>
      </c>
      <c r="R670" s="6">
        <f t="shared" si="115"/>
        <v>9178.7919836652218</v>
      </c>
      <c r="S670" s="4">
        <f t="shared" si="116"/>
        <v>59285.483870967742</v>
      </c>
      <c r="T670" s="4">
        <f t="shared" si="117"/>
        <v>6874.583333333333</v>
      </c>
      <c r="U670" s="4">
        <f t="shared" si="118"/>
        <v>2131.1208333333334</v>
      </c>
      <c r="V670" s="4">
        <f t="shared" ca="1" si="119"/>
        <v>33</v>
      </c>
      <c r="W670" s="20">
        <v>0</v>
      </c>
      <c r="X670" s="4">
        <f t="shared" si="120"/>
        <v>-21609.75</v>
      </c>
      <c r="Y670" s="13">
        <f t="shared" si="121"/>
        <v>-0.58790842560600698</v>
      </c>
    </row>
    <row r="671" spans="1:25" x14ac:dyDescent="0.3">
      <c r="A671" s="12" t="s">
        <v>1384</v>
      </c>
      <c r="B671" s="7">
        <v>45227</v>
      </c>
      <c r="C671" s="4" t="s">
        <v>1385</v>
      </c>
      <c r="D671" s="4" t="s">
        <v>65</v>
      </c>
      <c r="E671" s="4">
        <v>13040</v>
      </c>
      <c r="F671" s="4">
        <v>18.5</v>
      </c>
      <c r="G671" s="4">
        <v>36</v>
      </c>
      <c r="H671" s="4" t="s">
        <v>19</v>
      </c>
      <c r="I671" s="4" t="s">
        <v>84</v>
      </c>
      <c r="J671" s="4" t="s">
        <v>28</v>
      </c>
      <c r="K671" s="4">
        <v>112806</v>
      </c>
      <c r="L671" s="4" t="s">
        <v>33</v>
      </c>
      <c r="M671" s="4">
        <v>0.15</v>
      </c>
      <c r="N671" s="4">
        <v>0.73</v>
      </c>
      <c r="O671" s="4">
        <v>15452.4</v>
      </c>
      <c r="P671" s="4">
        <v>0</v>
      </c>
      <c r="Q671" s="6">
        <f t="shared" si="122"/>
        <v>474.70443457787752</v>
      </c>
      <c r="R671" s="6">
        <f t="shared" si="115"/>
        <v>4049.3596448035896</v>
      </c>
      <c r="S671" s="4">
        <f t="shared" si="116"/>
        <v>17863.013698630137</v>
      </c>
      <c r="T671" s="4">
        <f t="shared" si="117"/>
        <v>9400.5</v>
      </c>
      <c r="U671" s="4">
        <f t="shared" si="118"/>
        <v>1410.075</v>
      </c>
      <c r="V671" s="4">
        <f t="shared" ca="1" si="119"/>
        <v>28</v>
      </c>
      <c r="W671" s="20">
        <f ca="1">V671*Q671</f>
        <v>13291.72416818057</v>
      </c>
      <c r="X671" s="4">
        <f t="shared" si="120"/>
        <v>2412.3999999999996</v>
      </c>
      <c r="Y671" s="13">
        <f t="shared" si="121"/>
        <v>0.18499999999999997</v>
      </c>
    </row>
    <row r="672" spans="1:25" x14ac:dyDescent="0.3">
      <c r="A672" s="12" t="s">
        <v>1386</v>
      </c>
      <c r="B672" s="7">
        <v>45223</v>
      </c>
      <c r="C672" s="4" t="s">
        <v>1387</v>
      </c>
      <c r="D672" s="4" t="s">
        <v>46</v>
      </c>
      <c r="E672" s="4">
        <v>23612</v>
      </c>
      <c r="F672" s="4">
        <v>9.6999999999999993</v>
      </c>
      <c r="G672" s="4">
        <v>36</v>
      </c>
      <c r="H672" s="4" t="s">
        <v>26</v>
      </c>
      <c r="I672" s="4" t="s">
        <v>84</v>
      </c>
      <c r="J672" s="4" t="s">
        <v>32</v>
      </c>
      <c r="K672" s="4">
        <v>123185</v>
      </c>
      <c r="L672" s="4" t="s">
        <v>22</v>
      </c>
      <c r="M672" s="4">
        <v>0.28000000000000003</v>
      </c>
      <c r="N672" s="4">
        <v>0.82</v>
      </c>
      <c r="O672" s="4">
        <v>11779.58</v>
      </c>
      <c r="P672" s="4">
        <v>0</v>
      </c>
      <c r="Q672" s="6">
        <f t="shared" si="122"/>
        <v>758.57144599274682</v>
      </c>
      <c r="R672" s="6">
        <f t="shared" si="115"/>
        <v>3696.572055738885</v>
      </c>
      <c r="S672" s="4">
        <f t="shared" si="116"/>
        <v>28795.121951219513</v>
      </c>
      <c r="T672" s="4">
        <f t="shared" si="117"/>
        <v>10265.416666666666</v>
      </c>
      <c r="U672" s="4">
        <f t="shared" si="118"/>
        <v>2874.3166666666666</v>
      </c>
      <c r="V672" s="4">
        <f t="shared" ca="1" si="119"/>
        <v>28</v>
      </c>
      <c r="W672" s="20">
        <f ca="1">V672*Q672</f>
        <v>21240.000487796911</v>
      </c>
      <c r="X672" s="4">
        <f t="shared" si="120"/>
        <v>-11832.42</v>
      </c>
      <c r="Y672" s="13">
        <f t="shared" si="121"/>
        <v>-0.50111892258173807</v>
      </c>
    </row>
    <row r="673" spans="1:25" x14ac:dyDescent="0.3">
      <c r="A673" s="12" t="s">
        <v>1388</v>
      </c>
      <c r="B673" s="7">
        <v>45115</v>
      </c>
      <c r="C673" s="4" t="s">
        <v>1389</v>
      </c>
      <c r="D673" s="4" t="s">
        <v>18</v>
      </c>
      <c r="E673" s="4">
        <v>29441</v>
      </c>
      <c r="F673" s="4">
        <v>21.6</v>
      </c>
      <c r="G673" s="4">
        <v>60</v>
      </c>
      <c r="H673" s="4" t="s">
        <v>81</v>
      </c>
      <c r="I673" s="4" t="s">
        <v>20</v>
      </c>
      <c r="J673" s="4" t="s">
        <v>47</v>
      </c>
      <c r="K673" s="4">
        <v>106533</v>
      </c>
      <c r="L673" s="4" t="s">
        <v>33</v>
      </c>
      <c r="M673" s="4">
        <v>0.23</v>
      </c>
      <c r="N673" s="4">
        <v>0.57999999999999996</v>
      </c>
      <c r="O673" s="4">
        <v>7302.84</v>
      </c>
      <c r="P673" s="4">
        <v>11730.22</v>
      </c>
      <c r="Q673" s="6">
        <f t="shared" si="122"/>
        <v>806.44688280623359</v>
      </c>
      <c r="R673" s="6">
        <f t="shared" si="115"/>
        <v>18945.812968374012</v>
      </c>
      <c r="S673" s="4">
        <f t="shared" si="116"/>
        <v>50760.34482758621</v>
      </c>
      <c r="T673" s="4">
        <f t="shared" si="117"/>
        <v>8877.75</v>
      </c>
      <c r="U673" s="4">
        <f t="shared" si="118"/>
        <v>2041.8825000000002</v>
      </c>
      <c r="V673" s="4">
        <f t="shared" ca="1" si="119"/>
        <v>32</v>
      </c>
      <c r="W673" s="20">
        <v>0</v>
      </c>
      <c r="X673" s="4">
        <f t="shared" si="120"/>
        <v>-10407.940000000002</v>
      </c>
      <c r="Y673" s="13">
        <f t="shared" si="121"/>
        <v>-0.35351856254882652</v>
      </c>
    </row>
    <row r="674" spans="1:25" x14ac:dyDescent="0.3">
      <c r="A674" s="12" t="s">
        <v>1390</v>
      </c>
      <c r="B674" s="7">
        <v>44946</v>
      </c>
      <c r="C674" s="4" t="s">
        <v>1391</v>
      </c>
      <c r="D674" s="4" t="s">
        <v>18</v>
      </c>
      <c r="E674" s="4">
        <v>7471</v>
      </c>
      <c r="F674" s="4">
        <v>15.9</v>
      </c>
      <c r="G674" s="4">
        <v>60</v>
      </c>
      <c r="H674" s="4" t="s">
        <v>81</v>
      </c>
      <c r="I674" s="4" t="s">
        <v>36</v>
      </c>
      <c r="J674" s="4" t="s">
        <v>21</v>
      </c>
      <c r="K674" s="4">
        <v>129025</v>
      </c>
      <c r="L674" s="4" t="s">
        <v>33</v>
      </c>
      <c r="M674" s="4">
        <v>0.46</v>
      </c>
      <c r="N674" s="4">
        <v>0.75</v>
      </c>
      <c r="O674" s="4">
        <v>1146.94</v>
      </c>
      <c r="P674" s="4">
        <v>2846.42</v>
      </c>
      <c r="Q674" s="6">
        <f t="shared" si="122"/>
        <v>181.28348511164236</v>
      </c>
      <c r="R674" s="6">
        <f t="shared" si="115"/>
        <v>3406.0091066985424</v>
      </c>
      <c r="S674" s="4">
        <f t="shared" si="116"/>
        <v>9961.3333333333339</v>
      </c>
      <c r="T674" s="4">
        <f t="shared" si="117"/>
        <v>10752.083333333334</v>
      </c>
      <c r="U674" s="4">
        <f t="shared" si="118"/>
        <v>4945.9583333333339</v>
      </c>
      <c r="V674" s="4">
        <f t="shared" ca="1" si="119"/>
        <v>37</v>
      </c>
      <c r="W674" s="20">
        <v>0</v>
      </c>
      <c r="X674" s="4">
        <f t="shared" si="120"/>
        <v>-3477.64</v>
      </c>
      <c r="Y674" s="13">
        <f t="shared" si="121"/>
        <v>-0.46548520947664301</v>
      </c>
    </row>
    <row r="675" spans="1:25" x14ac:dyDescent="0.3">
      <c r="A675" s="12" t="s">
        <v>1392</v>
      </c>
      <c r="B675" s="7">
        <v>44559</v>
      </c>
      <c r="C675" s="4" t="s">
        <v>1393</v>
      </c>
      <c r="D675" s="4" t="s">
        <v>18</v>
      </c>
      <c r="E675" s="4">
        <v>36631</v>
      </c>
      <c r="F675" s="4">
        <v>8.3000000000000007</v>
      </c>
      <c r="G675" s="4">
        <v>36</v>
      </c>
      <c r="H675" s="4" t="s">
        <v>81</v>
      </c>
      <c r="I675" s="4" t="s">
        <v>27</v>
      </c>
      <c r="J675" s="4" t="s">
        <v>32</v>
      </c>
      <c r="K675" s="4">
        <v>86830</v>
      </c>
      <c r="L675" s="4" t="s">
        <v>29</v>
      </c>
      <c r="M675" s="4">
        <v>0.12</v>
      </c>
      <c r="N675" s="4">
        <v>0.82</v>
      </c>
      <c r="O675" s="4">
        <v>9301.3700000000008</v>
      </c>
      <c r="P675" s="4">
        <v>10217.73</v>
      </c>
      <c r="Q675" s="6">
        <f t="shared" si="122"/>
        <v>1152.9587383968126</v>
      </c>
      <c r="R675" s="6">
        <f t="shared" si="115"/>
        <v>4875.5145822852501</v>
      </c>
      <c r="S675" s="4">
        <f t="shared" si="116"/>
        <v>44671.951219512201</v>
      </c>
      <c r="T675" s="4">
        <f t="shared" si="117"/>
        <v>7235.833333333333</v>
      </c>
      <c r="U675" s="4">
        <f t="shared" si="118"/>
        <v>868.3</v>
      </c>
      <c r="V675" s="4">
        <f t="shared" ca="1" si="119"/>
        <v>50</v>
      </c>
      <c r="W675" s="20">
        <v>0</v>
      </c>
      <c r="X675" s="4">
        <f t="shared" si="120"/>
        <v>-17111.900000000001</v>
      </c>
      <c r="Y675" s="13">
        <f t="shared" si="121"/>
        <v>-0.4671425841500369</v>
      </c>
    </row>
    <row r="676" spans="1:25" x14ac:dyDescent="0.3">
      <c r="A676" s="12" t="s">
        <v>1394</v>
      </c>
      <c r="B676" s="7">
        <v>45002</v>
      </c>
      <c r="C676" s="4" t="s">
        <v>1395</v>
      </c>
      <c r="D676" s="4" t="s">
        <v>18</v>
      </c>
      <c r="E676" s="4">
        <v>27523</v>
      </c>
      <c r="F676" s="4">
        <v>16.7</v>
      </c>
      <c r="G676" s="4">
        <v>60</v>
      </c>
      <c r="H676" s="4" t="s">
        <v>26</v>
      </c>
      <c r="I676" s="4" t="s">
        <v>36</v>
      </c>
      <c r="J676" s="4" t="s">
        <v>37</v>
      </c>
      <c r="K676" s="4">
        <v>104640</v>
      </c>
      <c r="L676" s="4" t="s">
        <v>33</v>
      </c>
      <c r="M676" s="4">
        <v>0.38</v>
      </c>
      <c r="N676" s="4">
        <v>0.7</v>
      </c>
      <c r="O676" s="4">
        <v>11458.03</v>
      </c>
      <c r="P676" s="4">
        <v>0</v>
      </c>
      <c r="Q676" s="6">
        <f t="shared" si="122"/>
        <v>679.58559926311</v>
      </c>
      <c r="R676" s="6">
        <f t="shared" si="115"/>
        <v>13252.135955786602</v>
      </c>
      <c r="S676" s="4">
        <f t="shared" si="116"/>
        <v>39318.571428571428</v>
      </c>
      <c r="T676" s="4">
        <f t="shared" si="117"/>
        <v>8720</v>
      </c>
      <c r="U676" s="4">
        <f t="shared" si="118"/>
        <v>3313.6</v>
      </c>
      <c r="V676" s="4">
        <f t="shared" ca="1" si="119"/>
        <v>36</v>
      </c>
      <c r="W676" s="20">
        <f t="shared" ref="W676:W682" ca="1" si="125">V676*Q676</f>
        <v>24465.081573471958</v>
      </c>
      <c r="X676" s="4">
        <f t="shared" si="120"/>
        <v>-16064.97</v>
      </c>
      <c r="Y676" s="13">
        <f t="shared" si="121"/>
        <v>-0.58369254805072124</v>
      </c>
    </row>
    <row r="677" spans="1:25" x14ac:dyDescent="0.3">
      <c r="A677" s="12" t="s">
        <v>1396</v>
      </c>
      <c r="B677" s="7">
        <v>44935</v>
      </c>
      <c r="C677" s="4" t="s">
        <v>1397</v>
      </c>
      <c r="D677" s="4" t="s">
        <v>46</v>
      </c>
      <c r="E677" s="4">
        <v>32348</v>
      </c>
      <c r="F677" s="4">
        <v>25</v>
      </c>
      <c r="G677" s="4">
        <v>36</v>
      </c>
      <c r="H677" s="4" t="s">
        <v>19</v>
      </c>
      <c r="I677" s="4" t="s">
        <v>57</v>
      </c>
      <c r="J677" s="4" t="s">
        <v>28</v>
      </c>
      <c r="K677" s="4">
        <v>82509</v>
      </c>
      <c r="L677" s="4" t="s">
        <v>22</v>
      </c>
      <c r="M677" s="4">
        <v>0.17</v>
      </c>
      <c r="N677" s="4">
        <v>0.51</v>
      </c>
      <c r="O677" s="4">
        <v>40435</v>
      </c>
      <c r="P677" s="4">
        <v>0</v>
      </c>
      <c r="Q677" s="6">
        <f t="shared" si="122"/>
        <v>1286.1508482538136</v>
      </c>
      <c r="R677" s="6">
        <f t="shared" si="115"/>
        <v>13953.43053713729</v>
      </c>
      <c r="S677" s="4">
        <f t="shared" si="116"/>
        <v>63427.450980392154</v>
      </c>
      <c r="T677" s="4">
        <f t="shared" si="117"/>
        <v>6875.75</v>
      </c>
      <c r="U677" s="4">
        <f t="shared" si="118"/>
        <v>1168.8775000000001</v>
      </c>
      <c r="V677" s="4">
        <f t="shared" ca="1" si="119"/>
        <v>38</v>
      </c>
      <c r="W677" s="20">
        <f t="shared" ca="1" si="125"/>
        <v>48873.732233644914</v>
      </c>
      <c r="X677" s="4">
        <f t="shared" si="120"/>
        <v>8087</v>
      </c>
      <c r="Y677" s="13">
        <f t="shared" si="121"/>
        <v>0.25</v>
      </c>
    </row>
    <row r="678" spans="1:25" x14ac:dyDescent="0.3">
      <c r="A678" s="12" t="s">
        <v>1398</v>
      </c>
      <c r="B678" s="7">
        <v>45235</v>
      </c>
      <c r="C678" s="4" t="s">
        <v>1399</v>
      </c>
      <c r="D678" s="4" t="s">
        <v>46</v>
      </c>
      <c r="E678" s="4">
        <v>2177</v>
      </c>
      <c r="F678" s="4">
        <v>8</v>
      </c>
      <c r="G678" s="4">
        <v>36</v>
      </c>
      <c r="H678" s="4" t="s">
        <v>60</v>
      </c>
      <c r="I678" s="4" t="s">
        <v>57</v>
      </c>
      <c r="J678" s="4" t="s">
        <v>47</v>
      </c>
      <c r="K678" s="4">
        <v>96406</v>
      </c>
      <c r="L678" s="4" t="s">
        <v>29</v>
      </c>
      <c r="M678" s="4">
        <v>0.23</v>
      </c>
      <c r="N678" s="4">
        <v>0.7</v>
      </c>
      <c r="O678" s="4">
        <v>0</v>
      </c>
      <c r="P678" s="4">
        <v>0</v>
      </c>
      <c r="Q678" s="6">
        <f t="shared" si="122"/>
        <v>68.219267609534967</v>
      </c>
      <c r="R678" s="6">
        <f t="shared" si="115"/>
        <v>278.89363394325892</v>
      </c>
      <c r="S678" s="4">
        <f t="shared" si="116"/>
        <v>3110</v>
      </c>
      <c r="T678" s="4">
        <f t="shared" si="117"/>
        <v>8033.833333333333</v>
      </c>
      <c r="U678" s="4">
        <f t="shared" si="118"/>
        <v>1847.7816666666668</v>
      </c>
      <c r="V678" s="4">
        <f t="shared" ca="1" si="119"/>
        <v>28</v>
      </c>
      <c r="W678" s="20">
        <f t="shared" ca="1" si="125"/>
        <v>1910.139493066979</v>
      </c>
      <c r="X678" s="4">
        <f t="shared" si="120"/>
        <v>-2177</v>
      </c>
      <c r="Y678" s="13">
        <f t="shared" si="121"/>
        <v>-1</v>
      </c>
    </row>
    <row r="679" spans="1:25" x14ac:dyDescent="0.3">
      <c r="A679" s="12" t="s">
        <v>1400</v>
      </c>
      <c r="B679" s="7">
        <v>44681</v>
      </c>
      <c r="C679" s="4" t="s">
        <v>1401</v>
      </c>
      <c r="D679" s="4" t="s">
        <v>53</v>
      </c>
      <c r="E679" s="4">
        <v>5760</v>
      </c>
      <c r="F679" s="4">
        <v>21.3</v>
      </c>
      <c r="G679" s="4">
        <v>36</v>
      </c>
      <c r="H679" s="4" t="s">
        <v>19</v>
      </c>
      <c r="I679" s="4" t="s">
        <v>84</v>
      </c>
      <c r="J679" s="4" t="s">
        <v>32</v>
      </c>
      <c r="K679" s="4">
        <v>124220</v>
      </c>
      <c r="L679" s="4" t="s">
        <v>22</v>
      </c>
      <c r="M679" s="4">
        <v>0.27</v>
      </c>
      <c r="N679" s="4">
        <v>0.63</v>
      </c>
      <c r="O679" s="4">
        <v>6986.88</v>
      </c>
      <c r="P679" s="4">
        <v>0</v>
      </c>
      <c r="Q679" s="6">
        <f t="shared" si="122"/>
        <v>217.89661974777309</v>
      </c>
      <c r="R679" s="6">
        <f t="shared" si="115"/>
        <v>2084.2783109198308</v>
      </c>
      <c r="S679" s="4">
        <f t="shared" si="116"/>
        <v>9142.8571428571431</v>
      </c>
      <c r="T679" s="4">
        <f t="shared" si="117"/>
        <v>10351.666666666666</v>
      </c>
      <c r="U679" s="4">
        <f t="shared" si="118"/>
        <v>2794.95</v>
      </c>
      <c r="V679" s="4">
        <f t="shared" ca="1" si="119"/>
        <v>46</v>
      </c>
      <c r="W679" s="20">
        <f t="shared" ca="1" si="125"/>
        <v>10023.244508397562</v>
      </c>
      <c r="X679" s="4">
        <f t="shared" si="120"/>
        <v>1226.8800000000001</v>
      </c>
      <c r="Y679" s="13">
        <f t="shared" si="121"/>
        <v>0.21300000000000002</v>
      </c>
    </row>
    <row r="680" spans="1:25" x14ac:dyDescent="0.3">
      <c r="A680" s="12" t="s">
        <v>1402</v>
      </c>
      <c r="B680" s="7">
        <v>44224</v>
      </c>
      <c r="C680" s="4" t="s">
        <v>1403</v>
      </c>
      <c r="D680" s="4" t="s">
        <v>50</v>
      </c>
      <c r="E680" s="4">
        <v>33779</v>
      </c>
      <c r="F680" s="4">
        <v>9.1</v>
      </c>
      <c r="G680" s="4">
        <v>60</v>
      </c>
      <c r="H680" s="4" t="s">
        <v>19</v>
      </c>
      <c r="I680" s="4" t="s">
        <v>20</v>
      </c>
      <c r="J680" s="4" t="s">
        <v>32</v>
      </c>
      <c r="K680" s="4">
        <v>69519</v>
      </c>
      <c r="L680" s="4" t="s">
        <v>33</v>
      </c>
      <c r="M680" s="4">
        <v>0.46</v>
      </c>
      <c r="N680" s="4">
        <v>0.92</v>
      </c>
      <c r="O680" s="4">
        <v>36852.89</v>
      </c>
      <c r="P680" s="4">
        <v>0</v>
      </c>
      <c r="Q680" s="6">
        <f t="shared" si="122"/>
        <v>702.83701895742377</v>
      </c>
      <c r="R680" s="6">
        <f t="shared" si="115"/>
        <v>8391.2211374454273</v>
      </c>
      <c r="S680" s="4">
        <f t="shared" si="116"/>
        <v>36716.304347826088</v>
      </c>
      <c r="T680" s="4">
        <f t="shared" si="117"/>
        <v>5793.25</v>
      </c>
      <c r="U680" s="4">
        <f t="shared" si="118"/>
        <v>2664.895</v>
      </c>
      <c r="V680" s="4">
        <f t="shared" ca="1" si="119"/>
        <v>61</v>
      </c>
      <c r="W680" s="20">
        <f t="shared" ca="1" si="125"/>
        <v>42873.058156402847</v>
      </c>
      <c r="X680" s="4">
        <f t="shared" si="120"/>
        <v>3073.8899999999994</v>
      </c>
      <c r="Y680" s="13">
        <f t="shared" si="121"/>
        <v>9.1000029604191943E-2</v>
      </c>
    </row>
    <row r="681" spans="1:25" x14ac:dyDescent="0.3">
      <c r="A681" s="12" t="s">
        <v>1404</v>
      </c>
      <c r="B681" s="7">
        <v>44910</v>
      </c>
      <c r="C681" s="4" t="s">
        <v>1405</v>
      </c>
      <c r="D681" s="4" t="s">
        <v>50</v>
      </c>
      <c r="E681" s="4">
        <v>22636</v>
      </c>
      <c r="F681" s="4">
        <v>20.6</v>
      </c>
      <c r="G681" s="4">
        <v>36</v>
      </c>
      <c r="H681" s="4" t="s">
        <v>26</v>
      </c>
      <c r="I681" s="4" t="s">
        <v>73</v>
      </c>
      <c r="J681" s="4" t="s">
        <v>47</v>
      </c>
      <c r="K681" s="4">
        <v>79649</v>
      </c>
      <c r="L681" s="4" t="s">
        <v>29</v>
      </c>
      <c r="M681" s="4">
        <v>0.2</v>
      </c>
      <c r="N681" s="4">
        <v>0.56000000000000005</v>
      </c>
      <c r="O681" s="4">
        <v>9045.0499999999993</v>
      </c>
      <c r="P681" s="4">
        <v>0</v>
      </c>
      <c r="Q681" s="6">
        <f t="shared" si="122"/>
        <v>848.17102090702281</v>
      </c>
      <c r="R681" s="6">
        <f t="shared" si="115"/>
        <v>7898.1567526528197</v>
      </c>
      <c r="S681" s="4">
        <f t="shared" si="116"/>
        <v>40421.428571428565</v>
      </c>
      <c r="T681" s="4">
        <f t="shared" si="117"/>
        <v>6637.416666666667</v>
      </c>
      <c r="U681" s="4">
        <f t="shared" si="118"/>
        <v>1327.4833333333336</v>
      </c>
      <c r="V681" s="4">
        <f t="shared" ca="1" si="119"/>
        <v>39</v>
      </c>
      <c r="W681" s="20">
        <f t="shared" ca="1" si="125"/>
        <v>33078.669815373891</v>
      </c>
      <c r="X681" s="4">
        <f t="shared" si="120"/>
        <v>-13590.95</v>
      </c>
      <c r="Y681" s="13">
        <f t="shared" si="121"/>
        <v>-0.60041305884431884</v>
      </c>
    </row>
    <row r="682" spans="1:25" x14ac:dyDescent="0.3">
      <c r="A682" s="12" t="s">
        <v>1406</v>
      </c>
      <c r="B682" s="7">
        <v>45259</v>
      </c>
      <c r="C682" s="4" t="s">
        <v>1407</v>
      </c>
      <c r="D682" s="4" t="s">
        <v>76</v>
      </c>
      <c r="E682" s="4">
        <v>17353</v>
      </c>
      <c r="F682" s="4">
        <v>19.7</v>
      </c>
      <c r="G682" s="4">
        <v>36</v>
      </c>
      <c r="H682" s="4" t="s">
        <v>26</v>
      </c>
      <c r="I682" s="4" t="s">
        <v>84</v>
      </c>
      <c r="J682" s="4" t="s">
        <v>37</v>
      </c>
      <c r="K682" s="4">
        <v>64524</v>
      </c>
      <c r="L682" s="4" t="s">
        <v>29</v>
      </c>
      <c r="M682" s="4">
        <v>0.14000000000000001</v>
      </c>
      <c r="N682" s="4">
        <v>0.79</v>
      </c>
      <c r="O682" s="4">
        <v>7025.57</v>
      </c>
      <c r="P682" s="4">
        <v>0</v>
      </c>
      <c r="Q682" s="6">
        <f t="shared" si="122"/>
        <v>642.25017983992041</v>
      </c>
      <c r="R682" s="6">
        <f t="shared" si="115"/>
        <v>5768.006474237136</v>
      </c>
      <c r="S682" s="4">
        <f t="shared" si="116"/>
        <v>21965.822784810127</v>
      </c>
      <c r="T682" s="4">
        <f t="shared" si="117"/>
        <v>5377</v>
      </c>
      <c r="U682" s="4">
        <f t="shared" si="118"/>
        <v>752.78000000000009</v>
      </c>
      <c r="V682" s="4">
        <f t="shared" ca="1" si="119"/>
        <v>27</v>
      </c>
      <c r="W682" s="20">
        <f t="shared" ca="1" si="125"/>
        <v>17340.754855677849</v>
      </c>
      <c r="X682" s="4">
        <f t="shared" si="120"/>
        <v>-10327.43</v>
      </c>
      <c r="Y682" s="13">
        <f t="shared" si="121"/>
        <v>-0.59513801648130005</v>
      </c>
    </row>
    <row r="683" spans="1:25" x14ac:dyDescent="0.3">
      <c r="A683" s="12" t="s">
        <v>1408</v>
      </c>
      <c r="B683" s="7">
        <v>44282</v>
      </c>
      <c r="C683" s="4" t="s">
        <v>1409</v>
      </c>
      <c r="D683" s="4" t="s">
        <v>18</v>
      </c>
      <c r="E683" s="4">
        <v>12556</v>
      </c>
      <c r="F683" s="4">
        <v>11</v>
      </c>
      <c r="G683" s="4">
        <v>60</v>
      </c>
      <c r="H683" s="4" t="s">
        <v>81</v>
      </c>
      <c r="I683" s="4" t="s">
        <v>84</v>
      </c>
      <c r="J683" s="4" t="s">
        <v>37</v>
      </c>
      <c r="K683" s="4">
        <v>126493</v>
      </c>
      <c r="L683" s="4" t="s">
        <v>29</v>
      </c>
      <c r="M683" s="4">
        <v>0.23</v>
      </c>
      <c r="N683" s="4">
        <v>0.52</v>
      </c>
      <c r="O683" s="4">
        <v>3922.58</v>
      </c>
      <c r="P683" s="4">
        <v>3494.67</v>
      </c>
      <c r="Q683" s="6">
        <f t="shared" si="122"/>
        <v>272.99786410010938</v>
      </c>
      <c r="R683" s="6">
        <f t="shared" si="115"/>
        <v>3823.8718460065629</v>
      </c>
      <c r="S683" s="4">
        <f t="shared" si="116"/>
        <v>24146.153846153844</v>
      </c>
      <c r="T683" s="4">
        <f t="shared" si="117"/>
        <v>10541.083333333334</v>
      </c>
      <c r="U683" s="4">
        <f t="shared" si="118"/>
        <v>2424.4491666666668</v>
      </c>
      <c r="V683" s="4">
        <f t="shared" ca="1" si="119"/>
        <v>59</v>
      </c>
      <c r="W683" s="20">
        <v>0</v>
      </c>
      <c r="X683" s="4">
        <f t="shared" si="120"/>
        <v>-5138.75</v>
      </c>
      <c r="Y683" s="13">
        <f t="shared" si="121"/>
        <v>-0.40926648614208344</v>
      </c>
    </row>
    <row r="684" spans="1:25" x14ac:dyDescent="0.3">
      <c r="A684" s="12" t="s">
        <v>1410</v>
      </c>
      <c r="B684" s="7">
        <v>44322</v>
      </c>
      <c r="C684" s="4" t="s">
        <v>1411</v>
      </c>
      <c r="D684" s="4" t="s">
        <v>18</v>
      </c>
      <c r="E684" s="4">
        <v>28598</v>
      </c>
      <c r="F684" s="4">
        <v>11.5</v>
      </c>
      <c r="G684" s="4">
        <v>60</v>
      </c>
      <c r="H684" s="4" t="s">
        <v>26</v>
      </c>
      <c r="I684" s="4" t="s">
        <v>36</v>
      </c>
      <c r="J684" s="4" t="s">
        <v>21</v>
      </c>
      <c r="K684" s="4">
        <v>63885</v>
      </c>
      <c r="L684" s="4" t="s">
        <v>29</v>
      </c>
      <c r="M684" s="4">
        <v>0.14000000000000001</v>
      </c>
      <c r="N684" s="4">
        <v>0.7</v>
      </c>
      <c r="O684" s="4">
        <v>4701.45</v>
      </c>
      <c r="P684" s="4">
        <v>0</v>
      </c>
      <c r="Q684" s="6">
        <f t="shared" si="122"/>
        <v>628.94458570654365</v>
      </c>
      <c r="R684" s="6">
        <f t="shared" si="115"/>
        <v>9138.675142392618</v>
      </c>
      <c r="S684" s="4">
        <f t="shared" si="116"/>
        <v>40854.285714285717</v>
      </c>
      <c r="T684" s="4">
        <f t="shared" si="117"/>
        <v>5323.75</v>
      </c>
      <c r="U684" s="4">
        <f t="shared" si="118"/>
        <v>745.32500000000005</v>
      </c>
      <c r="V684" s="4">
        <f t="shared" ca="1" si="119"/>
        <v>58</v>
      </c>
      <c r="W684" s="20">
        <f t="shared" ref="W684:W706" ca="1" si="126">V684*Q684</f>
        <v>36478.78597097953</v>
      </c>
      <c r="X684" s="4">
        <f t="shared" si="120"/>
        <v>-23896.55</v>
      </c>
      <c r="Y684" s="13">
        <f t="shared" si="121"/>
        <v>-0.83560214000979083</v>
      </c>
    </row>
    <row r="685" spans="1:25" x14ac:dyDescent="0.3">
      <c r="A685" s="12" t="s">
        <v>1412</v>
      </c>
      <c r="B685" s="7">
        <v>45008</v>
      </c>
      <c r="C685" s="4" t="s">
        <v>1413</v>
      </c>
      <c r="D685" s="4" t="s">
        <v>72</v>
      </c>
      <c r="E685" s="4">
        <v>12563</v>
      </c>
      <c r="F685" s="4">
        <v>20.9</v>
      </c>
      <c r="G685" s="4">
        <v>60</v>
      </c>
      <c r="H685" s="4" t="s">
        <v>19</v>
      </c>
      <c r="I685" s="4" t="s">
        <v>27</v>
      </c>
      <c r="J685" s="4" t="s">
        <v>37</v>
      </c>
      <c r="K685" s="4">
        <v>74369</v>
      </c>
      <c r="L685" s="4" t="s">
        <v>22</v>
      </c>
      <c r="M685" s="4">
        <v>0.15</v>
      </c>
      <c r="N685" s="4">
        <v>0.75</v>
      </c>
      <c r="O685" s="4">
        <v>15188.67</v>
      </c>
      <c r="P685" s="4">
        <v>0</v>
      </c>
      <c r="Q685" s="6">
        <f t="shared" si="122"/>
        <v>339.16504021057267</v>
      </c>
      <c r="R685" s="6">
        <f t="shared" si="115"/>
        <v>7786.9024126343611</v>
      </c>
      <c r="S685" s="4">
        <f t="shared" si="116"/>
        <v>16750.666666666668</v>
      </c>
      <c r="T685" s="4">
        <f t="shared" si="117"/>
        <v>6197.416666666667</v>
      </c>
      <c r="U685" s="4">
        <f t="shared" si="118"/>
        <v>929.61249999999995</v>
      </c>
      <c r="V685" s="4">
        <f t="shared" ca="1" si="119"/>
        <v>35</v>
      </c>
      <c r="W685" s="20">
        <f t="shared" ca="1" si="126"/>
        <v>11870.776407370044</v>
      </c>
      <c r="X685" s="4">
        <f t="shared" si="120"/>
        <v>2625.67</v>
      </c>
      <c r="Y685" s="13">
        <f t="shared" si="121"/>
        <v>0.20900023879646581</v>
      </c>
    </row>
    <row r="686" spans="1:25" x14ac:dyDescent="0.3">
      <c r="A686" s="12" t="s">
        <v>1414</v>
      </c>
      <c r="B686" s="7">
        <v>44733</v>
      </c>
      <c r="C686" s="4" t="s">
        <v>1415</v>
      </c>
      <c r="D686" s="4" t="s">
        <v>50</v>
      </c>
      <c r="E686" s="4">
        <v>9234</v>
      </c>
      <c r="F686" s="4">
        <v>14.2</v>
      </c>
      <c r="G686" s="4">
        <v>36</v>
      </c>
      <c r="H686" s="4" t="s">
        <v>60</v>
      </c>
      <c r="I686" s="4" t="s">
        <v>20</v>
      </c>
      <c r="J686" s="4" t="s">
        <v>21</v>
      </c>
      <c r="K686" s="4">
        <v>131132</v>
      </c>
      <c r="L686" s="4" t="s">
        <v>33</v>
      </c>
      <c r="M686" s="4">
        <v>0.33</v>
      </c>
      <c r="N686" s="4">
        <v>0.63</v>
      </c>
      <c r="O686" s="4">
        <v>0</v>
      </c>
      <c r="P686" s="4">
        <v>0</v>
      </c>
      <c r="Q686" s="6">
        <f t="shared" si="122"/>
        <v>316.49394925274544</v>
      </c>
      <c r="R686" s="6">
        <f t="shared" si="115"/>
        <v>2159.7821730988362</v>
      </c>
      <c r="S686" s="4">
        <f t="shared" si="116"/>
        <v>14657.142857142857</v>
      </c>
      <c r="T686" s="4">
        <f t="shared" si="117"/>
        <v>10927.666666666666</v>
      </c>
      <c r="U686" s="4">
        <f t="shared" si="118"/>
        <v>3606.13</v>
      </c>
      <c r="V686" s="4">
        <f t="shared" ca="1" si="119"/>
        <v>44</v>
      </c>
      <c r="W686" s="20">
        <f t="shared" ca="1" si="126"/>
        <v>13925.733767120799</v>
      </c>
      <c r="X686" s="4">
        <f t="shared" si="120"/>
        <v>-9234</v>
      </c>
      <c r="Y686" s="13">
        <f t="shared" si="121"/>
        <v>-1</v>
      </c>
    </row>
    <row r="687" spans="1:25" x14ac:dyDescent="0.3">
      <c r="A687" s="12" t="s">
        <v>1416</v>
      </c>
      <c r="B687" s="7">
        <v>44341</v>
      </c>
      <c r="C687" s="4" t="s">
        <v>1417</v>
      </c>
      <c r="D687" s="4" t="s">
        <v>53</v>
      </c>
      <c r="E687" s="4">
        <v>26519</v>
      </c>
      <c r="F687" s="4">
        <v>19.600000000000001</v>
      </c>
      <c r="G687" s="4">
        <v>36</v>
      </c>
      <c r="H687" s="4" t="s">
        <v>26</v>
      </c>
      <c r="I687" s="4" t="s">
        <v>20</v>
      </c>
      <c r="J687" s="4" t="s">
        <v>32</v>
      </c>
      <c r="K687" s="4">
        <v>125402</v>
      </c>
      <c r="L687" s="4" t="s">
        <v>33</v>
      </c>
      <c r="M687" s="4">
        <v>0.12</v>
      </c>
      <c r="N687" s="4">
        <v>0.7</v>
      </c>
      <c r="O687" s="4">
        <v>11613.67</v>
      </c>
      <c r="P687" s="4">
        <v>0</v>
      </c>
      <c r="Q687" s="6">
        <f t="shared" si="122"/>
        <v>980.14453431675054</v>
      </c>
      <c r="R687" s="6">
        <f t="shared" si="115"/>
        <v>8766.2032354030162</v>
      </c>
      <c r="S687" s="4">
        <f t="shared" si="116"/>
        <v>37884.285714285717</v>
      </c>
      <c r="T687" s="4">
        <f t="shared" si="117"/>
        <v>10450.166666666666</v>
      </c>
      <c r="U687" s="4">
        <f t="shared" si="118"/>
        <v>1254.02</v>
      </c>
      <c r="V687" s="4">
        <f t="shared" ca="1" si="119"/>
        <v>57</v>
      </c>
      <c r="W687" s="20">
        <f t="shared" ca="1" si="126"/>
        <v>55868.23845605478</v>
      </c>
      <c r="X687" s="4">
        <f t="shared" si="120"/>
        <v>-14905.33</v>
      </c>
      <c r="Y687" s="13">
        <f t="shared" si="121"/>
        <v>-0.56206229495833171</v>
      </c>
    </row>
    <row r="688" spans="1:25" x14ac:dyDescent="0.3">
      <c r="A688" s="12" t="s">
        <v>1418</v>
      </c>
      <c r="B688" s="7">
        <v>44221</v>
      </c>
      <c r="C688" s="4" t="s">
        <v>1419</v>
      </c>
      <c r="D688" s="4" t="s">
        <v>65</v>
      </c>
      <c r="E688" s="4">
        <v>27966</v>
      </c>
      <c r="F688" s="4">
        <v>8</v>
      </c>
      <c r="G688" s="4">
        <v>60</v>
      </c>
      <c r="H688" s="4" t="s">
        <v>26</v>
      </c>
      <c r="I688" s="4" t="s">
        <v>73</v>
      </c>
      <c r="J688" s="4" t="s">
        <v>47</v>
      </c>
      <c r="K688" s="4">
        <v>60676</v>
      </c>
      <c r="L688" s="4" t="s">
        <v>29</v>
      </c>
      <c r="M688" s="4">
        <v>0.11</v>
      </c>
      <c r="N688" s="4">
        <v>0.56999999999999995</v>
      </c>
      <c r="O688" s="4">
        <v>12642.02</v>
      </c>
      <c r="P688" s="4">
        <v>0</v>
      </c>
      <c r="Q688" s="6">
        <f t="shared" si="122"/>
        <v>567.04964266977697</v>
      </c>
      <c r="R688" s="6">
        <f t="shared" si="115"/>
        <v>6056.978560186617</v>
      </c>
      <c r="S688" s="4">
        <f t="shared" si="116"/>
        <v>49063.157894736847</v>
      </c>
      <c r="T688" s="4">
        <f t="shared" si="117"/>
        <v>5056.333333333333</v>
      </c>
      <c r="U688" s="4">
        <f t="shared" si="118"/>
        <v>556.1966666666666</v>
      </c>
      <c r="V688" s="4">
        <f t="shared" ca="1" si="119"/>
        <v>61</v>
      </c>
      <c r="W688" s="20">
        <f t="shared" ca="1" si="126"/>
        <v>34590.028202856396</v>
      </c>
      <c r="X688" s="4">
        <f t="shared" si="120"/>
        <v>-15323.98</v>
      </c>
      <c r="Y688" s="13">
        <f t="shared" si="121"/>
        <v>-0.54795036830436961</v>
      </c>
    </row>
    <row r="689" spans="1:25" x14ac:dyDescent="0.3">
      <c r="A689" s="12" t="s">
        <v>1420</v>
      </c>
      <c r="B689" s="7">
        <v>44263</v>
      </c>
      <c r="C689" s="4" t="s">
        <v>1421</v>
      </c>
      <c r="D689" s="4" t="s">
        <v>76</v>
      </c>
      <c r="E689" s="4">
        <v>17173</v>
      </c>
      <c r="F689" s="4">
        <v>22.1</v>
      </c>
      <c r="G689" s="4">
        <v>36</v>
      </c>
      <c r="H689" s="4" t="s">
        <v>19</v>
      </c>
      <c r="I689" s="4" t="s">
        <v>73</v>
      </c>
      <c r="J689" s="4" t="s">
        <v>37</v>
      </c>
      <c r="K689" s="4">
        <v>94093</v>
      </c>
      <c r="L689" s="4" t="s">
        <v>33</v>
      </c>
      <c r="M689" s="4">
        <v>0.39</v>
      </c>
      <c r="N689" s="4">
        <v>0.64</v>
      </c>
      <c r="O689" s="4">
        <v>20968.23</v>
      </c>
      <c r="P689" s="4">
        <v>0</v>
      </c>
      <c r="Q689" s="6">
        <f t="shared" si="122"/>
        <v>656.73339720596209</v>
      </c>
      <c r="R689" s="6">
        <f t="shared" si="115"/>
        <v>6469.4022994146362</v>
      </c>
      <c r="S689" s="4">
        <f t="shared" si="116"/>
        <v>26832.8125</v>
      </c>
      <c r="T689" s="4">
        <f t="shared" si="117"/>
        <v>7841.083333333333</v>
      </c>
      <c r="U689" s="4">
        <f t="shared" si="118"/>
        <v>3058.0225</v>
      </c>
      <c r="V689" s="4">
        <f t="shared" ca="1" si="119"/>
        <v>60</v>
      </c>
      <c r="W689" s="20">
        <f t="shared" ca="1" si="126"/>
        <v>39404.003832357725</v>
      </c>
      <c r="X689" s="4">
        <f t="shared" si="120"/>
        <v>3795.2299999999996</v>
      </c>
      <c r="Y689" s="13">
        <f t="shared" si="121"/>
        <v>0.22099982530716819</v>
      </c>
    </row>
    <row r="690" spans="1:25" x14ac:dyDescent="0.3">
      <c r="A690" s="12" t="s">
        <v>1422</v>
      </c>
      <c r="B690" s="7">
        <v>44429</v>
      </c>
      <c r="C690" s="4" t="s">
        <v>1423</v>
      </c>
      <c r="D690" s="4" t="s">
        <v>76</v>
      </c>
      <c r="E690" s="4">
        <v>27987</v>
      </c>
      <c r="F690" s="4">
        <v>19.2</v>
      </c>
      <c r="G690" s="4">
        <v>60</v>
      </c>
      <c r="H690" s="4" t="s">
        <v>19</v>
      </c>
      <c r="I690" s="4" t="s">
        <v>20</v>
      </c>
      <c r="J690" s="4" t="s">
        <v>21</v>
      </c>
      <c r="K690" s="4">
        <v>77764</v>
      </c>
      <c r="L690" s="4" t="s">
        <v>22</v>
      </c>
      <c r="M690" s="4">
        <v>0.24</v>
      </c>
      <c r="N690" s="4">
        <v>0.78</v>
      </c>
      <c r="O690" s="4">
        <v>33360.5</v>
      </c>
      <c r="P690" s="4">
        <v>0</v>
      </c>
      <c r="Q690" s="6">
        <f t="shared" si="122"/>
        <v>729.08158484805108</v>
      </c>
      <c r="R690" s="6">
        <f t="shared" si="115"/>
        <v>15757.895090883067</v>
      </c>
      <c r="S690" s="4">
        <f t="shared" si="116"/>
        <v>35880.769230769227</v>
      </c>
      <c r="T690" s="4">
        <f t="shared" si="117"/>
        <v>6480.333333333333</v>
      </c>
      <c r="U690" s="4">
        <f t="shared" si="118"/>
        <v>1555.28</v>
      </c>
      <c r="V690" s="4">
        <f t="shared" ca="1" si="119"/>
        <v>54</v>
      </c>
      <c r="W690" s="20">
        <f t="shared" ca="1" si="126"/>
        <v>39370.405581794759</v>
      </c>
      <c r="X690" s="4">
        <f t="shared" si="120"/>
        <v>5373.5</v>
      </c>
      <c r="Y690" s="13">
        <f t="shared" si="121"/>
        <v>0.1919998570764998</v>
      </c>
    </row>
    <row r="691" spans="1:25" x14ac:dyDescent="0.3">
      <c r="A691" s="12" t="s">
        <v>1424</v>
      </c>
      <c r="B691" s="7">
        <v>44305</v>
      </c>
      <c r="C691" s="4" t="s">
        <v>1425</v>
      </c>
      <c r="D691" s="4" t="s">
        <v>53</v>
      </c>
      <c r="E691" s="4">
        <v>14178</v>
      </c>
      <c r="F691" s="4">
        <v>23.1</v>
      </c>
      <c r="G691" s="4">
        <v>60</v>
      </c>
      <c r="H691" s="4" t="s">
        <v>26</v>
      </c>
      <c r="I691" s="4" t="s">
        <v>20</v>
      </c>
      <c r="J691" s="4" t="s">
        <v>32</v>
      </c>
      <c r="K691" s="4">
        <v>80799</v>
      </c>
      <c r="L691" s="4" t="s">
        <v>33</v>
      </c>
      <c r="M691" s="4">
        <v>0.15</v>
      </c>
      <c r="N691" s="4">
        <v>0.64</v>
      </c>
      <c r="O691" s="4">
        <v>1947.61</v>
      </c>
      <c r="P691" s="4">
        <v>0</v>
      </c>
      <c r="Q691" s="6">
        <f t="shared" si="122"/>
        <v>400.4995009847313</v>
      </c>
      <c r="R691" s="6">
        <f t="shared" si="115"/>
        <v>9851.9700590838765</v>
      </c>
      <c r="S691" s="4">
        <f t="shared" si="116"/>
        <v>22153.125</v>
      </c>
      <c r="T691" s="4">
        <f t="shared" si="117"/>
        <v>6733.25</v>
      </c>
      <c r="U691" s="4">
        <f t="shared" si="118"/>
        <v>1009.9875</v>
      </c>
      <c r="V691" s="4">
        <f t="shared" ca="1" si="119"/>
        <v>59</v>
      </c>
      <c r="W691" s="20">
        <f t="shared" ca="1" si="126"/>
        <v>23629.470558099147</v>
      </c>
      <c r="X691" s="4">
        <f t="shared" si="120"/>
        <v>-12230.39</v>
      </c>
      <c r="Y691" s="13">
        <f t="shared" si="121"/>
        <v>-0.86263154182536317</v>
      </c>
    </row>
    <row r="692" spans="1:25" x14ac:dyDescent="0.3">
      <c r="A692" s="12" t="s">
        <v>1426</v>
      </c>
      <c r="B692" s="7">
        <v>44307</v>
      </c>
      <c r="C692" s="4" t="s">
        <v>1427</v>
      </c>
      <c r="D692" s="4" t="s">
        <v>65</v>
      </c>
      <c r="E692" s="4">
        <v>25596</v>
      </c>
      <c r="F692" s="4">
        <v>7.6</v>
      </c>
      <c r="G692" s="4">
        <v>36</v>
      </c>
      <c r="H692" s="4" t="s">
        <v>19</v>
      </c>
      <c r="I692" s="4" t="s">
        <v>73</v>
      </c>
      <c r="J692" s="4" t="s">
        <v>37</v>
      </c>
      <c r="K692" s="4">
        <v>109414</v>
      </c>
      <c r="L692" s="4" t="s">
        <v>22</v>
      </c>
      <c r="M692" s="4">
        <v>0.2</v>
      </c>
      <c r="N692" s="4">
        <v>0.9</v>
      </c>
      <c r="O692" s="4">
        <v>27541.3</v>
      </c>
      <c r="P692" s="4">
        <v>0</v>
      </c>
      <c r="Q692" s="6">
        <f t="shared" si="122"/>
        <v>797.37083025642551</v>
      </c>
      <c r="R692" s="6">
        <f t="shared" si="115"/>
        <v>3109.3498892313182</v>
      </c>
      <c r="S692" s="4">
        <f t="shared" si="116"/>
        <v>28440</v>
      </c>
      <c r="T692" s="4">
        <f t="shared" si="117"/>
        <v>9117.8333333333339</v>
      </c>
      <c r="U692" s="4">
        <f t="shared" si="118"/>
        <v>1823.5666666666668</v>
      </c>
      <c r="V692" s="4">
        <f t="shared" ca="1" si="119"/>
        <v>58</v>
      </c>
      <c r="W692" s="20">
        <f t="shared" ca="1" si="126"/>
        <v>46247.508154872681</v>
      </c>
      <c r="X692" s="4">
        <f t="shared" si="120"/>
        <v>1945.2999999999993</v>
      </c>
      <c r="Y692" s="13">
        <f t="shared" si="121"/>
        <v>7.6000156274417849E-2</v>
      </c>
    </row>
    <row r="693" spans="1:25" x14ac:dyDescent="0.3">
      <c r="A693" s="12" t="s">
        <v>1428</v>
      </c>
      <c r="B693" s="7">
        <v>44424</v>
      </c>
      <c r="C693" s="4" t="s">
        <v>1429</v>
      </c>
      <c r="D693" s="4" t="s">
        <v>72</v>
      </c>
      <c r="E693" s="4">
        <v>34174</v>
      </c>
      <c r="F693" s="4">
        <v>16.899999999999999</v>
      </c>
      <c r="G693" s="4">
        <v>36</v>
      </c>
      <c r="H693" s="4" t="s">
        <v>19</v>
      </c>
      <c r="I693" s="4" t="s">
        <v>27</v>
      </c>
      <c r="J693" s="4" t="s">
        <v>28</v>
      </c>
      <c r="K693" s="4">
        <v>135296</v>
      </c>
      <c r="L693" s="4" t="s">
        <v>22</v>
      </c>
      <c r="M693" s="4">
        <v>0.36</v>
      </c>
      <c r="N693" s="4">
        <v>0.78</v>
      </c>
      <c r="O693" s="4">
        <v>39949.410000000003</v>
      </c>
      <c r="P693" s="4">
        <v>0</v>
      </c>
      <c r="Q693" s="6">
        <f t="shared" si="122"/>
        <v>1216.6962041192153</v>
      </c>
      <c r="R693" s="6">
        <f t="shared" si="115"/>
        <v>9627.0633482917474</v>
      </c>
      <c r="S693" s="4">
        <f t="shared" si="116"/>
        <v>43812.820512820508</v>
      </c>
      <c r="T693" s="4">
        <f t="shared" si="117"/>
        <v>11274.666666666666</v>
      </c>
      <c r="U693" s="4">
        <f t="shared" si="118"/>
        <v>4058.8799999999997</v>
      </c>
      <c r="V693" s="4">
        <f t="shared" ca="1" si="119"/>
        <v>55</v>
      </c>
      <c r="W693" s="20">
        <f t="shared" ca="1" si="126"/>
        <v>66918.291226556845</v>
      </c>
      <c r="X693" s="4">
        <f t="shared" si="120"/>
        <v>5775.4100000000035</v>
      </c>
      <c r="Y693" s="13">
        <f t="shared" si="121"/>
        <v>0.16900011704804832</v>
      </c>
    </row>
    <row r="694" spans="1:25" x14ac:dyDescent="0.3">
      <c r="A694" s="12" t="s">
        <v>1430</v>
      </c>
      <c r="B694" s="7">
        <v>44307</v>
      </c>
      <c r="C694" s="4" t="s">
        <v>1431</v>
      </c>
      <c r="D694" s="4" t="s">
        <v>46</v>
      </c>
      <c r="E694" s="4">
        <v>5431</v>
      </c>
      <c r="F694" s="4">
        <v>17</v>
      </c>
      <c r="G694" s="4">
        <v>60</v>
      </c>
      <c r="H694" s="4" t="s">
        <v>26</v>
      </c>
      <c r="I694" s="4" t="s">
        <v>41</v>
      </c>
      <c r="J694" s="4" t="s">
        <v>32</v>
      </c>
      <c r="K694" s="4">
        <v>123095</v>
      </c>
      <c r="L694" s="4" t="s">
        <v>33</v>
      </c>
      <c r="M694" s="4">
        <v>0.21</v>
      </c>
      <c r="N694" s="4">
        <v>0.7</v>
      </c>
      <c r="O694" s="4">
        <v>590.38</v>
      </c>
      <c r="P694" s="4">
        <v>0</v>
      </c>
      <c r="Q694" s="6">
        <f t="shared" si="122"/>
        <v>134.97433899128723</v>
      </c>
      <c r="R694" s="6">
        <f t="shared" si="115"/>
        <v>2667.4603394772339</v>
      </c>
      <c r="S694" s="4">
        <f t="shared" si="116"/>
        <v>7758.5714285714294</v>
      </c>
      <c r="T694" s="4">
        <f t="shared" si="117"/>
        <v>10257.916666666666</v>
      </c>
      <c r="U694" s="4">
        <f t="shared" si="118"/>
        <v>2154.1624999999999</v>
      </c>
      <c r="V694" s="4">
        <f t="shared" ca="1" si="119"/>
        <v>58</v>
      </c>
      <c r="W694" s="20">
        <f t="shared" ca="1" si="126"/>
        <v>7828.5116614946592</v>
      </c>
      <c r="X694" s="4">
        <f t="shared" si="120"/>
        <v>-4840.62</v>
      </c>
      <c r="Y694" s="13">
        <f t="shared" si="121"/>
        <v>-0.89129442091695821</v>
      </c>
    </row>
    <row r="695" spans="1:25" x14ac:dyDescent="0.3">
      <c r="A695" s="12" t="s">
        <v>1432</v>
      </c>
      <c r="B695" s="7">
        <v>44230</v>
      </c>
      <c r="C695" s="4" t="s">
        <v>1433</v>
      </c>
      <c r="D695" s="4" t="s">
        <v>56</v>
      </c>
      <c r="E695" s="4">
        <v>28764</v>
      </c>
      <c r="F695" s="4">
        <v>12.1</v>
      </c>
      <c r="G695" s="4">
        <v>60</v>
      </c>
      <c r="H695" s="4" t="s">
        <v>19</v>
      </c>
      <c r="I695" s="4" t="s">
        <v>27</v>
      </c>
      <c r="J695" s="4" t="s">
        <v>37</v>
      </c>
      <c r="K695" s="4">
        <v>142082</v>
      </c>
      <c r="L695" s="4" t="s">
        <v>22</v>
      </c>
      <c r="M695" s="4">
        <v>0.3</v>
      </c>
      <c r="N695" s="4">
        <v>0.52</v>
      </c>
      <c r="O695" s="4">
        <v>32244.44</v>
      </c>
      <c r="P695" s="4">
        <v>0</v>
      </c>
      <c r="Q695" s="6">
        <f t="shared" si="122"/>
        <v>641.29378161833756</v>
      </c>
      <c r="R695" s="6">
        <f t="shared" si="115"/>
        <v>9713.6268971002573</v>
      </c>
      <c r="S695" s="4">
        <f t="shared" si="116"/>
        <v>55315.384615384617</v>
      </c>
      <c r="T695" s="4">
        <f t="shared" si="117"/>
        <v>11840.166666666666</v>
      </c>
      <c r="U695" s="4">
        <f t="shared" si="118"/>
        <v>3552.0499999999997</v>
      </c>
      <c r="V695" s="4">
        <f t="shared" ca="1" si="119"/>
        <v>61</v>
      </c>
      <c r="W695" s="20">
        <f t="shared" ca="1" si="126"/>
        <v>39118.92067871859</v>
      </c>
      <c r="X695" s="4">
        <f t="shared" si="120"/>
        <v>3480.4399999999987</v>
      </c>
      <c r="Y695" s="13">
        <f t="shared" si="121"/>
        <v>0.12099986093728267</v>
      </c>
    </row>
    <row r="696" spans="1:25" x14ac:dyDescent="0.3">
      <c r="A696" s="12" t="s">
        <v>1434</v>
      </c>
      <c r="B696" s="7">
        <v>44819</v>
      </c>
      <c r="C696" s="4" t="s">
        <v>1435</v>
      </c>
      <c r="D696" s="4" t="s">
        <v>50</v>
      </c>
      <c r="E696" s="4">
        <v>22627</v>
      </c>
      <c r="F696" s="4">
        <v>14.2</v>
      </c>
      <c r="G696" s="4">
        <v>60</v>
      </c>
      <c r="H696" s="4" t="s">
        <v>19</v>
      </c>
      <c r="I696" s="4" t="s">
        <v>84</v>
      </c>
      <c r="J696" s="4" t="s">
        <v>32</v>
      </c>
      <c r="K696" s="4">
        <v>102307</v>
      </c>
      <c r="L696" s="4" t="s">
        <v>22</v>
      </c>
      <c r="M696" s="4">
        <v>0.15</v>
      </c>
      <c r="N696" s="4">
        <v>0.72</v>
      </c>
      <c r="O696" s="4">
        <v>25840.03</v>
      </c>
      <c r="P696" s="4">
        <v>0</v>
      </c>
      <c r="Q696" s="6">
        <f t="shared" si="122"/>
        <v>528.83978855185364</v>
      </c>
      <c r="R696" s="6">
        <f t="shared" si="115"/>
        <v>9103.3873131112196</v>
      </c>
      <c r="S696" s="4">
        <f t="shared" si="116"/>
        <v>31426.388888888891</v>
      </c>
      <c r="T696" s="4">
        <f t="shared" si="117"/>
        <v>8525.5833333333339</v>
      </c>
      <c r="U696" s="4">
        <f t="shared" si="118"/>
        <v>1278.8375000000001</v>
      </c>
      <c r="V696" s="4">
        <f t="shared" ca="1" si="119"/>
        <v>42</v>
      </c>
      <c r="W696" s="20">
        <f t="shared" ca="1" si="126"/>
        <v>22211.271119177854</v>
      </c>
      <c r="X696" s="4">
        <f t="shared" si="120"/>
        <v>3213.0299999999988</v>
      </c>
      <c r="Y696" s="13">
        <f t="shared" si="121"/>
        <v>0.14199982322004678</v>
      </c>
    </row>
    <row r="697" spans="1:25" x14ac:dyDescent="0.3">
      <c r="A697" s="12" t="s">
        <v>1436</v>
      </c>
      <c r="B697" s="7">
        <v>44944</v>
      </c>
      <c r="C697" s="4" t="s">
        <v>1437</v>
      </c>
      <c r="D697" s="4" t="s">
        <v>18</v>
      </c>
      <c r="E697" s="4">
        <v>9906</v>
      </c>
      <c r="F697" s="4">
        <v>5.8</v>
      </c>
      <c r="G697" s="4">
        <v>60</v>
      </c>
      <c r="H697" s="4" t="s">
        <v>19</v>
      </c>
      <c r="I697" s="4" t="s">
        <v>73</v>
      </c>
      <c r="J697" s="4" t="s">
        <v>47</v>
      </c>
      <c r="K697" s="4">
        <v>112062</v>
      </c>
      <c r="L697" s="4" t="s">
        <v>22</v>
      </c>
      <c r="M697" s="4">
        <v>0.34</v>
      </c>
      <c r="N697" s="4">
        <v>0.84</v>
      </c>
      <c r="O697" s="4">
        <v>10480.549999999999</v>
      </c>
      <c r="P697" s="4">
        <v>0</v>
      </c>
      <c r="Q697" s="6">
        <f t="shared" si="122"/>
        <v>190.59085263509331</v>
      </c>
      <c r="R697" s="6">
        <f t="shared" si="115"/>
        <v>1529.4511581055995</v>
      </c>
      <c r="S697" s="4">
        <f t="shared" si="116"/>
        <v>11792.857142857143</v>
      </c>
      <c r="T697" s="4">
        <f t="shared" si="117"/>
        <v>9338.5</v>
      </c>
      <c r="U697" s="4">
        <f t="shared" si="118"/>
        <v>3175.09</v>
      </c>
      <c r="V697" s="4">
        <f t="shared" ca="1" si="119"/>
        <v>38</v>
      </c>
      <c r="W697" s="20">
        <f t="shared" ca="1" si="126"/>
        <v>7242.4524001335458</v>
      </c>
      <c r="X697" s="4">
        <f t="shared" si="120"/>
        <v>574.54999999999927</v>
      </c>
      <c r="Y697" s="13">
        <f t="shared" si="121"/>
        <v>5.8000201897839616E-2</v>
      </c>
    </row>
    <row r="698" spans="1:25" x14ac:dyDescent="0.3">
      <c r="A698" s="12" t="s">
        <v>1438</v>
      </c>
      <c r="B698" s="7">
        <v>44791</v>
      </c>
      <c r="C698" s="4" t="s">
        <v>1439</v>
      </c>
      <c r="D698" s="4" t="s">
        <v>53</v>
      </c>
      <c r="E698" s="4">
        <v>37914</v>
      </c>
      <c r="F698" s="4">
        <v>19.899999999999999</v>
      </c>
      <c r="G698" s="4">
        <v>36</v>
      </c>
      <c r="H698" s="4" t="s">
        <v>19</v>
      </c>
      <c r="I698" s="4" t="s">
        <v>41</v>
      </c>
      <c r="J698" s="4" t="s">
        <v>47</v>
      </c>
      <c r="K698" s="4">
        <v>125432</v>
      </c>
      <c r="L698" s="4" t="s">
        <v>22</v>
      </c>
      <c r="M698" s="4">
        <v>0.23</v>
      </c>
      <c r="N698" s="4">
        <v>0.62</v>
      </c>
      <c r="O698" s="4">
        <v>45458.89</v>
      </c>
      <c r="P698" s="4">
        <v>0</v>
      </c>
      <c r="Q698" s="6">
        <f t="shared" si="122"/>
        <v>1407.08902318589</v>
      </c>
      <c r="R698" s="6">
        <f t="shared" si="115"/>
        <v>12741.204834692042</v>
      </c>
      <c r="S698" s="4">
        <f t="shared" si="116"/>
        <v>61151.61290322581</v>
      </c>
      <c r="T698" s="4">
        <f t="shared" si="117"/>
        <v>10452.666666666666</v>
      </c>
      <c r="U698" s="4">
        <f t="shared" si="118"/>
        <v>2404.1133333333332</v>
      </c>
      <c r="V698" s="4">
        <f t="shared" ca="1" si="119"/>
        <v>43</v>
      </c>
      <c r="W698" s="20">
        <f t="shared" ca="1" si="126"/>
        <v>60504.82799699327</v>
      </c>
      <c r="X698" s="4">
        <f t="shared" si="120"/>
        <v>7544.8899999999994</v>
      </c>
      <c r="Y698" s="13">
        <f t="shared" si="121"/>
        <v>0.1990001055019254</v>
      </c>
    </row>
    <row r="699" spans="1:25" x14ac:dyDescent="0.3">
      <c r="A699" s="12" t="s">
        <v>1440</v>
      </c>
      <c r="B699" s="7">
        <v>44621</v>
      </c>
      <c r="C699" s="4" t="s">
        <v>1441</v>
      </c>
      <c r="D699" s="4" t="s">
        <v>50</v>
      </c>
      <c r="E699" s="4">
        <v>14076</v>
      </c>
      <c r="F699" s="4">
        <v>16</v>
      </c>
      <c r="G699" s="4">
        <v>60</v>
      </c>
      <c r="H699" s="4" t="s">
        <v>26</v>
      </c>
      <c r="I699" s="4" t="s">
        <v>27</v>
      </c>
      <c r="J699" s="4" t="s">
        <v>47</v>
      </c>
      <c r="K699" s="4">
        <v>61923</v>
      </c>
      <c r="L699" s="4" t="s">
        <v>29</v>
      </c>
      <c r="M699" s="4">
        <v>0.35</v>
      </c>
      <c r="N699" s="4">
        <v>0.86</v>
      </c>
      <c r="O699" s="4">
        <v>6883.48</v>
      </c>
      <c r="P699" s="4">
        <v>0</v>
      </c>
      <c r="Q699" s="6">
        <f t="shared" si="122"/>
        <v>342.30097196987117</v>
      </c>
      <c r="R699" s="6">
        <f t="shared" si="115"/>
        <v>6462.0583181922702</v>
      </c>
      <c r="S699" s="4">
        <f t="shared" si="116"/>
        <v>16367.441860465116</v>
      </c>
      <c r="T699" s="4">
        <f t="shared" si="117"/>
        <v>5160.25</v>
      </c>
      <c r="U699" s="4">
        <f t="shared" si="118"/>
        <v>1806.0874999999999</v>
      </c>
      <c r="V699" s="4">
        <f t="shared" ca="1" si="119"/>
        <v>48</v>
      </c>
      <c r="W699" s="20">
        <f t="shared" ca="1" si="126"/>
        <v>16430.446654553816</v>
      </c>
      <c r="X699" s="4">
        <f t="shared" si="120"/>
        <v>-7192.52</v>
      </c>
      <c r="Y699" s="13">
        <f t="shared" si="121"/>
        <v>-0.51097755044046611</v>
      </c>
    </row>
    <row r="700" spans="1:25" x14ac:dyDescent="0.3">
      <c r="A700" s="12" t="s">
        <v>1442</v>
      </c>
      <c r="B700" s="7">
        <v>44809</v>
      </c>
      <c r="C700" s="4" t="s">
        <v>1443</v>
      </c>
      <c r="D700" s="4" t="s">
        <v>18</v>
      </c>
      <c r="E700" s="4">
        <v>38650</v>
      </c>
      <c r="F700" s="4">
        <v>6.2</v>
      </c>
      <c r="G700" s="4">
        <v>60</v>
      </c>
      <c r="H700" s="4" t="s">
        <v>19</v>
      </c>
      <c r="I700" s="4" t="s">
        <v>84</v>
      </c>
      <c r="J700" s="4" t="s">
        <v>28</v>
      </c>
      <c r="K700" s="4">
        <v>147449</v>
      </c>
      <c r="L700" s="4" t="s">
        <v>33</v>
      </c>
      <c r="M700" s="4">
        <v>0.42</v>
      </c>
      <c r="N700" s="4">
        <v>0.61</v>
      </c>
      <c r="O700" s="4">
        <v>41046.300000000003</v>
      </c>
      <c r="P700" s="4">
        <v>0</v>
      </c>
      <c r="Q700" s="6">
        <f t="shared" si="122"/>
        <v>750.81240815820979</v>
      </c>
      <c r="R700" s="6">
        <f t="shared" si="115"/>
        <v>6398.7444894925866</v>
      </c>
      <c r="S700" s="4">
        <f t="shared" si="116"/>
        <v>63360.655737704918</v>
      </c>
      <c r="T700" s="4">
        <f t="shared" si="117"/>
        <v>12287.416666666666</v>
      </c>
      <c r="U700" s="4">
        <f t="shared" si="118"/>
        <v>5160.7149999999992</v>
      </c>
      <c r="V700" s="4">
        <f t="shared" ca="1" si="119"/>
        <v>42</v>
      </c>
      <c r="W700" s="20">
        <f t="shared" ca="1" si="126"/>
        <v>31534.12114264481</v>
      </c>
      <c r="X700" s="4">
        <f t="shared" si="120"/>
        <v>2396.3000000000029</v>
      </c>
      <c r="Y700" s="13">
        <f t="shared" si="121"/>
        <v>6.2000000000000076E-2</v>
      </c>
    </row>
    <row r="701" spans="1:25" x14ac:dyDescent="0.3">
      <c r="A701" s="12" t="s">
        <v>1444</v>
      </c>
      <c r="B701" s="7">
        <v>44888</v>
      </c>
      <c r="C701" s="4" t="s">
        <v>1445</v>
      </c>
      <c r="D701" s="4" t="s">
        <v>56</v>
      </c>
      <c r="E701" s="4">
        <v>7012</v>
      </c>
      <c r="F701" s="4">
        <v>18.600000000000001</v>
      </c>
      <c r="G701" s="4">
        <v>60</v>
      </c>
      <c r="H701" s="4" t="s">
        <v>19</v>
      </c>
      <c r="I701" s="4" t="s">
        <v>36</v>
      </c>
      <c r="J701" s="4" t="s">
        <v>47</v>
      </c>
      <c r="K701" s="4">
        <v>131739</v>
      </c>
      <c r="L701" s="4" t="s">
        <v>29</v>
      </c>
      <c r="M701" s="4">
        <v>0.34</v>
      </c>
      <c r="N701" s="4">
        <v>0.87</v>
      </c>
      <c r="O701" s="4">
        <v>8316.23</v>
      </c>
      <c r="P701" s="4">
        <v>0</v>
      </c>
      <c r="Q701" s="6">
        <f t="shared" si="122"/>
        <v>180.35532247185751</v>
      </c>
      <c r="R701" s="6">
        <f t="shared" si="115"/>
        <v>3809.3193483114501</v>
      </c>
      <c r="S701" s="4">
        <f t="shared" si="116"/>
        <v>8059.7701149425284</v>
      </c>
      <c r="T701" s="4">
        <f t="shared" si="117"/>
        <v>10978.25</v>
      </c>
      <c r="U701" s="4">
        <f t="shared" si="118"/>
        <v>3732.6050000000005</v>
      </c>
      <c r="V701" s="4">
        <f t="shared" ca="1" si="119"/>
        <v>39</v>
      </c>
      <c r="W701" s="20">
        <f t="shared" ca="1" si="126"/>
        <v>7033.8575764024426</v>
      </c>
      <c r="X701" s="4">
        <f t="shared" si="120"/>
        <v>1304.2299999999996</v>
      </c>
      <c r="Y701" s="13">
        <f t="shared" si="121"/>
        <v>0.18599971477467192</v>
      </c>
    </row>
    <row r="702" spans="1:25" x14ac:dyDescent="0.3">
      <c r="A702" s="12" t="s">
        <v>1446</v>
      </c>
      <c r="B702" s="7">
        <v>44511</v>
      </c>
      <c r="C702" s="4" t="s">
        <v>1447</v>
      </c>
      <c r="D702" s="4" t="s">
        <v>56</v>
      </c>
      <c r="E702" s="4">
        <v>8151</v>
      </c>
      <c r="F702" s="4">
        <v>14.3</v>
      </c>
      <c r="G702" s="4">
        <v>36</v>
      </c>
      <c r="H702" s="4" t="s">
        <v>26</v>
      </c>
      <c r="I702" s="4" t="s">
        <v>36</v>
      </c>
      <c r="J702" s="4" t="s">
        <v>28</v>
      </c>
      <c r="K702" s="4">
        <v>134926</v>
      </c>
      <c r="L702" s="4" t="s">
        <v>22</v>
      </c>
      <c r="M702" s="4">
        <v>0.22</v>
      </c>
      <c r="N702" s="4">
        <v>0.54</v>
      </c>
      <c r="O702" s="4">
        <v>3592.52</v>
      </c>
      <c r="P702" s="4">
        <v>0</v>
      </c>
      <c r="Q702" s="6">
        <f t="shared" si="122"/>
        <v>279.77099405632731</v>
      </c>
      <c r="R702" s="6">
        <f t="shared" si="115"/>
        <v>1920.755786027783</v>
      </c>
      <c r="S702" s="4">
        <f t="shared" si="116"/>
        <v>15094.444444444443</v>
      </c>
      <c r="T702" s="4">
        <f t="shared" si="117"/>
        <v>11243.833333333334</v>
      </c>
      <c r="U702" s="4">
        <f t="shared" si="118"/>
        <v>2473.6433333333334</v>
      </c>
      <c r="V702" s="4">
        <f t="shared" ca="1" si="119"/>
        <v>52</v>
      </c>
      <c r="W702" s="20">
        <f t="shared" ca="1" si="126"/>
        <v>14548.091690929021</v>
      </c>
      <c r="X702" s="4">
        <f t="shared" si="120"/>
        <v>-4558.4799999999996</v>
      </c>
      <c r="Y702" s="13">
        <f t="shared" si="121"/>
        <v>-0.55925407925407922</v>
      </c>
    </row>
    <row r="703" spans="1:25" x14ac:dyDescent="0.3">
      <c r="A703" s="12" t="s">
        <v>1448</v>
      </c>
      <c r="B703" s="7">
        <v>45073</v>
      </c>
      <c r="C703" s="4" t="s">
        <v>1449</v>
      </c>
      <c r="D703" s="4" t="s">
        <v>46</v>
      </c>
      <c r="E703" s="4">
        <v>29211</v>
      </c>
      <c r="F703" s="4">
        <v>5.7</v>
      </c>
      <c r="G703" s="4">
        <v>36</v>
      </c>
      <c r="H703" s="4" t="s">
        <v>60</v>
      </c>
      <c r="I703" s="4" t="s">
        <v>57</v>
      </c>
      <c r="J703" s="4" t="s">
        <v>47</v>
      </c>
      <c r="K703" s="4">
        <v>108388</v>
      </c>
      <c r="L703" s="4" t="s">
        <v>33</v>
      </c>
      <c r="M703" s="4">
        <v>0.2</v>
      </c>
      <c r="N703" s="4">
        <v>0.89</v>
      </c>
      <c r="O703" s="4">
        <v>0</v>
      </c>
      <c r="P703" s="4">
        <v>0</v>
      </c>
      <c r="Q703" s="6">
        <f t="shared" si="122"/>
        <v>884.68996660604955</v>
      </c>
      <c r="R703" s="6">
        <f t="shared" si="115"/>
        <v>2637.8387978177852</v>
      </c>
      <c r="S703" s="4">
        <f t="shared" si="116"/>
        <v>32821.348314606745</v>
      </c>
      <c r="T703" s="4">
        <f t="shared" si="117"/>
        <v>9032.3333333333339</v>
      </c>
      <c r="U703" s="4">
        <f t="shared" si="118"/>
        <v>1806.4666666666669</v>
      </c>
      <c r="V703" s="4">
        <f t="shared" ca="1" si="119"/>
        <v>33</v>
      </c>
      <c r="W703" s="20">
        <f t="shared" ca="1" si="126"/>
        <v>29194.768897999635</v>
      </c>
      <c r="X703" s="4">
        <f t="shared" si="120"/>
        <v>-29211</v>
      </c>
      <c r="Y703" s="13">
        <f t="shared" si="121"/>
        <v>-1</v>
      </c>
    </row>
    <row r="704" spans="1:25" x14ac:dyDescent="0.3">
      <c r="A704" s="12" t="s">
        <v>1450</v>
      </c>
      <c r="B704" s="7">
        <v>44858</v>
      </c>
      <c r="C704" s="4" t="s">
        <v>1451</v>
      </c>
      <c r="D704" s="4" t="s">
        <v>25</v>
      </c>
      <c r="E704" s="4">
        <v>28117</v>
      </c>
      <c r="F704" s="4">
        <v>24.4</v>
      </c>
      <c r="G704" s="4">
        <v>60</v>
      </c>
      <c r="H704" s="4" t="s">
        <v>26</v>
      </c>
      <c r="I704" s="4" t="s">
        <v>20</v>
      </c>
      <c r="J704" s="4" t="s">
        <v>32</v>
      </c>
      <c r="K704" s="4">
        <v>77574</v>
      </c>
      <c r="L704" s="4" t="s">
        <v>22</v>
      </c>
      <c r="M704" s="4">
        <v>0.23</v>
      </c>
      <c r="N704" s="4">
        <v>0.72</v>
      </c>
      <c r="O704" s="4">
        <v>12707.65</v>
      </c>
      <c r="P704" s="4">
        <v>0</v>
      </c>
      <c r="Q704" s="6">
        <f t="shared" si="122"/>
        <v>815.4101357451201</v>
      </c>
      <c r="R704" s="6">
        <f t="shared" si="115"/>
        <v>20807.608144707207</v>
      </c>
      <c r="S704" s="4">
        <f t="shared" si="116"/>
        <v>39051.388888888891</v>
      </c>
      <c r="T704" s="4">
        <f t="shared" si="117"/>
        <v>6464.5</v>
      </c>
      <c r="U704" s="4">
        <f t="shared" si="118"/>
        <v>1486.835</v>
      </c>
      <c r="V704" s="4">
        <f t="shared" ca="1" si="119"/>
        <v>40</v>
      </c>
      <c r="W704" s="20">
        <f t="shared" ca="1" si="126"/>
        <v>32616.405429804803</v>
      </c>
      <c r="X704" s="4">
        <f t="shared" si="120"/>
        <v>-15409.35</v>
      </c>
      <c r="Y704" s="13">
        <f t="shared" si="121"/>
        <v>-0.54804388803926452</v>
      </c>
    </row>
    <row r="705" spans="1:25" x14ac:dyDescent="0.3">
      <c r="A705" s="12" t="s">
        <v>1452</v>
      </c>
      <c r="B705" s="7">
        <v>44473</v>
      </c>
      <c r="C705" s="4" t="s">
        <v>1453</v>
      </c>
      <c r="D705" s="4" t="s">
        <v>56</v>
      </c>
      <c r="E705" s="4">
        <v>37378</v>
      </c>
      <c r="F705" s="4">
        <v>24</v>
      </c>
      <c r="G705" s="4">
        <v>36</v>
      </c>
      <c r="H705" s="4" t="s">
        <v>19</v>
      </c>
      <c r="I705" s="4" t="s">
        <v>20</v>
      </c>
      <c r="J705" s="4" t="s">
        <v>37</v>
      </c>
      <c r="K705" s="4">
        <v>73391</v>
      </c>
      <c r="L705" s="4" t="s">
        <v>33</v>
      </c>
      <c r="M705" s="4">
        <v>0.17</v>
      </c>
      <c r="N705" s="4">
        <v>0.63</v>
      </c>
      <c r="O705" s="4">
        <v>46348.72</v>
      </c>
      <c r="P705" s="4">
        <v>0</v>
      </c>
      <c r="Q705" s="6">
        <f t="shared" si="122"/>
        <v>1466.4455644004993</v>
      </c>
      <c r="R705" s="6">
        <f t="shared" si="115"/>
        <v>15414.040318417974</v>
      </c>
      <c r="S705" s="4">
        <f t="shared" si="116"/>
        <v>59330.158730158728</v>
      </c>
      <c r="T705" s="4">
        <f t="shared" si="117"/>
        <v>6115.916666666667</v>
      </c>
      <c r="U705" s="4">
        <f t="shared" si="118"/>
        <v>1039.7058333333334</v>
      </c>
      <c r="V705" s="4">
        <f t="shared" ca="1" si="119"/>
        <v>53</v>
      </c>
      <c r="W705" s="20">
        <f t="shared" ca="1" si="126"/>
        <v>77721.614913226455</v>
      </c>
      <c r="X705" s="4">
        <f t="shared" si="120"/>
        <v>8970.7200000000012</v>
      </c>
      <c r="Y705" s="13">
        <f t="shared" si="121"/>
        <v>0.24000000000000002</v>
      </c>
    </row>
    <row r="706" spans="1:25" x14ac:dyDescent="0.3">
      <c r="A706" s="12" t="s">
        <v>1454</v>
      </c>
      <c r="B706" s="7">
        <v>44820</v>
      </c>
      <c r="C706" s="4" t="s">
        <v>1455</v>
      </c>
      <c r="D706" s="4" t="s">
        <v>50</v>
      </c>
      <c r="E706" s="4">
        <v>7894</v>
      </c>
      <c r="F706" s="4">
        <v>15.3</v>
      </c>
      <c r="G706" s="4">
        <v>36</v>
      </c>
      <c r="H706" s="4" t="s">
        <v>19</v>
      </c>
      <c r="I706" s="4" t="s">
        <v>20</v>
      </c>
      <c r="J706" s="4" t="s">
        <v>37</v>
      </c>
      <c r="K706" s="4">
        <v>83664</v>
      </c>
      <c r="L706" s="4" t="s">
        <v>29</v>
      </c>
      <c r="M706" s="4">
        <v>0.17</v>
      </c>
      <c r="N706" s="4">
        <v>0.62</v>
      </c>
      <c r="O706" s="4">
        <v>9101.7800000000007</v>
      </c>
      <c r="P706" s="4">
        <v>0</v>
      </c>
      <c r="Q706" s="6">
        <f t="shared" si="122"/>
        <v>274.80924320003186</v>
      </c>
      <c r="R706" s="6">
        <f t="shared" ref="R706:R769" si="127">(Q706*G706)-E706</f>
        <v>1999.1327552011462</v>
      </c>
      <c r="S706" s="4">
        <f t="shared" ref="S706:S769" si="128">E706 / N706</f>
        <v>12732.258064516129</v>
      </c>
      <c r="T706" s="4">
        <f t="shared" ref="T706:T769" si="129">K706/12</f>
        <v>6972</v>
      </c>
      <c r="U706" s="4">
        <f t="shared" ref="U706:U769" si="130">M706*T706</f>
        <v>1185.24</v>
      </c>
      <c r="V706" s="4">
        <f t="shared" ref="V706:V769" ca="1" si="131">DATEDIF(B706, TODAY(), "m")</f>
        <v>42</v>
      </c>
      <c r="W706" s="20">
        <f t="shared" ca="1" si="126"/>
        <v>11541.988214401337</v>
      </c>
      <c r="X706" s="4">
        <f t="shared" ref="X706:X769" si="132">(O706 + P706) - E706</f>
        <v>1207.7800000000007</v>
      </c>
      <c r="Y706" s="13">
        <f t="shared" ref="Y706:Y769" si="133">(X706/E706)</f>
        <v>0.1529997466430201</v>
      </c>
    </row>
    <row r="707" spans="1:25" x14ac:dyDescent="0.3">
      <c r="A707" s="12" t="s">
        <v>1456</v>
      </c>
      <c r="B707" s="7">
        <v>44712</v>
      </c>
      <c r="C707" s="4" t="s">
        <v>1457</v>
      </c>
      <c r="D707" s="4" t="s">
        <v>40</v>
      </c>
      <c r="E707" s="4">
        <v>14467</v>
      </c>
      <c r="F707" s="4">
        <v>6.9</v>
      </c>
      <c r="G707" s="4">
        <v>36</v>
      </c>
      <c r="H707" s="4" t="s">
        <v>81</v>
      </c>
      <c r="I707" s="4" t="s">
        <v>20</v>
      </c>
      <c r="J707" s="4" t="s">
        <v>47</v>
      </c>
      <c r="K707" s="4">
        <v>97384</v>
      </c>
      <c r="L707" s="4" t="s">
        <v>33</v>
      </c>
      <c r="M707" s="4">
        <v>0.42</v>
      </c>
      <c r="N707" s="4">
        <v>0.69</v>
      </c>
      <c r="O707" s="4">
        <v>5293.66</v>
      </c>
      <c r="P707" s="4">
        <v>1335.02</v>
      </c>
      <c r="Q707" s="6">
        <f t="shared" ref="Q707:Q770" si="134">PMT(F707/100/12, G707, -E707)</f>
        <v>446.03780364938302</v>
      </c>
      <c r="R707" s="6">
        <f t="shared" si="127"/>
        <v>1590.3609313777888</v>
      </c>
      <c r="S707" s="4">
        <f t="shared" si="128"/>
        <v>20966.666666666668</v>
      </c>
      <c r="T707" s="4">
        <f t="shared" si="129"/>
        <v>8115.333333333333</v>
      </c>
      <c r="U707" s="4">
        <f t="shared" si="130"/>
        <v>3408.4399999999996</v>
      </c>
      <c r="V707" s="4">
        <f t="shared" ca="1" si="131"/>
        <v>45</v>
      </c>
      <c r="W707" s="20">
        <v>0</v>
      </c>
      <c r="X707" s="4">
        <f t="shared" si="132"/>
        <v>-7838.32</v>
      </c>
      <c r="Y707" s="13">
        <f t="shared" si="133"/>
        <v>-0.54180687080942835</v>
      </c>
    </row>
    <row r="708" spans="1:25" x14ac:dyDescent="0.3">
      <c r="A708" s="12" t="s">
        <v>1458</v>
      </c>
      <c r="B708" s="7">
        <v>45039</v>
      </c>
      <c r="C708" s="4" t="s">
        <v>1459</v>
      </c>
      <c r="D708" s="4" t="s">
        <v>40</v>
      </c>
      <c r="E708" s="4">
        <v>32010</v>
      </c>
      <c r="F708" s="4">
        <v>20.100000000000001</v>
      </c>
      <c r="G708" s="4">
        <v>60</v>
      </c>
      <c r="H708" s="4" t="s">
        <v>19</v>
      </c>
      <c r="I708" s="4" t="s">
        <v>20</v>
      </c>
      <c r="J708" s="4" t="s">
        <v>37</v>
      </c>
      <c r="K708" s="4">
        <v>61027</v>
      </c>
      <c r="L708" s="4" t="s">
        <v>22</v>
      </c>
      <c r="M708" s="4">
        <v>0.25</v>
      </c>
      <c r="N708" s="4">
        <v>0.95</v>
      </c>
      <c r="O708" s="4">
        <v>38444.01</v>
      </c>
      <c r="P708" s="4">
        <v>0</v>
      </c>
      <c r="Q708" s="6">
        <f t="shared" si="134"/>
        <v>849.85128633923364</v>
      </c>
      <c r="R708" s="6">
        <f t="shared" si="127"/>
        <v>18981.077180354019</v>
      </c>
      <c r="S708" s="4">
        <f t="shared" si="128"/>
        <v>33694.736842105267</v>
      </c>
      <c r="T708" s="4">
        <f t="shared" si="129"/>
        <v>5085.583333333333</v>
      </c>
      <c r="U708" s="4">
        <f t="shared" si="130"/>
        <v>1271.3958333333333</v>
      </c>
      <c r="V708" s="4">
        <f t="shared" ca="1" si="131"/>
        <v>34</v>
      </c>
      <c r="W708" s="20">
        <f t="shared" ref="W708:W723" ca="1" si="135">V708*Q708</f>
        <v>28894.943735533943</v>
      </c>
      <c r="X708" s="4">
        <f t="shared" si="132"/>
        <v>6434.010000000002</v>
      </c>
      <c r="Y708" s="13">
        <f t="shared" si="133"/>
        <v>0.20100000000000007</v>
      </c>
    </row>
    <row r="709" spans="1:25" x14ac:dyDescent="0.3">
      <c r="A709" s="12" t="s">
        <v>1460</v>
      </c>
      <c r="B709" s="7">
        <v>44546</v>
      </c>
      <c r="C709" s="4" t="s">
        <v>1461</v>
      </c>
      <c r="D709" s="4" t="s">
        <v>18</v>
      </c>
      <c r="E709" s="4">
        <v>13289</v>
      </c>
      <c r="F709" s="4">
        <v>14.8</v>
      </c>
      <c r="G709" s="4">
        <v>60</v>
      </c>
      <c r="H709" s="4" t="s">
        <v>26</v>
      </c>
      <c r="I709" s="4" t="s">
        <v>57</v>
      </c>
      <c r="J709" s="4" t="s">
        <v>47</v>
      </c>
      <c r="K709" s="4">
        <v>65464</v>
      </c>
      <c r="L709" s="4" t="s">
        <v>33</v>
      </c>
      <c r="M709" s="4">
        <v>0.27</v>
      </c>
      <c r="N709" s="4">
        <v>0.6</v>
      </c>
      <c r="O709" s="4">
        <v>3903.76</v>
      </c>
      <c r="P709" s="4">
        <v>0</v>
      </c>
      <c r="Q709" s="6">
        <f t="shared" si="134"/>
        <v>314.7509837614765</v>
      </c>
      <c r="R709" s="6">
        <f t="shared" si="127"/>
        <v>5596.0590256885916</v>
      </c>
      <c r="S709" s="4">
        <f t="shared" si="128"/>
        <v>22148.333333333336</v>
      </c>
      <c r="T709" s="4">
        <f t="shared" si="129"/>
        <v>5455.333333333333</v>
      </c>
      <c r="U709" s="4">
        <f t="shared" si="130"/>
        <v>1472.94</v>
      </c>
      <c r="V709" s="4">
        <f t="shared" ca="1" si="131"/>
        <v>51</v>
      </c>
      <c r="W709" s="20">
        <f t="shared" ca="1" si="135"/>
        <v>16052.300171835303</v>
      </c>
      <c r="X709" s="4">
        <f t="shared" si="132"/>
        <v>-9385.24</v>
      </c>
      <c r="Y709" s="13">
        <f t="shared" si="133"/>
        <v>-0.70624125216344347</v>
      </c>
    </row>
    <row r="710" spans="1:25" x14ac:dyDescent="0.3">
      <c r="A710" s="12" t="s">
        <v>1462</v>
      </c>
      <c r="B710" s="7">
        <v>45019</v>
      </c>
      <c r="C710" s="4" t="s">
        <v>1463</v>
      </c>
      <c r="D710" s="4" t="s">
        <v>18</v>
      </c>
      <c r="E710" s="4">
        <v>24171</v>
      </c>
      <c r="F710" s="4">
        <v>11</v>
      </c>
      <c r="G710" s="4">
        <v>36</v>
      </c>
      <c r="H710" s="4" t="s">
        <v>19</v>
      </c>
      <c r="I710" s="4" t="s">
        <v>73</v>
      </c>
      <c r="J710" s="4" t="s">
        <v>47</v>
      </c>
      <c r="K710" s="4">
        <v>64485</v>
      </c>
      <c r="L710" s="4" t="s">
        <v>33</v>
      </c>
      <c r="M710" s="4">
        <v>0.34</v>
      </c>
      <c r="N710" s="4">
        <v>0.55000000000000004</v>
      </c>
      <c r="O710" s="4">
        <v>26829.81</v>
      </c>
      <c r="P710" s="4">
        <v>0</v>
      </c>
      <c r="Q710" s="6">
        <f t="shared" si="134"/>
        <v>791.32753143505636</v>
      </c>
      <c r="R710" s="6">
        <f t="shared" si="127"/>
        <v>4316.7911316620302</v>
      </c>
      <c r="S710" s="4">
        <f t="shared" si="128"/>
        <v>43947.272727272721</v>
      </c>
      <c r="T710" s="4">
        <f t="shared" si="129"/>
        <v>5373.75</v>
      </c>
      <c r="U710" s="4">
        <f t="shared" si="130"/>
        <v>1827.075</v>
      </c>
      <c r="V710" s="4">
        <f t="shared" ca="1" si="131"/>
        <v>35</v>
      </c>
      <c r="W710" s="20">
        <f t="shared" ca="1" si="135"/>
        <v>27696.463600226973</v>
      </c>
      <c r="X710" s="4">
        <f t="shared" si="132"/>
        <v>2658.8100000000013</v>
      </c>
      <c r="Y710" s="13">
        <f t="shared" si="133"/>
        <v>0.11000000000000006</v>
      </c>
    </row>
    <row r="711" spans="1:25" x14ac:dyDescent="0.3">
      <c r="A711" s="12" t="s">
        <v>1464</v>
      </c>
      <c r="B711" s="7">
        <v>44955</v>
      </c>
      <c r="C711" s="4" t="s">
        <v>1465</v>
      </c>
      <c r="D711" s="4" t="s">
        <v>25</v>
      </c>
      <c r="E711" s="4">
        <v>35905</v>
      </c>
      <c r="F711" s="4">
        <v>14.8</v>
      </c>
      <c r="G711" s="4">
        <v>60</v>
      </c>
      <c r="H711" s="4" t="s">
        <v>19</v>
      </c>
      <c r="I711" s="4" t="s">
        <v>27</v>
      </c>
      <c r="J711" s="4" t="s">
        <v>21</v>
      </c>
      <c r="K711" s="4">
        <v>49456</v>
      </c>
      <c r="L711" s="4" t="s">
        <v>29</v>
      </c>
      <c r="M711" s="4">
        <v>0.34</v>
      </c>
      <c r="N711" s="4">
        <v>0.76</v>
      </c>
      <c r="O711" s="4">
        <v>41218.94</v>
      </c>
      <c r="P711" s="4">
        <v>0</v>
      </c>
      <c r="Q711" s="6">
        <f t="shared" si="134"/>
        <v>850.41267754953822</v>
      </c>
      <c r="R711" s="6">
        <f t="shared" si="127"/>
        <v>15119.760652972291</v>
      </c>
      <c r="S711" s="4">
        <f t="shared" si="128"/>
        <v>47243.42105263158</v>
      </c>
      <c r="T711" s="4">
        <f t="shared" si="129"/>
        <v>4121.333333333333</v>
      </c>
      <c r="U711" s="4">
        <f t="shared" si="130"/>
        <v>1401.2533333333333</v>
      </c>
      <c r="V711" s="4">
        <f t="shared" ca="1" si="131"/>
        <v>37</v>
      </c>
      <c r="W711" s="20">
        <f t="shared" ca="1" si="135"/>
        <v>31465.269069332913</v>
      </c>
      <c r="X711" s="4">
        <f t="shared" si="132"/>
        <v>5313.9400000000023</v>
      </c>
      <c r="Y711" s="13">
        <f t="shared" si="133"/>
        <v>0.14800000000000008</v>
      </c>
    </row>
    <row r="712" spans="1:25" x14ac:dyDescent="0.3">
      <c r="A712" s="12" t="s">
        <v>1466</v>
      </c>
      <c r="B712" s="7">
        <v>45095</v>
      </c>
      <c r="C712" s="4" t="s">
        <v>1467</v>
      </c>
      <c r="D712" s="4" t="s">
        <v>40</v>
      </c>
      <c r="E712" s="4">
        <v>21829</v>
      </c>
      <c r="F712" s="4">
        <v>15.4</v>
      </c>
      <c r="G712" s="4">
        <v>60</v>
      </c>
      <c r="H712" s="4" t="s">
        <v>26</v>
      </c>
      <c r="I712" s="4" t="s">
        <v>20</v>
      </c>
      <c r="J712" s="4" t="s">
        <v>21</v>
      </c>
      <c r="K712" s="4">
        <v>104795</v>
      </c>
      <c r="L712" s="4" t="s">
        <v>22</v>
      </c>
      <c r="M712" s="4">
        <v>0.13</v>
      </c>
      <c r="N712" s="4">
        <v>0.72</v>
      </c>
      <c r="O712" s="4">
        <v>7441.09</v>
      </c>
      <c r="P712" s="4">
        <v>0</v>
      </c>
      <c r="Q712" s="6">
        <f t="shared" si="134"/>
        <v>523.9049554147349</v>
      </c>
      <c r="R712" s="6">
        <f t="shared" si="127"/>
        <v>9605.2973248840935</v>
      </c>
      <c r="S712" s="4">
        <f t="shared" si="128"/>
        <v>30318.055555555558</v>
      </c>
      <c r="T712" s="4">
        <f t="shared" si="129"/>
        <v>8732.9166666666661</v>
      </c>
      <c r="U712" s="4">
        <f t="shared" si="130"/>
        <v>1135.2791666666667</v>
      </c>
      <c r="V712" s="4">
        <f t="shared" ca="1" si="131"/>
        <v>33</v>
      </c>
      <c r="W712" s="20">
        <f t="shared" ca="1" si="135"/>
        <v>17288.863528686252</v>
      </c>
      <c r="X712" s="4">
        <f t="shared" si="132"/>
        <v>-14387.91</v>
      </c>
      <c r="Y712" s="13">
        <f t="shared" si="133"/>
        <v>-0.65911906179852486</v>
      </c>
    </row>
    <row r="713" spans="1:25" x14ac:dyDescent="0.3">
      <c r="A713" s="12" t="s">
        <v>1468</v>
      </c>
      <c r="B713" s="7">
        <v>44439</v>
      </c>
      <c r="C713" s="4" t="s">
        <v>1469</v>
      </c>
      <c r="D713" s="4" t="s">
        <v>18</v>
      </c>
      <c r="E713" s="4">
        <v>35054</v>
      </c>
      <c r="F713" s="4">
        <v>16.3</v>
      </c>
      <c r="G713" s="4">
        <v>36</v>
      </c>
      <c r="H713" s="4" t="s">
        <v>26</v>
      </c>
      <c r="I713" s="4" t="s">
        <v>27</v>
      </c>
      <c r="J713" s="4" t="s">
        <v>21</v>
      </c>
      <c r="K713" s="4">
        <v>65554</v>
      </c>
      <c r="L713" s="4" t="s">
        <v>33</v>
      </c>
      <c r="M713" s="4">
        <v>0.43</v>
      </c>
      <c r="N713" s="4">
        <v>0.74</v>
      </c>
      <c r="O713" s="4">
        <v>10355.42</v>
      </c>
      <c r="P713" s="4">
        <v>0</v>
      </c>
      <c r="Q713" s="6">
        <f t="shared" si="134"/>
        <v>1237.5927985454464</v>
      </c>
      <c r="R713" s="6">
        <f t="shared" si="127"/>
        <v>9499.3407476360735</v>
      </c>
      <c r="S713" s="4">
        <f t="shared" si="128"/>
        <v>47370.270270270274</v>
      </c>
      <c r="T713" s="4">
        <f t="shared" si="129"/>
        <v>5462.833333333333</v>
      </c>
      <c r="U713" s="4">
        <f t="shared" si="130"/>
        <v>2349.018333333333</v>
      </c>
      <c r="V713" s="4">
        <f t="shared" ca="1" si="131"/>
        <v>54</v>
      </c>
      <c r="W713" s="20">
        <f t="shared" ca="1" si="135"/>
        <v>66830.01112145411</v>
      </c>
      <c r="X713" s="4">
        <f t="shared" si="132"/>
        <v>-24698.58</v>
      </c>
      <c r="Y713" s="13">
        <f t="shared" si="133"/>
        <v>-0.7045866377588863</v>
      </c>
    </row>
    <row r="714" spans="1:25" x14ac:dyDescent="0.3">
      <c r="A714" s="12" t="s">
        <v>1470</v>
      </c>
      <c r="B714" s="7">
        <v>44739</v>
      </c>
      <c r="C714" s="4" t="s">
        <v>1471</v>
      </c>
      <c r="D714" s="4" t="s">
        <v>56</v>
      </c>
      <c r="E714" s="4">
        <v>30734</v>
      </c>
      <c r="F714" s="4">
        <v>13.8</v>
      </c>
      <c r="G714" s="4">
        <v>36</v>
      </c>
      <c r="H714" s="4" t="s">
        <v>26</v>
      </c>
      <c r="I714" s="4" t="s">
        <v>27</v>
      </c>
      <c r="J714" s="4" t="s">
        <v>28</v>
      </c>
      <c r="K714" s="4">
        <v>76922</v>
      </c>
      <c r="L714" s="4" t="s">
        <v>29</v>
      </c>
      <c r="M714" s="4">
        <v>0.17</v>
      </c>
      <c r="N714" s="4">
        <v>0.8</v>
      </c>
      <c r="O714" s="4">
        <v>2244.9</v>
      </c>
      <c r="P714" s="4">
        <v>0</v>
      </c>
      <c r="Q714" s="6">
        <f t="shared" si="134"/>
        <v>1047.4323014541339</v>
      </c>
      <c r="R714" s="6">
        <f t="shared" si="127"/>
        <v>6973.5628523488194</v>
      </c>
      <c r="S714" s="4">
        <f t="shared" si="128"/>
        <v>38417.5</v>
      </c>
      <c r="T714" s="4">
        <f t="shared" si="129"/>
        <v>6410.166666666667</v>
      </c>
      <c r="U714" s="4">
        <f t="shared" si="130"/>
        <v>1089.7283333333335</v>
      </c>
      <c r="V714" s="4">
        <f t="shared" ca="1" si="131"/>
        <v>44</v>
      </c>
      <c r="W714" s="20">
        <f t="shared" ca="1" si="135"/>
        <v>46087.021263981893</v>
      </c>
      <c r="X714" s="4">
        <f t="shared" si="132"/>
        <v>-28489.1</v>
      </c>
      <c r="Y714" s="13">
        <f t="shared" si="133"/>
        <v>-0.9269571158977028</v>
      </c>
    </row>
    <row r="715" spans="1:25" x14ac:dyDescent="0.3">
      <c r="A715" s="12" t="s">
        <v>1472</v>
      </c>
      <c r="B715" s="7">
        <v>45260</v>
      </c>
      <c r="C715" s="4" t="s">
        <v>1473</v>
      </c>
      <c r="D715" s="4" t="s">
        <v>18</v>
      </c>
      <c r="E715" s="4">
        <v>8052</v>
      </c>
      <c r="F715" s="4">
        <v>17.100000000000001</v>
      </c>
      <c r="G715" s="4">
        <v>60</v>
      </c>
      <c r="H715" s="4" t="s">
        <v>19</v>
      </c>
      <c r="I715" s="4" t="s">
        <v>73</v>
      </c>
      <c r="J715" s="4" t="s">
        <v>21</v>
      </c>
      <c r="K715" s="4">
        <v>43409</v>
      </c>
      <c r="L715" s="4" t="s">
        <v>33</v>
      </c>
      <c r="M715" s="4">
        <v>0.39</v>
      </c>
      <c r="N715" s="4">
        <v>0.62</v>
      </c>
      <c r="O715" s="4">
        <v>9428.89</v>
      </c>
      <c r="P715" s="4">
        <v>0</v>
      </c>
      <c r="Q715" s="6">
        <f t="shared" si="134"/>
        <v>200.54614708400115</v>
      </c>
      <c r="R715" s="6">
        <f t="shared" si="127"/>
        <v>3980.7688250400697</v>
      </c>
      <c r="S715" s="4">
        <f t="shared" si="128"/>
        <v>12987.096774193549</v>
      </c>
      <c r="T715" s="4">
        <f t="shared" si="129"/>
        <v>3617.4166666666665</v>
      </c>
      <c r="U715" s="4">
        <f t="shared" si="130"/>
        <v>1410.7925</v>
      </c>
      <c r="V715" s="4">
        <f t="shared" ca="1" si="131"/>
        <v>27</v>
      </c>
      <c r="W715" s="20">
        <f t="shared" ca="1" si="135"/>
        <v>5414.7459712680311</v>
      </c>
      <c r="X715" s="4">
        <f t="shared" si="132"/>
        <v>1376.8899999999994</v>
      </c>
      <c r="Y715" s="13">
        <f t="shared" si="133"/>
        <v>0.17099975161450565</v>
      </c>
    </row>
    <row r="716" spans="1:25" x14ac:dyDescent="0.3">
      <c r="A716" s="12" t="s">
        <v>1474</v>
      </c>
      <c r="B716" s="7">
        <v>44425</v>
      </c>
      <c r="C716" s="4" t="s">
        <v>1475</v>
      </c>
      <c r="D716" s="4" t="s">
        <v>76</v>
      </c>
      <c r="E716" s="4">
        <v>4654</v>
      </c>
      <c r="F716" s="4">
        <v>23.4</v>
      </c>
      <c r="G716" s="4">
        <v>36</v>
      </c>
      <c r="H716" s="4" t="s">
        <v>19</v>
      </c>
      <c r="I716" s="4" t="s">
        <v>36</v>
      </c>
      <c r="J716" s="4" t="s">
        <v>47</v>
      </c>
      <c r="K716" s="4">
        <v>99327</v>
      </c>
      <c r="L716" s="4" t="s">
        <v>22</v>
      </c>
      <c r="M716" s="4">
        <v>0.41</v>
      </c>
      <c r="N716" s="4">
        <v>0.91</v>
      </c>
      <c r="O716" s="4">
        <v>5743.04</v>
      </c>
      <c r="P716" s="4">
        <v>0</v>
      </c>
      <c r="Q716" s="6">
        <f t="shared" si="134"/>
        <v>181.12675291114522</v>
      </c>
      <c r="R716" s="6">
        <f t="shared" si="127"/>
        <v>1866.5631048012274</v>
      </c>
      <c r="S716" s="4">
        <f t="shared" si="128"/>
        <v>5114.2857142857138</v>
      </c>
      <c r="T716" s="4">
        <f t="shared" si="129"/>
        <v>8277.25</v>
      </c>
      <c r="U716" s="4">
        <f t="shared" si="130"/>
        <v>3393.6724999999997</v>
      </c>
      <c r="V716" s="4">
        <f t="shared" ca="1" si="131"/>
        <v>55</v>
      </c>
      <c r="W716" s="20">
        <f t="shared" ca="1" si="135"/>
        <v>9961.9714101129866</v>
      </c>
      <c r="X716" s="4">
        <f t="shared" si="132"/>
        <v>1089.04</v>
      </c>
      <c r="Y716" s="13">
        <f t="shared" si="133"/>
        <v>0.2340008594757198</v>
      </c>
    </row>
    <row r="717" spans="1:25" x14ac:dyDescent="0.3">
      <c r="A717" s="12" t="s">
        <v>1476</v>
      </c>
      <c r="B717" s="7">
        <v>44744</v>
      </c>
      <c r="C717" s="4" t="s">
        <v>1477</v>
      </c>
      <c r="D717" s="4" t="s">
        <v>25</v>
      </c>
      <c r="E717" s="4">
        <v>24486</v>
      </c>
      <c r="F717" s="4">
        <v>12.2</v>
      </c>
      <c r="G717" s="4">
        <v>60</v>
      </c>
      <c r="H717" s="4" t="s">
        <v>26</v>
      </c>
      <c r="I717" s="4" t="s">
        <v>20</v>
      </c>
      <c r="J717" s="4" t="s">
        <v>32</v>
      </c>
      <c r="K717" s="4">
        <v>121400</v>
      </c>
      <c r="L717" s="4" t="s">
        <v>33</v>
      </c>
      <c r="M717" s="4">
        <v>0.39</v>
      </c>
      <c r="N717" s="4">
        <v>0.7</v>
      </c>
      <c r="O717" s="4">
        <v>9438.77</v>
      </c>
      <c r="P717" s="4">
        <v>0</v>
      </c>
      <c r="Q717" s="6">
        <f t="shared" si="134"/>
        <v>547.15549292379023</v>
      </c>
      <c r="R717" s="6">
        <f t="shared" si="127"/>
        <v>8343.329575427415</v>
      </c>
      <c r="S717" s="4">
        <f t="shared" si="128"/>
        <v>34980</v>
      </c>
      <c r="T717" s="4">
        <f t="shared" si="129"/>
        <v>10116.666666666666</v>
      </c>
      <c r="U717" s="4">
        <f t="shared" si="130"/>
        <v>3945.5</v>
      </c>
      <c r="V717" s="4">
        <f t="shared" ca="1" si="131"/>
        <v>44</v>
      </c>
      <c r="W717" s="20">
        <f t="shared" ca="1" si="135"/>
        <v>24074.841688646771</v>
      </c>
      <c r="X717" s="4">
        <f t="shared" si="132"/>
        <v>-15047.23</v>
      </c>
      <c r="Y717" s="13">
        <f t="shared" si="133"/>
        <v>-0.61452380952380947</v>
      </c>
    </row>
    <row r="718" spans="1:25" x14ac:dyDescent="0.3">
      <c r="A718" s="12" t="s">
        <v>1478</v>
      </c>
      <c r="B718" s="7">
        <v>45116</v>
      </c>
      <c r="C718" s="4" t="s">
        <v>1479</v>
      </c>
      <c r="D718" s="4" t="s">
        <v>53</v>
      </c>
      <c r="E718" s="4">
        <v>19743</v>
      </c>
      <c r="F718" s="4">
        <v>19.5</v>
      </c>
      <c r="G718" s="4">
        <v>60</v>
      </c>
      <c r="H718" s="4" t="s">
        <v>26</v>
      </c>
      <c r="I718" s="4" t="s">
        <v>20</v>
      </c>
      <c r="J718" s="4" t="s">
        <v>21</v>
      </c>
      <c r="K718" s="4">
        <v>66639</v>
      </c>
      <c r="L718" s="4" t="s">
        <v>33</v>
      </c>
      <c r="M718" s="4">
        <v>0.33</v>
      </c>
      <c r="N718" s="4">
        <v>0.56000000000000005</v>
      </c>
      <c r="O718" s="4">
        <v>5476.7</v>
      </c>
      <c r="P718" s="4">
        <v>0</v>
      </c>
      <c r="Q718" s="6">
        <f t="shared" si="134"/>
        <v>517.59128066577205</v>
      </c>
      <c r="R718" s="6">
        <f t="shared" si="127"/>
        <v>11312.476839946321</v>
      </c>
      <c r="S718" s="4">
        <f t="shared" si="128"/>
        <v>35255.357142857138</v>
      </c>
      <c r="T718" s="4">
        <f t="shared" si="129"/>
        <v>5553.25</v>
      </c>
      <c r="U718" s="4">
        <f t="shared" si="130"/>
        <v>1832.5725</v>
      </c>
      <c r="V718" s="4">
        <f t="shared" ca="1" si="131"/>
        <v>32</v>
      </c>
      <c r="W718" s="20">
        <f t="shared" ca="1" si="135"/>
        <v>16562.920981304705</v>
      </c>
      <c r="X718" s="4">
        <f t="shared" si="132"/>
        <v>-14266.3</v>
      </c>
      <c r="Y718" s="13">
        <f t="shared" si="133"/>
        <v>-0.72260041533708141</v>
      </c>
    </row>
    <row r="719" spans="1:25" x14ac:dyDescent="0.3">
      <c r="A719" s="12" t="s">
        <v>1480</v>
      </c>
      <c r="B719" s="7">
        <v>44202</v>
      </c>
      <c r="C719" s="4" t="s">
        <v>1481</v>
      </c>
      <c r="D719" s="4" t="s">
        <v>65</v>
      </c>
      <c r="E719" s="4">
        <v>25489</v>
      </c>
      <c r="F719" s="4">
        <v>22.9</v>
      </c>
      <c r="G719" s="4">
        <v>36</v>
      </c>
      <c r="H719" s="4" t="s">
        <v>19</v>
      </c>
      <c r="I719" s="4" t="s">
        <v>57</v>
      </c>
      <c r="J719" s="4" t="s">
        <v>21</v>
      </c>
      <c r="K719" s="4">
        <v>130110</v>
      </c>
      <c r="L719" s="4" t="s">
        <v>33</v>
      </c>
      <c r="M719" s="4">
        <v>0.11</v>
      </c>
      <c r="N719" s="4">
        <v>0.83</v>
      </c>
      <c r="O719" s="4">
        <v>31325.98</v>
      </c>
      <c r="P719" s="4">
        <v>0</v>
      </c>
      <c r="Q719" s="6">
        <f t="shared" si="134"/>
        <v>985.34409061301722</v>
      </c>
      <c r="R719" s="6">
        <f t="shared" si="127"/>
        <v>9983.3872620686161</v>
      </c>
      <c r="S719" s="4">
        <f t="shared" si="128"/>
        <v>30709.638554216868</v>
      </c>
      <c r="T719" s="4">
        <f t="shared" si="129"/>
        <v>10842.5</v>
      </c>
      <c r="U719" s="4">
        <f t="shared" si="130"/>
        <v>1192.675</v>
      </c>
      <c r="V719" s="4">
        <f t="shared" ca="1" si="131"/>
        <v>62</v>
      </c>
      <c r="W719" s="20">
        <f t="shared" ca="1" si="135"/>
        <v>61091.333618007069</v>
      </c>
      <c r="X719" s="4">
        <f t="shared" si="132"/>
        <v>5836.98</v>
      </c>
      <c r="Y719" s="13">
        <f t="shared" si="133"/>
        <v>0.22899996076738985</v>
      </c>
    </row>
    <row r="720" spans="1:25" x14ac:dyDescent="0.3">
      <c r="A720" s="12" t="s">
        <v>1482</v>
      </c>
      <c r="B720" s="7">
        <v>44664</v>
      </c>
      <c r="C720" s="4" t="s">
        <v>1483</v>
      </c>
      <c r="D720" s="4" t="s">
        <v>72</v>
      </c>
      <c r="E720" s="4">
        <v>9636</v>
      </c>
      <c r="F720" s="4">
        <v>14.1</v>
      </c>
      <c r="G720" s="4">
        <v>60</v>
      </c>
      <c r="H720" s="4" t="s">
        <v>19</v>
      </c>
      <c r="I720" s="4" t="s">
        <v>20</v>
      </c>
      <c r="J720" s="4" t="s">
        <v>32</v>
      </c>
      <c r="K720" s="4">
        <v>93627</v>
      </c>
      <c r="L720" s="4" t="s">
        <v>33</v>
      </c>
      <c r="M720" s="4">
        <v>0.24</v>
      </c>
      <c r="N720" s="4">
        <v>0.79</v>
      </c>
      <c r="O720" s="4">
        <v>10994.68</v>
      </c>
      <c r="P720" s="4">
        <v>0</v>
      </c>
      <c r="Q720" s="6">
        <f t="shared" si="134"/>
        <v>224.71274447945009</v>
      </c>
      <c r="R720" s="6">
        <f t="shared" si="127"/>
        <v>3846.7646687670058</v>
      </c>
      <c r="S720" s="4">
        <f t="shared" si="128"/>
        <v>12197.468354430379</v>
      </c>
      <c r="T720" s="4">
        <f t="shared" si="129"/>
        <v>7802.25</v>
      </c>
      <c r="U720" s="4">
        <f t="shared" si="130"/>
        <v>1872.54</v>
      </c>
      <c r="V720" s="4">
        <f t="shared" ca="1" si="131"/>
        <v>47</v>
      </c>
      <c r="W720" s="20">
        <f t="shared" ca="1" si="135"/>
        <v>10561.498990534154</v>
      </c>
      <c r="X720" s="4">
        <f t="shared" si="132"/>
        <v>1358.6800000000003</v>
      </c>
      <c r="Y720" s="13">
        <f t="shared" si="133"/>
        <v>0.14100041511000419</v>
      </c>
    </row>
    <row r="721" spans="1:25" x14ac:dyDescent="0.3">
      <c r="A721" s="12" t="s">
        <v>1484</v>
      </c>
      <c r="B721" s="7">
        <v>44271</v>
      </c>
      <c r="C721" s="4" t="s">
        <v>1485</v>
      </c>
      <c r="D721" s="4" t="s">
        <v>65</v>
      </c>
      <c r="E721" s="4">
        <v>7441</v>
      </c>
      <c r="F721" s="4">
        <v>13.9</v>
      </c>
      <c r="G721" s="4">
        <v>60</v>
      </c>
      <c r="H721" s="4" t="s">
        <v>19</v>
      </c>
      <c r="I721" s="4" t="s">
        <v>73</v>
      </c>
      <c r="J721" s="4" t="s">
        <v>47</v>
      </c>
      <c r="K721" s="4">
        <v>113424</v>
      </c>
      <c r="L721" s="4" t="s">
        <v>22</v>
      </c>
      <c r="M721" s="4">
        <v>0.34</v>
      </c>
      <c r="N721" s="4">
        <v>0.64</v>
      </c>
      <c r="O721" s="4">
        <v>8475.2999999999993</v>
      </c>
      <c r="P721" s="4">
        <v>0</v>
      </c>
      <c r="Q721" s="6">
        <f t="shared" si="134"/>
        <v>172.75352737494498</v>
      </c>
      <c r="R721" s="6">
        <f t="shared" si="127"/>
        <v>2924.2116424966989</v>
      </c>
      <c r="S721" s="4">
        <f t="shared" si="128"/>
        <v>11626.5625</v>
      </c>
      <c r="T721" s="4">
        <f t="shared" si="129"/>
        <v>9452</v>
      </c>
      <c r="U721" s="4">
        <f t="shared" si="130"/>
        <v>3213.6800000000003</v>
      </c>
      <c r="V721" s="4">
        <f t="shared" ca="1" si="131"/>
        <v>60</v>
      </c>
      <c r="W721" s="20">
        <f t="shared" ca="1" si="135"/>
        <v>10365.211642496699</v>
      </c>
      <c r="X721" s="4">
        <f t="shared" si="132"/>
        <v>1034.2999999999993</v>
      </c>
      <c r="Y721" s="13">
        <f t="shared" si="133"/>
        <v>0.13900013439053882</v>
      </c>
    </row>
    <row r="722" spans="1:25" x14ac:dyDescent="0.3">
      <c r="A722" s="12" t="s">
        <v>1486</v>
      </c>
      <c r="B722" s="7">
        <v>44200</v>
      </c>
      <c r="C722" s="4" t="s">
        <v>1487</v>
      </c>
      <c r="D722" s="4" t="s">
        <v>65</v>
      </c>
      <c r="E722" s="4">
        <v>25611</v>
      </c>
      <c r="F722" s="4">
        <v>17</v>
      </c>
      <c r="G722" s="4">
        <v>36</v>
      </c>
      <c r="H722" s="4" t="s">
        <v>315</v>
      </c>
      <c r="I722" s="4" t="s">
        <v>57</v>
      </c>
      <c r="J722" s="4" t="s">
        <v>28</v>
      </c>
      <c r="K722" s="4">
        <v>49692</v>
      </c>
      <c r="L722" s="4" t="s">
        <v>29</v>
      </c>
      <c r="M722" s="4">
        <v>0.25</v>
      </c>
      <c r="N722" s="4">
        <v>0.78</v>
      </c>
      <c r="O722" s="4">
        <v>0</v>
      </c>
      <c r="P722" s="4">
        <v>0</v>
      </c>
      <c r="Q722" s="6">
        <f t="shared" si="134"/>
        <v>913.10200468745791</v>
      </c>
      <c r="R722" s="6">
        <f t="shared" si="127"/>
        <v>7260.6721687484824</v>
      </c>
      <c r="S722" s="4">
        <f t="shared" si="128"/>
        <v>32834.615384615383</v>
      </c>
      <c r="T722" s="4">
        <f t="shared" si="129"/>
        <v>4141</v>
      </c>
      <c r="U722" s="4">
        <f t="shared" si="130"/>
        <v>1035.25</v>
      </c>
      <c r="V722" s="4">
        <f t="shared" ca="1" si="131"/>
        <v>62</v>
      </c>
      <c r="W722" s="20">
        <f t="shared" ca="1" si="135"/>
        <v>56612.32429062239</v>
      </c>
      <c r="X722" s="4">
        <f t="shared" si="132"/>
        <v>-25611</v>
      </c>
      <c r="Y722" s="13">
        <f t="shared" si="133"/>
        <v>-1</v>
      </c>
    </row>
    <row r="723" spans="1:25" x14ac:dyDescent="0.3">
      <c r="A723" s="12" t="s">
        <v>1488</v>
      </c>
      <c r="B723" s="7">
        <v>44842</v>
      </c>
      <c r="C723" s="4" t="s">
        <v>1489</v>
      </c>
      <c r="D723" s="4" t="s">
        <v>46</v>
      </c>
      <c r="E723" s="4">
        <v>13149</v>
      </c>
      <c r="F723" s="4">
        <v>16.8</v>
      </c>
      <c r="G723" s="4">
        <v>36</v>
      </c>
      <c r="H723" s="4" t="s">
        <v>26</v>
      </c>
      <c r="I723" s="4" t="s">
        <v>57</v>
      </c>
      <c r="J723" s="4" t="s">
        <v>21</v>
      </c>
      <c r="K723" s="4">
        <v>119037</v>
      </c>
      <c r="L723" s="4" t="s">
        <v>29</v>
      </c>
      <c r="M723" s="4">
        <v>0.45</v>
      </c>
      <c r="N723" s="4">
        <v>0.6</v>
      </c>
      <c r="O723" s="4">
        <v>4489.9799999999996</v>
      </c>
      <c r="P723" s="4">
        <v>0</v>
      </c>
      <c r="Q723" s="6">
        <f t="shared" si="134"/>
        <v>467.48995002257203</v>
      </c>
      <c r="R723" s="6">
        <f t="shared" si="127"/>
        <v>3680.6382008125947</v>
      </c>
      <c r="S723" s="4">
        <f t="shared" si="128"/>
        <v>21915</v>
      </c>
      <c r="T723" s="4">
        <f t="shared" si="129"/>
        <v>9919.75</v>
      </c>
      <c r="U723" s="4">
        <f t="shared" si="130"/>
        <v>4463.8874999999998</v>
      </c>
      <c r="V723" s="4">
        <f t="shared" ca="1" si="131"/>
        <v>41</v>
      </c>
      <c r="W723" s="20">
        <f t="shared" ca="1" si="135"/>
        <v>19167.087950925452</v>
      </c>
      <c r="X723" s="4">
        <f t="shared" si="132"/>
        <v>-8659.02</v>
      </c>
      <c r="Y723" s="13">
        <f t="shared" si="133"/>
        <v>-0.65853068674423909</v>
      </c>
    </row>
    <row r="724" spans="1:25" x14ac:dyDescent="0.3">
      <c r="A724" s="12" t="s">
        <v>1490</v>
      </c>
      <c r="B724" s="7">
        <v>44314</v>
      </c>
      <c r="C724" s="4" t="s">
        <v>1491</v>
      </c>
      <c r="D724" s="4" t="s">
        <v>53</v>
      </c>
      <c r="E724" s="4">
        <v>35566</v>
      </c>
      <c r="F724" s="4">
        <v>21.1</v>
      </c>
      <c r="G724" s="4">
        <v>36</v>
      </c>
      <c r="H724" s="4" t="s">
        <v>81</v>
      </c>
      <c r="I724" s="4" t="s">
        <v>20</v>
      </c>
      <c r="J724" s="4" t="s">
        <v>32</v>
      </c>
      <c r="K724" s="4">
        <v>108840</v>
      </c>
      <c r="L724" s="4" t="s">
        <v>33</v>
      </c>
      <c r="M724" s="4">
        <v>0.22</v>
      </c>
      <c r="N724" s="4">
        <v>0.7</v>
      </c>
      <c r="O724" s="4">
        <v>8919.67</v>
      </c>
      <c r="P724" s="4">
        <v>8978.74</v>
      </c>
      <c r="Q724" s="6">
        <f t="shared" si="134"/>
        <v>1341.7782325358326</v>
      </c>
      <c r="R724" s="6">
        <f t="shared" si="127"/>
        <v>12738.016371289974</v>
      </c>
      <c r="S724" s="4">
        <f t="shared" si="128"/>
        <v>50808.571428571435</v>
      </c>
      <c r="T724" s="4">
        <f t="shared" si="129"/>
        <v>9070</v>
      </c>
      <c r="U724" s="4">
        <f t="shared" si="130"/>
        <v>1995.4</v>
      </c>
      <c r="V724" s="4">
        <f t="shared" ca="1" si="131"/>
        <v>58</v>
      </c>
      <c r="W724" s="20">
        <v>0</v>
      </c>
      <c r="X724" s="4">
        <f t="shared" si="132"/>
        <v>-17667.59</v>
      </c>
      <c r="Y724" s="13">
        <f t="shared" si="133"/>
        <v>-0.49675504695495698</v>
      </c>
    </row>
    <row r="725" spans="1:25" x14ac:dyDescent="0.3">
      <c r="A725" s="12" t="s">
        <v>1492</v>
      </c>
      <c r="B725" s="7">
        <v>45077</v>
      </c>
      <c r="C725" s="4" t="s">
        <v>1493</v>
      </c>
      <c r="D725" s="4" t="s">
        <v>18</v>
      </c>
      <c r="E725" s="4">
        <v>22675</v>
      </c>
      <c r="F725" s="4">
        <v>14.5</v>
      </c>
      <c r="G725" s="4">
        <v>60</v>
      </c>
      <c r="H725" s="4" t="s">
        <v>19</v>
      </c>
      <c r="I725" s="4" t="s">
        <v>57</v>
      </c>
      <c r="J725" s="4" t="s">
        <v>47</v>
      </c>
      <c r="K725" s="4">
        <v>84200</v>
      </c>
      <c r="L725" s="4" t="s">
        <v>22</v>
      </c>
      <c r="M725" s="4">
        <v>0.22</v>
      </c>
      <c r="N725" s="4">
        <v>0.9</v>
      </c>
      <c r="O725" s="4">
        <v>25962.880000000001</v>
      </c>
      <c r="P725" s="4">
        <v>0</v>
      </c>
      <c r="Q725" s="6">
        <f t="shared" si="134"/>
        <v>533.50377350845679</v>
      </c>
      <c r="R725" s="6">
        <f t="shared" si="127"/>
        <v>9335.2264105074064</v>
      </c>
      <c r="S725" s="4">
        <f t="shared" si="128"/>
        <v>25194.444444444445</v>
      </c>
      <c r="T725" s="4">
        <f t="shared" si="129"/>
        <v>7016.666666666667</v>
      </c>
      <c r="U725" s="4">
        <f t="shared" si="130"/>
        <v>1543.6666666666667</v>
      </c>
      <c r="V725" s="4">
        <f t="shared" ca="1" si="131"/>
        <v>33</v>
      </c>
      <c r="W725" s="20">
        <f t="shared" ref="W725:W753" ca="1" si="136">V725*Q725</f>
        <v>17605.624525779072</v>
      </c>
      <c r="X725" s="4">
        <f t="shared" si="132"/>
        <v>3287.880000000001</v>
      </c>
      <c r="Y725" s="13">
        <f t="shared" si="133"/>
        <v>0.14500022050716652</v>
      </c>
    </row>
    <row r="726" spans="1:25" x14ac:dyDescent="0.3">
      <c r="A726" s="12" t="s">
        <v>1494</v>
      </c>
      <c r="B726" s="7">
        <v>44700</v>
      </c>
      <c r="C726" s="4" t="s">
        <v>1495</v>
      </c>
      <c r="D726" s="4" t="s">
        <v>46</v>
      </c>
      <c r="E726" s="4">
        <v>6495</v>
      </c>
      <c r="F726" s="4">
        <v>24.9</v>
      </c>
      <c r="G726" s="4">
        <v>36</v>
      </c>
      <c r="H726" s="4" t="s">
        <v>60</v>
      </c>
      <c r="I726" s="4" t="s">
        <v>73</v>
      </c>
      <c r="J726" s="4" t="s">
        <v>37</v>
      </c>
      <c r="K726" s="4">
        <v>123063</v>
      </c>
      <c r="L726" s="4" t="s">
        <v>22</v>
      </c>
      <c r="M726" s="4">
        <v>0.21</v>
      </c>
      <c r="N726" s="4">
        <v>0.56000000000000005</v>
      </c>
      <c r="O726" s="4">
        <v>0</v>
      </c>
      <c r="P726" s="4">
        <v>0</v>
      </c>
      <c r="Q726" s="6">
        <f t="shared" si="134"/>
        <v>257.89668091749348</v>
      </c>
      <c r="R726" s="6">
        <f t="shared" si="127"/>
        <v>2789.2805130297656</v>
      </c>
      <c r="S726" s="4">
        <f t="shared" si="128"/>
        <v>11598.214285714284</v>
      </c>
      <c r="T726" s="4">
        <f t="shared" si="129"/>
        <v>10255.25</v>
      </c>
      <c r="U726" s="4">
        <f t="shared" si="130"/>
        <v>2153.6025</v>
      </c>
      <c r="V726" s="4">
        <f t="shared" ca="1" si="131"/>
        <v>46</v>
      </c>
      <c r="W726" s="20">
        <f t="shared" ca="1" si="136"/>
        <v>11863.247322204701</v>
      </c>
      <c r="X726" s="4">
        <f t="shared" si="132"/>
        <v>-6495</v>
      </c>
      <c r="Y726" s="13">
        <f t="shared" si="133"/>
        <v>-1</v>
      </c>
    </row>
    <row r="727" spans="1:25" x14ac:dyDescent="0.3">
      <c r="A727" s="12" t="s">
        <v>1496</v>
      </c>
      <c r="B727" s="7">
        <v>45143</v>
      </c>
      <c r="C727" s="4" t="s">
        <v>1497</v>
      </c>
      <c r="D727" s="4" t="s">
        <v>65</v>
      </c>
      <c r="E727" s="4">
        <v>14673</v>
      </c>
      <c r="F727" s="4">
        <v>6.2</v>
      </c>
      <c r="G727" s="4">
        <v>36</v>
      </c>
      <c r="H727" s="4" t="s">
        <v>19</v>
      </c>
      <c r="I727" s="4" t="s">
        <v>73</v>
      </c>
      <c r="J727" s="4" t="s">
        <v>28</v>
      </c>
      <c r="K727" s="4">
        <v>87415</v>
      </c>
      <c r="L727" s="4" t="s">
        <v>22</v>
      </c>
      <c r="M727" s="4">
        <v>0.23</v>
      </c>
      <c r="N727" s="4">
        <v>0.67</v>
      </c>
      <c r="O727" s="4">
        <v>15582.73</v>
      </c>
      <c r="P727" s="4">
        <v>0</v>
      </c>
      <c r="Q727" s="6">
        <f t="shared" si="134"/>
        <v>447.71196841038153</v>
      </c>
      <c r="R727" s="6">
        <f t="shared" si="127"/>
        <v>1444.6308627737344</v>
      </c>
      <c r="S727" s="4">
        <f t="shared" si="128"/>
        <v>21900</v>
      </c>
      <c r="T727" s="4">
        <f t="shared" si="129"/>
        <v>7284.583333333333</v>
      </c>
      <c r="U727" s="4">
        <f t="shared" si="130"/>
        <v>1675.4541666666667</v>
      </c>
      <c r="V727" s="4">
        <f t="shared" ca="1" si="131"/>
        <v>31</v>
      </c>
      <c r="W727" s="20">
        <f t="shared" ca="1" si="136"/>
        <v>13879.071020721827</v>
      </c>
      <c r="X727" s="4">
        <f t="shared" si="132"/>
        <v>909.72999999999956</v>
      </c>
      <c r="Y727" s="13">
        <f t="shared" si="133"/>
        <v>6.2000272609554936E-2</v>
      </c>
    </row>
    <row r="728" spans="1:25" x14ac:dyDescent="0.3">
      <c r="A728" s="12" t="s">
        <v>1498</v>
      </c>
      <c r="B728" s="7">
        <v>44770</v>
      </c>
      <c r="C728" s="4" t="s">
        <v>1499</v>
      </c>
      <c r="D728" s="4" t="s">
        <v>76</v>
      </c>
      <c r="E728" s="4">
        <v>12130</v>
      </c>
      <c r="F728" s="4">
        <v>5.0999999999999996</v>
      </c>
      <c r="G728" s="4">
        <v>36</v>
      </c>
      <c r="H728" s="4" t="s">
        <v>19</v>
      </c>
      <c r="I728" s="4" t="s">
        <v>20</v>
      </c>
      <c r="J728" s="4" t="s">
        <v>32</v>
      </c>
      <c r="K728" s="4">
        <v>48074</v>
      </c>
      <c r="L728" s="4" t="s">
        <v>22</v>
      </c>
      <c r="M728" s="4">
        <v>0.32</v>
      </c>
      <c r="N728" s="4">
        <v>0.87</v>
      </c>
      <c r="O728" s="4">
        <v>12748.63</v>
      </c>
      <c r="P728" s="4">
        <v>0</v>
      </c>
      <c r="Q728" s="6">
        <f t="shared" si="134"/>
        <v>364.09184218618918</v>
      </c>
      <c r="R728" s="6">
        <f t="shared" si="127"/>
        <v>977.30631870281104</v>
      </c>
      <c r="S728" s="4">
        <f t="shared" si="128"/>
        <v>13942.528735632184</v>
      </c>
      <c r="T728" s="4">
        <f t="shared" si="129"/>
        <v>4006.1666666666665</v>
      </c>
      <c r="U728" s="4">
        <f t="shared" si="130"/>
        <v>1281.9733333333334</v>
      </c>
      <c r="V728" s="4">
        <f t="shared" ca="1" si="131"/>
        <v>43</v>
      </c>
      <c r="W728" s="20">
        <f t="shared" ca="1" si="136"/>
        <v>15655.949214006136</v>
      </c>
      <c r="X728" s="4">
        <f t="shared" si="132"/>
        <v>618.6299999999992</v>
      </c>
      <c r="Y728" s="13">
        <f t="shared" si="133"/>
        <v>5.0999999999999934E-2</v>
      </c>
    </row>
    <row r="729" spans="1:25" x14ac:dyDescent="0.3">
      <c r="A729" s="12" t="s">
        <v>1500</v>
      </c>
      <c r="B729" s="7">
        <v>44390</v>
      </c>
      <c r="C729" s="4" t="s">
        <v>1501</v>
      </c>
      <c r="D729" s="4" t="s">
        <v>72</v>
      </c>
      <c r="E729" s="4">
        <v>23668</v>
      </c>
      <c r="F729" s="4">
        <v>17.8</v>
      </c>
      <c r="G729" s="4">
        <v>36</v>
      </c>
      <c r="H729" s="4" t="s">
        <v>26</v>
      </c>
      <c r="I729" s="4" t="s">
        <v>20</v>
      </c>
      <c r="J729" s="4" t="s">
        <v>32</v>
      </c>
      <c r="K729" s="4">
        <v>45549</v>
      </c>
      <c r="L729" s="4" t="s">
        <v>22</v>
      </c>
      <c r="M729" s="4">
        <v>0.38</v>
      </c>
      <c r="N729" s="4">
        <v>0.94</v>
      </c>
      <c r="O729" s="4">
        <v>6421.49</v>
      </c>
      <c r="P729" s="4">
        <v>0</v>
      </c>
      <c r="Q729" s="6">
        <f t="shared" si="134"/>
        <v>853.28216459266764</v>
      </c>
      <c r="R729" s="6">
        <f t="shared" si="127"/>
        <v>7050.157925336036</v>
      </c>
      <c r="S729" s="4">
        <f t="shared" si="128"/>
        <v>25178.723404255321</v>
      </c>
      <c r="T729" s="4">
        <f t="shared" si="129"/>
        <v>3795.75</v>
      </c>
      <c r="U729" s="4">
        <f t="shared" si="130"/>
        <v>1442.385</v>
      </c>
      <c r="V729" s="4">
        <f t="shared" ca="1" si="131"/>
        <v>56</v>
      </c>
      <c r="W729" s="20">
        <f t="shared" ca="1" si="136"/>
        <v>47783.801217189386</v>
      </c>
      <c r="X729" s="4">
        <f t="shared" si="132"/>
        <v>-17246.510000000002</v>
      </c>
      <c r="Y729" s="13">
        <f t="shared" si="133"/>
        <v>-0.72868472198749379</v>
      </c>
    </row>
    <row r="730" spans="1:25" x14ac:dyDescent="0.3">
      <c r="A730" s="12" t="s">
        <v>1502</v>
      </c>
      <c r="B730" s="7">
        <v>45043</v>
      </c>
      <c r="C730" s="4" t="s">
        <v>1503</v>
      </c>
      <c r="D730" s="4" t="s">
        <v>65</v>
      </c>
      <c r="E730" s="4">
        <v>16222</v>
      </c>
      <c r="F730" s="4">
        <v>11</v>
      </c>
      <c r="G730" s="4">
        <v>60</v>
      </c>
      <c r="H730" s="4" t="s">
        <v>19</v>
      </c>
      <c r="I730" s="4" t="s">
        <v>20</v>
      </c>
      <c r="J730" s="4" t="s">
        <v>32</v>
      </c>
      <c r="K730" s="4">
        <v>59963</v>
      </c>
      <c r="L730" s="4" t="s">
        <v>22</v>
      </c>
      <c r="M730" s="4">
        <v>0.37</v>
      </c>
      <c r="N730" s="4">
        <v>0.7</v>
      </c>
      <c r="O730" s="4">
        <v>18006.419999999998</v>
      </c>
      <c r="P730" s="4">
        <v>0</v>
      </c>
      <c r="Q730" s="6">
        <f t="shared" si="134"/>
        <v>352.70558708441979</v>
      </c>
      <c r="R730" s="6">
        <f t="shared" si="127"/>
        <v>4940.3352250651878</v>
      </c>
      <c r="S730" s="4">
        <f t="shared" si="128"/>
        <v>23174.285714285717</v>
      </c>
      <c r="T730" s="4">
        <f t="shared" si="129"/>
        <v>4996.916666666667</v>
      </c>
      <c r="U730" s="4">
        <f t="shared" si="130"/>
        <v>1848.8591666666669</v>
      </c>
      <c r="V730" s="4">
        <f t="shared" ca="1" si="131"/>
        <v>34</v>
      </c>
      <c r="W730" s="20">
        <f t="shared" ca="1" si="136"/>
        <v>11991.989960870273</v>
      </c>
      <c r="X730" s="4">
        <f t="shared" si="132"/>
        <v>1784.4199999999983</v>
      </c>
      <c r="Y730" s="13">
        <f t="shared" si="133"/>
        <v>0.10999999999999989</v>
      </c>
    </row>
    <row r="731" spans="1:25" x14ac:dyDescent="0.3">
      <c r="A731" s="12" t="s">
        <v>1504</v>
      </c>
      <c r="B731" s="7">
        <v>44911</v>
      </c>
      <c r="C731" s="4" t="s">
        <v>1505</v>
      </c>
      <c r="D731" s="4" t="s">
        <v>40</v>
      </c>
      <c r="E731" s="4">
        <v>24669</v>
      </c>
      <c r="F731" s="4">
        <v>9.8000000000000007</v>
      </c>
      <c r="G731" s="4">
        <v>60</v>
      </c>
      <c r="H731" s="4" t="s">
        <v>19</v>
      </c>
      <c r="I731" s="4" t="s">
        <v>20</v>
      </c>
      <c r="J731" s="4" t="s">
        <v>21</v>
      </c>
      <c r="K731" s="4">
        <v>121456</v>
      </c>
      <c r="L731" s="4" t="s">
        <v>33</v>
      </c>
      <c r="M731" s="4">
        <v>0.42</v>
      </c>
      <c r="N731" s="4">
        <v>0.73</v>
      </c>
      <c r="O731" s="4">
        <v>27086.560000000001</v>
      </c>
      <c r="P731" s="4">
        <v>0</v>
      </c>
      <c r="Q731" s="6">
        <f t="shared" si="134"/>
        <v>521.71901679251619</v>
      </c>
      <c r="R731" s="6">
        <f t="shared" si="127"/>
        <v>6634.1410075509702</v>
      </c>
      <c r="S731" s="4">
        <f t="shared" si="128"/>
        <v>33793.150684931505</v>
      </c>
      <c r="T731" s="4">
        <f t="shared" si="129"/>
        <v>10121.333333333334</v>
      </c>
      <c r="U731" s="4">
        <f t="shared" si="130"/>
        <v>4250.96</v>
      </c>
      <c r="V731" s="4">
        <f t="shared" ca="1" si="131"/>
        <v>39</v>
      </c>
      <c r="W731" s="20">
        <f t="shared" ca="1" si="136"/>
        <v>20347.041654908131</v>
      </c>
      <c r="X731" s="4">
        <f t="shared" si="132"/>
        <v>2417.5600000000013</v>
      </c>
      <c r="Y731" s="13">
        <f t="shared" si="133"/>
        <v>9.7999918926588075E-2</v>
      </c>
    </row>
    <row r="732" spans="1:25" x14ac:dyDescent="0.3">
      <c r="A732" s="12" t="s">
        <v>1506</v>
      </c>
      <c r="B732" s="7">
        <v>45246</v>
      </c>
      <c r="C732" s="4" t="s">
        <v>1507</v>
      </c>
      <c r="D732" s="4" t="s">
        <v>53</v>
      </c>
      <c r="E732" s="4">
        <v>35068</v>
      </c>
      <c r="F732" s="4">
        <v>11.2</v>
      </c>
      <c r="G732" s="4">
        <v>36</v>
      </c>
      <c r="H732" s="4" t="s">
        <v>19</v>
      </c>
      <c r="I732" s="4" t="s">
        <v>84</v>
      </c>
      <c r="J732" s="4" t="s">
        <v>37</v>
      </c>
      <c r="K732" s="4">
        <v>126362</v>
      </c>
      <c r="L732" s="4" t="s">
        <v>29</v>
      </c>
      <c r="M732" s="4">
        <v>0.45</v>
      </c>
      <c r="N732" s="4">
        <v>0.76</v>
      </c>
      <c r="O732" s="4">
        <v>38995.620000000003</v>
      </c>
      <c r="P732" s="4">
        <v>0</v>
      </c>
      <c r="Q732" s="6">
        <f t="shared" si="134"/>
        <v>1151.4055654939752</v>
      </c>
      <c r="R732" s="6">
        <f t="shared" si="127"/>
        <v>6382.600357783107</v>
      </c>
      <c r="S732" s="4">
        <f t="shared" si="128"/>
        <v>46142.105263157893</v>
      </c>
      <c r="T732" s="4">
        <f t="shared" si="129"/>
        <v>10530.166666666666</v>
      </c>
      <c r="U732" s="4">
        <f t="shared" si="130"/>
        <v>4738.5749999999998</v>
      </c>
      <c r="V732" s="4">
        <f t="shared" ca="1" si="131"/>
        <v>28</v>
      </c>
      <c r="W732" s="20">
        <f t="shared" ca="1" si="136"/>
        <v>32239.355833831309</v>
      </c>
      <c r="X732" s="4">
        <f t="shared" si="132"/>
        <v>3927.6200000000026</v>
      </c>
      <c r="Y732" s="13">
        <f t="shared" si="133"/>
        <v>0.11200011406410409</v>
      </c>
    </row>
    <row r="733" spans="1:25" x14ac:dyDescent="0.3">
      <c r="A733" s="12" t="s">
        <v>1508</v>
      </c>
      <c r="B733" s="7">
        <v>44369</v>
      </c>
      <c r="C733" s="4" t="s">
        <v>1509</v>
      </c>
      <c r="D733" s="4" t="s">
        <v>53</v>
      </c>
      <c r="E733" s="4">
        <v>24253</v>
      </c>
      <c r="F733" s="4">
        <v>10.1</v>
      </c>
      <c r="G733" s="4">
        <v>60</v>
      </c>
      <c r="H733" s="4" t="s">
        <v>19</v>
      </c>
      <c r="I733" s="4" t="s">
        <v>20</v>
      </c>
      <c r="J733" s="4" t="s">
        <v>28</v>
      </c>
      <c r="K733" s="4">
        <v>131607</v>
      </c>
      <c r="L733" s="4" t="s">
        <v>29</v>
      </c>
      <c r="M733" s="4">
        <v>0.43</v>
      </c>
      <c r="N733" s="4">
        <v>0.92</v>
      </c>
      <c r="O733" s="4">
        <v>26702.55</v>
      </c>
      <c r="P733" s="4">
        <v>0</v>
      </c>
      <c r="Q733" s="6">
        <f t="shared" si="134"/>
        <v>516.49873288473054</v>
      </c>
      <c r="R733" s="6">
        <f t="shared" si="127"/>
        <v>6736.9239730838308</v>
      </c>
      <c r="S733" s="4">
        <f t="shared" si="128"/>
        <v>26361.956521739128</v>
      </c>
      <c r="T733" s="4">
        <f t="shared" si="129"/>
        <v>10967.25</v>
      </c>
      <c r="U733" s="4">
        <f t="shared" si="130"/>
        <v>4715.9174999999996</v>
      </c>
      <c r="V733" s="4">
        <f t="shared" ca="1" si="131"/>
        <v>56</v>
      </c>
      <c r="W733" s="20">
        <f t="shared" ca="1" si="136"/>
        <v>28923.92904154491</v>
      </c>
      <c r="X733" s="4">
        <f t="shared" si="132"/>
        <v>2449.5499999999993</v>
      </c>
      <c r="Y733" s="13">
        <f t="shared" si="133"/>
        <v>0.10099987630396237</v>
      </c>
    </row>
    <row r="734" spans="1:25" x14ac:dyDescent="0.3">
      <c r="A734" s="12" t="s">
        <v>1510</v>
      </c>
      <c r="B734" s="7">
        <v>44522</v>
      </c>
      <c r="C734" s="4" t="s">
        <v>1511</v>
      </c>
      <c r="D734" s="4" t="s">
        <v>53</v>
      </c>
      <c r="E734" s="4">
        <v>10435</v>
      </c>
      <c r="F734" s="4">
        <v>5.6</v>
      </c>
      <c r="G734" s="4">
        <v>36</v>
      </c>
      <c r="H734" s="4" t="s">
        <v>26</v>
      </c>
      <c r="I734" s="4" t="s">
        <v>27</v>
      </c>
      <c r="J734" s="4" t="s">
        <v>47</v>
      </c>
      <c r="K734" s="4">
        <v>82265</v>
      </c>
      <c r="L734" s="4" t="s">
        <v>33</v>
      </c>
      <c r="M734" s="4">
        <v>0.11</v>
      </c>
      <c r="N734" s="4">
        <v>0.89</v>
      </c>
      <c r="O734" s="4">
        <v>1328.43</v>
      </c>
      <c r="P734" s="4">
        <v>0</v>
      </c>
      <c r="Q734" s="6">
        <f t="shared" si="134"/>
        <v>315.56511147275376</v>
      </c>
      <c r="R734" s="6">
        <f t="shared" si="127"/>
        <v>925.34401301913567</v>
      </c>
      <c r="S734" s="4">
        <f t="shared" si="128"/>
        <v>11724.719101123595</v>
      </c>
      <c r="T734" s="4">
        <f t="shared" si="129"/>
        <v>6855.416666666667</v>
      </c>
      <c r="U734" s="4">
        <f t="shared" si="130"/>
        <v>754.09583333333342</v>
      </c>
      <c r="V734" s="4">
        <f t="shared" ca="1" si="131"/>
        <v>51</v>
      </c>
      <c r="W734" s="20">
        <f t="shared" ca="1" si="136"/>
        <v>16093.820685110442</v>
      </c>
      <c r="X734" s="4">
        <f t="shared" si="132"/>
        <v>-9106.57</v>
      </c>
      <c r="Y734" s="13">
        <f t="shared" si="133"/>
        <v>-0.87269477719214184</v>
      </c>
    </row>
    <row r="735" spans="1:25" x14ac:dyDescent="0.3">
      <c r="A735" s="12" t="s">
        <v>1512</v>
      </c>
      <c r="B735" s="7">
        <v>45032</v>
      </c>
      <c r="C735" s="4" t="s">
        <v>1513</v>
      </c>
      <c r="D735" s="4" t="s">
        <v>25</v>
      </c>
      <c r="E735" s="4">
        <v>29552</v>
      </c>
      <c r="F735" s="4">
        <v>24.4</v>
      </c>
      <c r="G735" s="4">
        <v>36</v>
      </c>
      <c r="H735" s="4" t="s">
        <v>26</v>
      </c>
      <c r="I735" s="4" t="s">
        <v>84</v>
      </c>
      <c r="J735" s="4" t="s">
        <v>47</v>
      </c>
      <c r="K735" s="4">
        <v>46061</v>
      </c>
      <c r="L735" s="4" t="s">
        <v>29</v>
      </c>
      <c r="M735" s="4">
        <v>0.39</v>
      </c>
      <c r="N735" s="4">
        <v>0.57999999999999996</v>
      </c>
      <c r="O735" s="4">
        <v>5184.05</v>
      </c>
      <c r="P735" s="4">
        <v>0</v>
      </c>
      <c r="Q735" s="6">
        <f t="shared" si="134"/>
        <v>1165.6249146956641</v>
      </c>
      <c r="R735" s="6">
        <f t="shared" si="127"/>
        <v>12410.496929043904</v>
      </c>
      <c r="S735" s="4">
        <f t="shared" si="128"/>
        <v>50951.724137931036</v>
      </c>
      <c r="T735" s="4">
        <f t="shared" si="129"/>
        <v>3838.4166666666665</v>
      </c>
      <c r="U735" s="4">
        <f t="shared" si="130"/>
        <v>1496.9825000000001</v>
      </c>
      <c r="V735" s="4">
        <f t="shared" ca="1" si="131"/>
        <v>35</v>
      </c>
      <c r="W735" s="20">
        <f t="shared" ca="1" si="136"/>
        <v>40796.872014348242</v>
      </c>
      <c r="X735" s="4">
        <f t="shared" si="132"/>
        <v>-24367.95</v>
      </c>
      <c r="Y735" s="13">
        <f t="shared" si="133"/>
        <v>-0.82457870871683814</v>
      </c>
    </row>
    <row r="736" spans="1:25" x14ac:dyDescent="0.3">
      <c r="A736" s="12" t="s">
        <v>1514</v>
      </c>
      <c r="B736" s="7">
        <v>44920</v>
      </c>
      <c r="C736" s="4" t="s">
        <v>1515</v>
      </c>
      <c r="D736" s="4" t="s">
        <v>25</v>
      </c>
      <c r="E736" s="4">
        <v>38384</v>
      </c>
      <c r="F736" s="4">
        <v>9.4</v>
      </c>
      <c r="G736" s="4">
        <v>60</v>
      </c>
      <c r="H736" s="4" t="s">
        <v>26</v>
      </c>
      <c r="I736" s="4" t="s">
        <v>20</v>
      </c>
      <c r="J736" s="4" t="s">
        <v>37</v>
      </c>
      <c r="K736" s="4">
        <v>88226</v>
      </c>
      <c r="L736" s="4" t="s">
        <v>22</v>
      </c>
      <c r="M736" s="4">
        <v>0.18</v>
      </c>
      <c r="N736" s="4">
        <v>0.7</v>
      </c>
      <c r="O736" s="4">
        <v>4663.03</v>
      </c>
      <c r="P736" s="4">
        <v>0</v>
      </c>
      <c r="Q736" s="6">
        <f t="shared" si="134"/>
        <v>804.26094035624089</v>
      </c>
      <c r="R736" s="6">
        <f t="shared" si="127"/>
        <v>9871.6564213744568</v>
      </c>
      <c r="S736" s="4">
        <f t="shared" si="128"/>
        <v>54834.285714285717</v>
      </c>
      <c r="T736" s="4">
        <f t="shared" si="129"/>
        <v>7352.166666666667</v>
      </c>
      <c r="U736" s="4">
        <f t="shared" si="130"/>
        <v>1323.39</v>
      </c>
      <c r="V736" s="4">
        <f t="shared" ca="1" si="131"/>
        <v>38</v>
      </c>
      <c r="W736" s="20">
        <f t="shared" ca="1" si="136"/>
        <v>30561.915733537153</v>
      </c>
      <c r="X736" s="4">
        <f t="shared" si="132"/>
        <v>-33720.97</v>
      </c>
      <c r="Y736" s="13">
        <f t="shared" si="133"/>
        <v>-0.87851630887869947</v>
      </c>
    </row>
    <row r="737" spans="1:25" x14ac:dyDescent="0.3">
      <c r="A737" s="12" t="s">
        <v>1516</v>
      </c>
      <c r="B737" s="7">
        <v>44421</v>
      </c>
      <c r="C737" s="4" t="s">
        <v>1517</v>
      </c>
      <c r="D737" s="4" t="s">
        <v>56</v>
      </c>
      <c r="E737" s="4">
        <v>17393</v>
      </c>
      <c r="F737" s="4">
        <v>19.7</v>
      </c>
      <c r="G737" s="4">
        <v>60</v>
      </c>
      <c r="H737" s="4" t="s">
        <v>26</v>
      </c>
      <c r="I737" s="4" t="s">
        <v>57</v>
      </c>
      <c r="J737" s="4" t="s">
        <v>32</v>
      </c>
      <c r="K737" s="4">
        <v>58810</v>
      </c>
      <c r="L737" s="4" t="s">
        <v>22</v>
      </c>
      <c r="M737" s="4">
        <v>0.15</v>
      </c>
      <c r="N737" s="4">
        <v>0.71</v>
      </c>
      <c r="O737" s="4">
        <v>2401.1</v>
      </c>
      <c r="P737" s="4">
        <v>0</v>
      </c>
      <c r="Q737" s="6">
        <f t="shared" si="134"/>
        <v>457.90961332090922</v>
      </c>
      <c r="R737" s="6">
        <f t="shared" si="127"/>
        <v>10081.576799254552</v>
      </c>
      <c r="S737" s="4">
        <f t="shared" si="128"/>
        <v>24497.183098591551</v>
      </c>
      <c r="T737" s="4">
        <f t="shared" si="129"/>
        <v>4900.833333333333</v>
      </c>
      <c r="U737" s="4">
        <f t="shared" si="130"/>
        <v>735.12499999999989</v>
      </c>
      <c r="V737" s="4">
        <f t="shared" ca="1" si="131"/>
        <v>55</v>
      </c>
      <c r="W737" s="20">
        <f t="shared" ca="1" si="136"/>
        <v>25185.028732650007</v>
      </c>
      <c r="X737" s="4">
        <f t="shared" si="132"/>
        <v>-14991.9</v>
      </c>
      <c r="Y737" s="13">
        <f t="shared" si="133"/>
        <v>-0.86195020985453918</v>
      </c>
    </row>
    <row r="738" spans="1:25" x14ac:dyDescent="0.3">
      <c r="A738" s="12" t="s">
        <v>1518</v>
      </c>
      <c r="B738" s="7">
        <v>44728</v>
      </c>
      <c r="C738" s="4" t="s">
        <v>1519</v>
      </c>
      <c r="D738" s="4" t="s">
        <v>50</v>
      </c>
      <c r="E738" s="4">
        <v>11617</v>
      </c>
      <c r="F738" s="4">
        <v>20.3</v>
      </c>
      <c r="G738" s="4">
        <v>36</v>
      </c>
      <c r="H738" s="4" t="s">
        <v>26</v>
      </c>
      <c r="I738" s="4" t="s">
        <v>41</v>
      </c>
      <c r="J738" s="4" t="s">
        <v>32</v>
      </c>
      <c r="K738" s="4">
        <v>90006</v>
      </c>
      <c r="L738" s="4" t="s">
        <v>29</v>
      </c>
      <c r="M738" s="4">
        <v>0.36</v>
      </c>
      <c r="N738" s="4">
        <v>0.86</v>
      </c>
      <c r="O738" s="4">
        <v>5667.24</v>
      </c>
      <c r="P738" s="4">
        <v>0</v>
      </c>
      <c r="Q738" s="6">
        <f t="shared" si="134"/>
        <v>433.5071481560372</v>
      </c>
      <c r="R738" s="6">
        <f t="shared" si="127"/>
        <v>3989.2573336173391</v>
      </c>
      <c r="S738" s="4">
        <f t="shared" si="128"/>
        <v>13508.139534883721</v>
      </c>
      <c r="T738" s="4">
        <f t="shared" si="129"/>
        <v>7500.5</v>
      </c>
      <c r="U738" s="4">
        <f t="shared" si="130"/>
        <v>2700.18</v>
      </c>
      <c r="V738" s="4">
        <f t="shared" ca="1" si="131"/>
        <v>45</v>
      </c>
      <c r="W738" s="20">
        <f t="shared" ca="1" si="136"/>
        <v>19507.821667021675</v>
      </c>
      <c r="X738" s="4">
        <f t="shared" si="132"/>
        <v>-5949.76</v>
      </c>
      <c r="Y738" s="13">
        <f t="shared" si="133"/>
        <v>-0.51215976586037704</v>
      </c>
    </row>
    <row r="739" spans="1:25" x14ac:dyDescent="0.3">
      <c r="A739" s="12" t="s">
        <v>1520</v>
      </c>
      <c r="B739" s="7">
        <v>44309</v>
      </c>
      <c r="C739" s="4" t="s">
        <v>1521</v>
      </c>
      <c r="D739" s="4" t="s">
        <v>72</v>
      </c>
      <c r="E739" s="4">
        <v>39520</v>
      </c>
      <c r="F739" s="4">
        <v>23.6</v>
      </c>
      <c r="G739" s="4">
        <v>36</v>
      </c>
      <c r="H739" s="4" t="s">
        <v>19</v>
      </c>
      <c r="I739" s="4" t="s">
        <v>84</v>
      </c>
      <c r="J739" s="4" t="s">
        <v>32</v>
      </c>
      <c r="K739" s="4">
        <v>143502</v>
      </c>
      <c r="L739" s="4" t="s">
        <v>22</v>
      </c>
      <c r="M739" s="4">
        <v>0.23</v>
      </c>
      <c r="N739" s="4">
        <v>0.77</v>
      </c>
      <c r="O739" s="4">
        <v>48846.720000000001</v>
      </c>
      <c r="P739" s="4">
        <v>0</v>
      </c>
      <c r="Q739" s="6">
        <f t="shared" si="134"/>
        <v>1542.1944119981999</v>
      </c>
      <c r="R739" s="6">
        <f t="shared" si="127"/>
        <v>15998.998831935198</v>
      </c>
      <c r="S739" s="4">
        <f t="shared" si="128"/>
        <v>51324.675324675321</v>
      </c>
      <c r="T739" s="4">
        <f t="shared" si="129"/>
        <v>11958.5</v>
      </c>
      <c r="U739" s="4">
        <f t="shared" si="130"/>
        <v>2750.4549999999999</v>
      </c>
      <c r="V739" s="4">
        <f t="shared" ca="1" si="131"/>
        <v>58</v>
      </c>
      <c r="W739" s="20">
        <f t="shared" ca="1" si="136"/>
        <v>89447.275895895596</v>
      </c>
      <c r="X739" s="4">
        <f t="shared" si="132"/>
        <v>9326.7200000000012</v>
      </c>
      <c r="Y739" s="13">
        <f t="shared" si="133"/>
        <v>0.23600000000000004</v>
      </c>
    </row>
    <row r="740" spans="1:25" x14ac:dyDescent="0.3">
      <c r="A740" s="12" t="s">
        <v>1522</v>
      </c>
      <c r="B740" s="7">
        <v>44336</v>
      </c>
      <c r="C740" s="4" t="s">
        <v>1523</v>
      </c>
      <c r="D740" s="4" t="s">
        <v>46</v>
      </c>
      <c r="E740" s="4">
        <v>10852</v>
      </c>
      <c r="F740" s="4">
        <v>5.6</v>
      </c>
      <c r="G740" s="4">
        <v>60</v>
      </c>
      <c r="H740" s="4" t="s">
        <v>19</v>
      </c>
      <c r="I740" s="4" t="s">
        <v>73</v>
      </c>
      <c r="J740" s="4" t="s">
        <v>32</v>
      </c>
      <c r="K740" s="4">
        <v>52800</v>
      </c>
      <c r="L740" s="4" t="s">
        <v>22</v>
      </c>
      <c r="M740" s="4">
        <v>0.12</v>
      </c>
      <c r="N740" s="4">
        <v>0.79</v>
      </c>
      <c r="O740" s="4">
        <v>11459.71</v>
      </c>
      <c r="P740" s="4">
        <v>0</v>
      </c>
      <c r="Q740" s="6">
        <f t="shared" si="134"/>
        <v>207.78707785917749</v>
      </c>
      <c r="R740" s="6">
        <f t="shared" si="127"/>
        <v>1615.2246715506499</v>
      </c>
      <c r="S740" s="4">
        <f t="shared" si="128"/>
        <v>13736.708860759492</v>
      </c>
      <c r="T740" s="4">
        <f t="shared" si="129"/>
        <v>4400</v>
      </c>
      <c r="U740" s="4">
        <f t="shared" si="130"/>
        <v>528</v>
      </c>
      <c r="V740" s="4">
        <f t="shared" ca="1" si="131"/>
        <v>57</v>
      </c>
      <c r="W740" s="20">
        <f t="shared" ca="1" si="136"/>
        <v>11843.863437973117</v>
      </c>
      <c r="X740" s="4">
        <f t="shared" si="132"/>
        <v>607.70999999999913</v>
      </c>
      <c r="Y740" s="13">
        <f t="shared" si="133"/>
        <v>5.5999815702174632E-2</v>
      </c>
    </row>
    <row r="741" spans="1:25" x14ac:dyDescent="0.3">
      <c r="A741" s="12" t="s">
        <v>1524</v>
      </c>
      <c r="B741" s="7">
        <v>44755</v>
      </c>
      <c r="C741" s="4" t="s">
        <v>1525</v>
      </c>
      <c r="D741" s="4" t="s">
        <v>18</v>
      </c>
      <c r="E741" s="4">
        <v>32401</v>
      </c>
      <c r="F741" s="4">
        <v>22.4</v>
      </c>
      <c r="G741" s="4">
        <v>36</v>
      </c>
      <c r="H741" s="4" t="s">
        <v>60</v>
      </c>
      <c r="I741" s="4" t="s">
        <v>27</v>
      </c>
      <c r="J741" s="4" t="s">
        <v>32</v>
      </c>
      <c r="K741" s="4">
        <v>146192</v>
      </c>
      <c r="L741" s="4" t="s">
        <v>29</v>
      </c>
      <c r="M741" s="4">
        <v>0.16</v>
      </c>
      <c r="N741" s="4">
        <v>0.95</v>
      </c>
      <c r="O741" s="4">
        <v>0</v>
      </c>
      <c r="P741" s="4">
        <v>0</v>
      </c>
      <c r="Q741" s="6">
        <f t="shared" si="134"/>
        <v>1244.1237392103812</v>
      </c>
      <c r="R741" s="6">
        <f t="shared" si="127"/>
        <v>12387.454611573725</v>
      </c>
      <c r="S741" s="4">
        <f t="shared" si="128"/>
        <v>34106.315789473687</v>
      </c>
      <c r="T741" s="4">
        <f t="shared" si="129"/>
        <v>12182.666666666666</v>
      </c>
      <c r="U741" s="4">
        <f t="shared" si="130"/>
        <v>1949.2266666666667</v>
      </c>
      <c r="V741" s="4">
        <f t="shared" ca="1" si="131"/>
        <v>44</v>
      </c>
      <c r="W741" s="20">
        <f t="shared" ca="1" si="136"/>
        <v>54741.444525256775</v>
      </c>
      <c r="X741" s="4">
        <f t="shared" si="132"/>
        <v>-32401</v>
      </c>
      <c r="Y741" s="13">
        <f t="shared" si="133"/>
        <v>-1</v>
      </c>
    </row>
    <row r="742" spans="1:25" x14ac:dyDescent="0.3">
      <c r="A742" s="12" t="s">
        <v>1526</v>
      </c>
      <c r="B742" s="7">
        <v>44197</v>
      </c>
      <c r="C742" s="4" t="s">
        <v>1527</v>
      </c>
      <c r="D742" s="4" t="s">
        <v>65</v>
      </c>
      <c r="E742" s="4">
        <v>7295</v>
      </c>
      <c r="F742" s="4">
        <v>15.5</v>
      </c>
      <c r="G742" s="4">
        <v>60</v>
      </c>
      <c r="H742" s="4" t="s">
        <v>19</v>
      </c>
      <c r="I742" s="4" t="s">
        <v>84</v>
      </c>
      <c r="J742" s="4" t="s">
        <v>37</v>
      </c>
      <c r="K742" s="4">
        <v>138959</v>
      </c>
      <c r="L742" s="4" t="s">
        <v>33</v>
      </c>
      <c r="M742" s="4">
        <v>0.1</v>
      </c>
      <c r="N742" s="4">
        <v>0.53</v>
      </c>
      <c r="O742" s="4">
        <v>8425.7199999999993</v>
      </c>
      <c r="P742" s="4">
        <v>0</v>
      </c>
      <c r="Q742" s="6">
        <f t="shared" si="134"/>
        <v>175.46802892647023</v>
      </c>
      <c r="R742" s="6">
        <f t="shared" si="127"/>
        <v>3233.0817355882136</v>
      </c>
      <c r="S742" s="4">
        <f t="shared" si="128"/>
        <v>13764.150943396226</v>
      </c>
      <c r="T742" s="4">
        <f t="shared" si="129"/>
        <v>11579.916666666666</v>
      </c>
      <c r="U742" s="4">
        <f t="shared" si="130"/>
        <v>1157.9916666666666</v>
      </c>
      <c r="V742" s="4">
        <f t="shared" ca="1" si="131"/>
        <v>62</v>
      </c>
      <c r="W742" s="20">
        <f t="shared" ca="1" si="136"/>
        <v>10879.017793441153</v>
      </c>
      <c r="X742" s="4">
        <f t="shared" si="132"/>
        <v>1130.7199999999993</v>
      </c>
      <c r="Y742" s="13">
        <f t="shared" si="133"/>
        <v>0.15499931459904034</v>
      </c>
    </row>
    <row r="743" spans="1:25" x14ac:dyDescent="0.3">
      <c r="A743" s="12" t="s">
        <v>1528</v>
      </c>
      <c r="B743" s="7">
        <v>44286</v>
      </c>
      <c r="C743" s="4" t="s">
        <v>1529</v>
      </c>
      <c r="D743" s="4" t="s">
        <v>50</v>
      </c>
      <c r="E743" s="4">
        <v>36993</v>
      </c>
      <c r="F743" s="4">
        <v>17.7</v>
      </c>
      <c r="G743" s="4">
        <v>36</v>
      </c>
      <c r="H743" s="4" t="s">
        <v>26</v>
      </c>
      <c r="I743" s="4" t="s">
        <v>57</v>
      </c>
      <c r="J743" s="4" t="s">
        <v>21</v>
      </c>
      <c r="K743" s="4">
        <v>137228</v>
      </c>
      <c r="L743" s="4" t="s">
        <v>29</v>
      </c>
      <c r="M743" s="4">
        <v>0.46</v>
      </c>
      <c r="N743" s="4">
        <v>0.6</v>
      </c>
      <c r="O743" s="4">
        <v>4398.51</v>
      </c>
      <c r="P743" s="4">
        <v>0</v>
      </c>
      <c r="Q743" s="6">
        <f t="shared" si="134"/>
        <v>1331.8249053428374</v>
      </c>
      <c r="R743" s="6">
        <f t="shared" si="127"/>
        <v>10952.696592342145</v>
      </c>
      <c r="S743" s="4">
        <f t="shared" si="128"/>
        <v>61655</v>
      </c>
      <c r="T743" s="4">
        <f t="shared" si="129"/>
        <v>11435.666666666666</v>
      </c>
      <c r="U743" s="4">
        <f t="shared" si="130"/>
        <v>5260.4066666666668</v>
      </c>
      <c r="V743" s="4">
        <f t="shared" ca="1" si="131"/>
        <v>59</v>
      </c>
      <c r="W743" s="20">
        <f t="shared" ca="1" si="136"/>
        <v>78577.669415227399</v>
      </c>
      <c r="X743" s="4">
        <f t="shared" si="132"/>
        <v>-32594.489999999998</v>
      </c>
      <c r="Y743" s="13">
        <f t="shared" si="133"/>
        <v>-0.88109885654042652</v>
      </c>
    </row>
    <row r="744" spans="1:25" x14ac:dyDescent="0.3">
      <c r="A744" s="12" t="s">
        <v>1530</v>
      </c>
      <c r="B744" s="7">
        <v>44850</v>
      </c>
      <c r="C744" s="4" t="s">
        <v>1531</v>
      </c>
      <c r="D744" s="4" t="s">
        <v>18</v>
      </c>
      <c r="E744" s="4">
        <v>35084</v>
      </c>
      <c r="F744" s="4">
        <v>17.899999999999999</v>
      </c>
      <c r="G744" s="4">
        <v>36</v>
      </c>
      <c r="H744" s="4" t="s">
        <v>19</v>
      </c>
      <c r="I744" s="4" t="s">
        <v>36</v>
      </c>
      <c r="J744" s="4" t="s">
        <v>28</v>
      </c>
      <c r="K744" s="4">
        <v>105476</v>
      </c>
      <c r="L744" s="4" t="s">
        <v>29</v>
      </c>
      <c r="M744" s="4">
        <v>0.11</v>
      </c>
      <c r="N744" s="4">
        <v>0.68</v>
      </c>
      <c r="O744" s="4">
        <v>41364.04</v>
      </c>
      <c r="P744" s="4">
        <v>0</v>
      </c>
      <c r="Q744" s="6">
        <f t="shared" si="134"/>
        <v>1266.6113533017915</v>
      </c>
      <c r="R744" s="6">
        <f t="shared" si="127"/>
        <v>10514.008718864497</v>
      </c>
      <c r="S744" s="4">
        <f t="shared" si="128"/>
        <v>51594.117647058818</v>
      </c>
      <c r="T744" s="4">
        <f t="shared" si="129"/>
        <v>8789.6666666666661</v>
      </c>
      <c r="U744" s="4">
        <f t="shared" si="130"/>
        <v>966.86333333333323</v>
      </c>
      <c r="V744" s="4">
        <f t="shared" ca="1" si="131"/>
        <v>41</v>
      </c>
      <c r="W744" s="20">
        <f t="shared" ca="1" si="136"/>
        <v>51931.065485373452</v>
      </c>
      <c r="X744" s="4">
        <f t="shared" si="132"/>
        <v>6280.0400000000009</v>
      </c>
      <c r="Y744" s="13">
        <f t="shared" si="133"/>
        <v>0.17900011401208529</v>
      </c>
    </row>
    <row r="745" spans="1:25" x14ac:dyDescent="0.3">
      <c r="A745" s="12" t="s">
        <v>1532</v>
      </c>
      <c r="B745" s="7">
        <v>44516</v>
      </c>
      <c r="C745" s="4" t="s">
        <v>1533</v>
      </c>
      <c r="D745" s="4" t="s">
        <v>46</v>
      </c>
      <c r="E745" s="4">
        <v>37451</v>
      </c>
      <c r="F745" s="4">
        <v>21.4</v>
      </c>
      <c r="G745" s="4">
        <v>60</v>
      </c>
      <c r="H745" s="4" t="s">
        <v>26</v>
      </c>
      <c r="I745" s="4" t="s">
        <v>73</v>
      </c>
      <c r="J745" s="4" t="s">
        <v>32</v>
      </c>
      <c r="K745" s="4">
        <v>99460</v>
      </c>
      <c r="L745" s="4" t="s">
        <v>29</v>
      </c>
      <c r="M745" s="4">
        <v>0.18</v>
      </c>
      <c r="N745" s="4">
        <v>0.66</v>
      </c>
      <c r="O745" s="4">
        <v>6410.55</v>
      </c>
      <c r="P745" s="4">
        <v>0</v>
      </c>
      <c r="Q745" s="6">
        <f t="shared" si="134"/>
        <v>1021.6204135956433</v>
      </c>
      <c r="R745" s="6">
        <f t="shared" si="127"/>
        <v>23846.224815738598</v>
      </c>
      <c r="S745" s="4">
        <f t="shared" si="128"/>
        <v>56743.939393939392</v>
      </c>
      <c r="T745" s="4">
        <f t="shared" si="129"/>
        <v>8288.3333333333339</v>
      </c>
      <c r="U745" s="4">
        <f t="shared" si="130"/>
        <v>1491.9</v>
      </c>
      <c r="V745" s="4">
        <f t="shared" ca="1" si="131"/>
        <v>52</v>
      </c>
      <c r="W745" s="20">
        <f t="shared" ca="1" si="136"/>
        <v>53124.261506973453</v>
      </c>
      <c r="X745" s="4">
        <f t="shared" si="132"/>
        <v>-31040.45</v>
      </c>
      <c r="Y745" s="13">
        <f t="shared" si="133"/>
        <v>-0.8288283356919709</v>
      </c>
    </row>
    <row r="746" spans="1:25" x14ac:dyDescent="0.3">
      <c r="A746" s="12" t="s">
        <v>1534</v>
      </c>
      <c r="B746" s="7">
        <v>44335</v>
      </c>
      <c r="C746" s="4" t="s">
        <v>1535</v>
      </c>
      <c r="D746" s="4" t="s">
        <v>50</v>
      </c>
      <c r="E746" s="4">
        <v>8227</v>
      </c>
      <c r="F746" s="4">
        <v>11.7</v>
      </c>
      <c r="G746" s="4">
        <v>60</v>
      </c>
      <c r="H746" s="4" t="s">
        <v>26</v>
      </c>
      <c r="I746" s="4" t="s">
        <v>73</v>
      </c>
      <c r="J746" s="4" t="s">
        <v>21</v>
      </c>
      <c r="K746" s="4">
        <v>87767</v>
      </c>
      <c r="L746" s="4" t="s">
        <v>29</v>
      </c>
      <c r="M746" s="4">
        <v>0.27</v>
      </c>
      <c r="N746" s="4">
        <v>0.51</v>
      </c>
      <c r="O746" s="4">
        <v>2597.8000000000002</v>
      </c>
      <c r="P746" s="4">
        <v>0</v>
      </c>
      <c r="Q746" s="6">
        <f t="shared" si="134"/>
        <v>181.76030471737403</v>
      </c>
      <c r="R746" s="6">
        <f t="shared" si="127"/>
        <v>2678.6182830424423</v>
      </c>
      <c r="S746" s="4">
        <f t="shared" si="128"/>
        <v>16131.372549019608</v>
      </c>
      <c r="T746" s="4">
        <f t="shared" si="129"/>
        <v>7313.916666666667</v>
      </c>
      <c r="U746" s="4">
        <f t="shared" si="130"/>
        <v>1974.7575000000002</v>
      </c>
      <c r="V746" s="4">
        <f t="shared" ca="1" si="131"/>
        <v>58</v>
      </c>
      <c r="W746" s="20">
        <f t="shared" ca="1" si="136"/>
        <v>10542.097673607694</v>
      </c>
      <c r="X746" s="4">
        <f t="shared" si="132"/>
        <v>-5629.2</v>
      </c>
      <c r="Y746" s="13">
        <f t="shared" si="133"/>
        <v>-0.68423483651391759</v>
      </c>
    </row>
    <row r="747" spans="1:25" x14ac:dyDescent="0.3">
      <c r="A747" s="12" t="s">
        <v>1536</v>
      </c>
      <c r="B747" s="7">
        <v>45041</v>
      </c>
      <c r="C747" s="4" t="s">
        <v>1537</v>
      </c>
      <c r="D747" s="4" t="s">
        <v>18</v>
      </c>
      <c r="E747" s="4">
        <v>32910</v>
      </c>
      <c r="F747" s="4">
        <v>19.7</v>
      </c>
      <c r="G747" s="4">
        <v>60</v>
      </c>
      <c r="H747" s="4" t="s">
        <v>19</v>
      </c>
      <c r="I747" s="4" t="s">
        <v>41</v>
      </c>
      <c r="J747" s="4" t="s">
        <v>47</v>
      </c>
      <c r="K747" s="4">
        <v>58054</v>
      </c>
      <c r="L747" s="4" t="s">
        <v>33</v>
      </c>
      <c r="M747" s="4">
        <v>0.24</v>
      </c>
      <c r="N747" s="4">
        <v>0.54</v>
      </c>
      <c r="O747" s="4">
        <v>39393.269999999997</v>
      </c>
      <c r="P747" s="4">
        <v>0</v>
      </c>
      <c r="Q747" s="6">
        <f t="shared" si="134"/>
        <v>866.42933216760309</v>
      </c>
      <c r="R747" s="6">
        <f t="shared" si="127"/>
        <v>19075.759930056185</v>
      </c>
      <c r="S747" s="4">
        <f t="shared" si="128"/>
        <v>60944.444444444438</v>
      </c>
      <c r="T747" s="4">
        <f t="shared" si="129"/>
        <v>4837.833333333333</v>
      </c>
      <c r="U747" s="4">
        <f t="shared" si="130"/>
        <v>1161.08</v>
      </c>
      <c r="V747" s="4">
        <f t="shared" ca="1" si="131"/>
        <v>34</v>
      </c>
      <c r="W747" s="20">
        <f t="shared" ca="1" si="136"/>
        <v>29458.597293698505</v>
      </c>
      <c r="X747" s="4">
        <f t="shared" si="132"/>
        <v>6483.2699999999968</v>
      </c>
      <c r="Y747" s="13">
        <f t="shared" si="133"/>
        <v>0.1969999999999999</v>
      </c>
    </row>
    <row r="748" spans="1:25" x14ac:dyDescent="0.3">
      <c r="A748" s="12" t="s">
        <v>1538</v>
      </c>
      <c r="B748" s="7">
        <v>44455</v>
      </c>
      <c r="C748" s="4" t="s">
        <v>1539</v>
      </c>
      <c r="D748" s="4" t="s">
        <v>76</v>
      </c>
      <c r="E748" s="4">
        <v>37041</v>
      </c>
      <c r="F748" s="4">
        <v>15.6</v>
      </c>
      <c r="G748" s="4">
        <v>60</v>
      </c>
      <c r="H748" s="4" t="s">
        <v>19</v>
      </c>
      <c r="I748" s="4" t="s">
        <v>84</v>
      </c>
      <c r="J748" s="4" t="s">
        <v>37</v>
      </c>
      <c r="K748" s="4">
        <v>105319</v>
      </c>
      <c r="L748" s="4" t="s">
        <v>33</v>
      </c>
      <c r="M748" s="4">
        <v>0.46</v>
      </c>
      <c r="N748" s="4">
        <v>0.81</v>
      </c>
      <c r="O748" s="4">
        <v>42819.4</v>
      </c>
      <c r="P748" s="4">
        <v>0</v>
      </c>
      <c r="Q748" s="6">
        <f t="shared" si="134"/>
        <v>892.91168349695181</v>
      </c>
      <c r="R748" s="6">
        <f t="shared" si="127"/>
        <v>16533.701009817109</v>
      </c>
      <c r="S748" s="4">
        <f t="shared" si="128"/>
        <v>45729.629629629628</v>
      </c>
      <c r="T748" s="4">
        <f t="shared" si="129"/>
        <v>8776.5833333333339</v>
      </c>
      <c r="U748" s="4">
        <f t="shared" si="130"/>
        <v>4037.2283333333339</v>
      </c>
      <c r="V748" s="4">
        <f t="shared" ca="1" si="131"/>
        <v>54</v>
      </c>
      <c r="W748" s="20">
        <f t="shared" ca="1" si="136"/>
        <v>48217.230908835394</v>
      </c>
      <c r="X748" s="4">
        <f t="shared" si="132"/>
        <v>5778.4000000000015</v>
      </c>
      <c r="Y748" s="13">
        <f t="shared" si="133"/>
        <v>0.15600010798844527</v>
      </c>
    </row>
    <row r="749" spans="1:25" x14ac:dyDescent="0.3">
      <c r="A749" s="12" t="s">
        <v>1540</v>
      </c>
      <c r="B749" s="7">
        <v>45098</v>
      </c>
      <c r="C749" s="4" t="s">
        <v>1541</v>
      </c>
      <c r="D749" s="4" t="s">
        <v>25</v>
      </c>
      <c r="E749" s="4">
        <v>24384</v>
      </c>
      <c r="F749" s="4">
        <v>20.9</v>
      </c>
      <c r="G749" s="4">
        <v>60</v>
      </c>
      <c r="H749" s="4" t="s">
        <v>26</v>
      </c>
      <c r="I749" s="4" t="s">
        <v>57</v>
      </c>
      <c r="J749" s="4" t="s">
        <v>21</v>
      </c>
      <c r="K749" s="4">
        <v>132789</v>
      </c>
      <c r="L749" s="4" t="s">
        <v>22</v>
      </c>
      <c r="M749" s="4">
        <v>0.12</v>
      </c>
      <c r="N749" s="4">
        <v>0.9</v>
      </c>
      <c r="O749" s="4">
        <v>7914.57</v>
      </c>
      <c r="P749" s="4">
        <v>0</v>
      </c>
      <c r="Q749" s="6">
        <f t="shared" si="134"/>
        <v>658.29820428994697</v>
      </c>
      <c r="R749" s="6">
        <f t="shared" si="127"/>
        <v>15113.892257396816</v>
      </c>
      <c r="S749" s="4">
        <f t="shared" si="128"/>
        <v>27093.333333333332</v>
      </c>
      <c r="T749" s="4">
        <f t="shared" si="129"/>
        <v>11065.75</v>
      </c>
      <c r="U749" s="4">
        <f t="shared" si="130"/>
        <v>1327.8899999999999</v>
      </c>
      <c r="V749" s="4">
        <f t="shared" ca="1" si="131"/>
        <v>32</v>
      </c>
      <c r="W749" s="20">
        <f t="shared" ca="1" si="136"/>
        <v>21065.542537278303</v>
      </c>
      <c r="X749" s="4">
        <f t="shared" si="132"/>
        <v>-16469.43</v>
      </c>
      <c r="Y749" s="13">
        <f t="shared" si="133"/>
        <v>-0.67541953740157479</v>
      </c>
    </row>
    <row r="750" spans="1:25" x14ac:dyDescent="0.3">
      <c r="A750" s="12" t="s">
        <v>1542</v>
      </c>
      <c r="B750" s="7">
        <v>44886</v>
      </c>
      <c r="C750" s="4" t="s">
        <v>1543</v>
      </c>
      <c r="D750" s="4" t="s">
        <v>46</v>
      </c>
      <c r="E750" s="4">
        <v>1145</v>
      </c>
      <c r="F750" s="4">
        <v>24.8</v>
      </c>
      <c r="G750" s="4">
        <v>60</v>
      </c>
      <c r="H750" s="4" t="s">
        <v>19</v>
      </c>
      <c r="I750" s="4" t="s">
        <v>20</v>
      </c>
      <c r="J750" s="4" t="s">
        <v>32</v>
      </c>
      <c r="K750" s="4">
        <v>75397</v>
      </c>
      <c r="L750" s="4" t="s">
        <v>22</v>
      </c>
      <c r="M750" s="4">
        <v>0.3</v>
      </c>
      <c r="N750" s="4">
        <v>0.73</v>
      </c>
      <c r="O750" s="4">
        <v>1428.96</v>
      </c>
      <c r="P750" s="4">
        <v>0</v>
      </c>
      <c r="Q750" s="6">
        <f t="shared" si="134"/>
        <v>33.473143421052612</v>
      </c>
      <c r="R750" s="6">
        <f t="shared" si="127"/>
        <v>863.38860526315671</v>
      </c>
      <c r="S750" s="4">
        <f t="shared" si="128"/>
        <v>1568.4931506849316</v>
      </c>
      <c r="T750" s="4">
        <f t="shared" si="129"/>
        <v>6283.083333333333</v>
      </c>
      <c r="U750" s="4">
        <f t="shared" si="130"/>
        <v>1884.9249999999997</v>
      </c>
      <c r="V750" s="4">
        <f t="shared" ca="1" si="131"/>
        <v>39</v>
      </c>
      <c r="W750" s="20">
        <f t="shared" ca="1" si="136"/>
        <v>1305.4525934210519</v>
      </c>
      <c r="X750" s="4">
        <f t="shared" si="132"/>
        <v>283.96000000000004</v>
      </c>
      <c r="Y750" s="13">
        <f t="shared" si="133"/>
        <v>0.24800000000000003</v>
      </c>
    </row>
    <row r="751" spans="1:25" x14ac:dyDescent="0.3">
      <c r="A751" s="12" t="s">
        <v>1544</v>
      </c>
      <c r="B751" s="7">
        <v>44206</v>
      </c>
      <c r="C751" s="4" t="s">
        <v>1545</v>
      </c>
      <c r="D751" s="4" t="s">
        <v>72</v>
      </c>
      <c r="E751" s="4">
        <v>38778</v>
      </c>
      <c r="F751" s="4">
        <v>9</v>
      </c>
      <c r="G751" s="4">
        <v>60</v>
      </c>
      <c r="H751" s="4" t="s">
        <v>19</v>
      </c>
      <c r="I751" s="4" t="s">
        <v>73</v>
      </c>
      <c r="J751" s="4" t="s">
        <v>32</v>
      </c>
      <c r="K751" s="4">
        <v>43233</v>
      </c>
      <c r="L751" s="4" t="s">
        <v>29</v>
      </c>
      <c r="M751" s="4">
        <v>0.37</v>
      </c>
      <c r="N751" s="4">
        <v>0.74</v>
      </c>
      <c r="O751" s="4">
        <v>42268.02</v>
      </c>
      <c r="P751" s="4">
        <v>0</v>
      </c>
      <c r="Q751" s="6">
        <f t="shared" si="134"/>
        <v>804.9674989675558</v>
      </c>
      <c r="R751" s="6">
        <f t="shared" si="127"/>
        <v>9520.0499380533511</v>
      </c>
      <c r="S751" s="4">
        <f t="shared" si="128"/>
        <v>52402.7027027027</v>
      </c>
      <c r="T751" s="4">
        <f t="shared" si="129"/>
        <v>3602.75</v>
      </c>
      <c r="U751" s="4">
        <f t="shared" si="130"/>
        <v>1333.0174999999999</v>
      </c>
      <c r="V751" s="4">
        <f t="shared" ca="1" si="131"/>
        <v>62</v>
      </c>
      <c r="W751" s="20">
        <f t="shared" ca="1" si="136"/>
        <v>49907.984935988461</v>
      </c>
      <c r="X751" s="4">
        <f t="shared" si="132"/>
        <v>3490.0199999999968</v>
      </c>
      <c r="Y751" s="13">
        <f t="shared" si="133"/>
        <v>8.9999999999999913E-2</v>
      </c>
    </row>
    <row r="752" spans="1:25" x14ac:dyDescent="0.3">
      <c r="A752" s="12" t="s">
        <v>1546</v>
      </c>
      <c r="B752" s="7">
        <v>44457</v>
      </c>
      <c r="C752" s="4" t="s">
        <v>1547</v>
      </c>
      <c r="D752" s="4" t="s">
        <v>40</v>
      </c>
      <c r="E752" s="4">
        <v>17035</v>
      </c>
      <c r="F752" s="4">
        <v>24.9</v>
      </c>
      <c r="G752" s="4">
        <v>36</v>
      </c>
      <c r="H752" s="4" t="s">
        <v>26</v>
      </c>
      <c r="I752" s="4" t="s">
        <v>27</v>
      </c>
      <c r="J752" s="4" t="s">
        <v>32</v>
      </c>
      <c r="K752" s="4">
        <v>141205</v>
      </c>
      <c r="L752" s="4" t="s">
        <v>22</v>
      </c>
      <c r="M752" s="4">
        <v>0.47</v>
      </c>
      <c r="N752" s="4">
        <v>0.61</v>
      </c>
      <c r="O752" s="4">
        <v>2032.08</v>
      </c>
      <c r="P752" s="4">
        <v>0</v>
      </c>
      <c r="Q752" s="6">
        <f t="shared" si="134"/>
        <v>676.40799991216352</v>
      </c>
      <c r="R752" s="6">
        <f t="shared" si="127"/>
        <v>7315.6879968378853</v>
      </c>
      <c r="S752" s="4">
        <f t="shared" si="128"/>
        <v>27926.22950819672</v>
      </c>
      <c r="T752" s="4">
        <f t="shared" si="129"/>
        <v>11767.083333333334</v>
      </c>
      <c r="U752" s="4">
        <f t="shared" si="130"/>
        <v>5530.5291666666662</v>
      </c>
      <c r="V752" s="4">
        <f t="shared" ca="1" si="131"/>
        <v>54</v>
      </c>
      <c r="W752" s="20">
        <f t="shared" ca="1" si="136"/>
        <v>36526.031995256832</v>
      </c>
      <c r="X752" s="4">
        <f t="shared" si="132"/>
        <v>-15002.92</v>
      </c>
      <c r="Y752" s="13">
        <f t="shared" si="133"/>
        <v>-0.88071147637217495</v>
      </c>
    </row>
    <row r="753" spans="1:25" x14ac:dyDescent="0.3">
      <c r="A753" s="12" t="s">
        <v>1548</v>
      </c>
      <c r="B753" s="7">
        <v>44368</v>
      </c>
      <c r="C753" s="4" t="s">
        <v>1549</v>
      </c>
      <c r="D753" s="4" t="s">
        <v>76</v>
      </c>
      <c r="E753" s="4">
        <v>4040</v>
      </c>
      <c r="F753" s="4">
        <v>6.8</v>
      </c>
      <c r="G753" s="4">
        <v>36</v>
      </c>
      <c r="H753" s="4" t="s">
        <v>19</v>
      </c>
      <c r="I753" s="4" t="s">
        <v>27</v>
      </c>
      <c r="J753" s="4" t="s">
        <v>21</v>
      </c>
      <c r="K753" s="4">
        <v>120020</v>
      </c>
      <c r="L753" s="4" t="s">
        <v>33</v>
      </c>
      <c r="M753" s="4">
        <v>0.35</v>
      </c>
      <c r="N753" s="4">
        <v>0.85</v>
      </c>
      <c r="O753" s="4">
        <v>4314.72</v>
      </c>
      <c r="P753" s="4">
        <v>0</v>
      </c>
      <c r="Q753" s="6">
        <f t="shared" si="134"/>
        <v>124.37437312351231</v>
      </c>
      <c r="R753" s="6">
        <f t="shared" si="127"/>
        <v>437.47743244644334</v>
      </c>
      <c r="S753" s="4">
        <f t="shared" si="128"/>
        <v>4752.9411764705883</v>
      </c>
      <c r="T753" s="4">
        <f t="shared" si="129"/>
        <v>10001.666666666666</v>
      </c>
      <c r="U753" s="4">
        <f t="shared" si="130"/>
        <v>3500.583333333333</v>
      </c>
      <c r="V753" s="4">
        <f t="shared" ca="1" si="131"/>
        <v>56</v>
      </c>
      <c r="W753" s="20">
        <f t="shared" ca="1" si="136"/>
        <v>6964.9648949166894</v>
      </c>
      <c r="X753" s="4">
        <f t="shared" si="132"/>
        <v>274.72000000000025</v>
      </c>
      <c r="Y753" s="13">
        <f t="shared" si="133"/>
        <v>6.800000000000006E-2</v>
      </c>
    </row>
    <row r="754" spans="1:25" x14ac:dyDescent="0.3">
      <c r="A754" s="12" t="s">
        <v>1550</v>
      </c>
      <c r="B754" s="7">
        <v>45094</v>
      </c>
      <c r="C754" s="4" t="s">
        <v>1551</v>
      </c>
      <c r="D754" s="4" t="s">
        <v>25</v>
      </c>
      <c r="E754" s="4">
        <v>27160</v>
      </c>
      <c r="F754" s="4">
        <v>5</v>
      </c>
      <c r="G754" s="4">
        <v>36</v>
      </c>
      <c r="H754" s="4" t="s">
        <v>81</v>
      </c>
      <c r="I754" s="4" t="s">
        <v>41</v>
      </c>
      <c r="J754" s="4" t="s">
        <v>32</v>
      </c>
      <c r="K754" s="4">
        <v>55068</v>
      </c>
      <c r="L754" s="4" t="s">
        <v>22</v>
      </c>
      <c r="M754" s="4">
        <v>0.42</v>
      </c>
      <c r="N754" s="4">
        <v>0.84</v>
      </c>
      <c r="O754" s="4">
        <v>9183.2099999999991</v>
      </c>
      <c r="P754" s="4">
        <v>3538.73</v>
      </c>
      <c r="Q754" s="6">
        <f t="shared" si="134"/>
        <v>814.0095653627144</v>
      </c>
      <c r="R754" s="6">
        <f t="shared" si="127"/>
        <v>2144.3443530577169</v>
      </c>
      <c r="S754" s="4">
        <f t="shared" si="128"/>
        <v>32333.333333333336</v>
      </c>
      <c r="T754" s="4">
        <f t="shared" si="129"/>
        <v>4589</v>
      </c>
      <c r="U754" s="4">
        <f t="shared" si="130"/>
        <v>1927.3799999999999</v>
      </c>
      <c r="V754" s="4">
        <f t="shared" ca="1" si="131"/>
        <v>33</v>
      </c>
      <c r="W754" s="20">
        <v>0</v>
      </c>
      <c r="X754" s="4">
        <f t="shared" si="132"/>
        <v>-14438.060000000001</v>
      </c>
      <c r="Y754" s="13">
        <f t="shared" si="133"/>
        <v>-0.53159278350515471</v>
      </c>
    </row>
    <row r="755" spans="1:25" x14ac:dyDescent="0.3">
      <c r="A755" s="12" t="s">
        <v>1552</v>
      </c>
      <c r="B755" s="7">
        <v>44209</v>
      </c>
      <c r="C755" s="4" t="s">
        <v>1553</v>
      </c>
      <c r="D755" s="4" t="s">
        <v>53</v>
      </c>
      <c r="E755" s="4">
        <v>18633</v>
      </c>
      <c r="F755" s="4">
        <v>5.9</v>
      </c>
      <c r="G755" s="4">
        <v>60</v>
      </c>
      <c r="H755" s="4" t="s">
        <v>19</v>
      </c>
      <c r="I755" s="4" t="s">
        <v>84</v>
      </c>
      <c r="J755" s="4" t="s">
        <v>21</v>
      </c>
      <c r="K755" s="4">
        <v>95727</v>
      </c>
      <c r="L755" s="4" t="s">
        <v>22</v>
      </c>
      <c r="M755" s="4">
        <v>0.13</v>
      </c>
      <c r="N755" s="4">
        <v>0.76</v>
      </c>
      <c r="O755" s="4">
        <v>19732.349999999999</v>
      </c>
      <c r="P755" s="4">
        <v>0</v>
      </c>
      <c r="Q755" s="6">
        <f t="shared" si="134"/>
        <v>359.36231651076798</v>
      </c>
      <c r="R755" s="6">
        <f t="shared" si="127"/>
        <v>2928.7389906460776</v>
      </c>
      <c r="S755" s="4">
        <f t="shared" si="128"/>
        <v>24517.105263157893</v>
      </c>
      <c r="T755" s="4">
        <f t="shared" si="129"/>
        <v>7977.25</v>
      </c>
      <c r="U755" s="4">
        <f t="shared" si="130"/>
        <v>1037.0425</v>
      </c>
      <c r="V755" s="4">
        <f t="shared" ca="1" si="131"/>
        <v>62</v>
      </c>
      <c r="W755" s="20">
        <f t="shared" ref="W755:W773" ca="1" si="137">V755*Q755</f>
        <v>22280.463623667616</v>
      </c>
      <c r="X755" s="4">
        <f t="shared" si="132"/>
        <v>1099.3499999999985</v>
      </c>
      <c r="Y755" s="13">
        <f t="shared" si="133"/>
        <v>5.9000161004669059E-2</v>
      </c>
    </row>
    <row r="756" spans="1:25" x14ac:dyDescent="0.3">
      <c r="A756" s="12" t="s">
        <v>1554</v>
      </c>
      <c r="B756" s="7">
        <v>44517</v>
      </c>
      <c r="C756" s="4" t="s">
        <v>1555</v>
      </c>
      <c r="D756" s="4" t="s">
        <v>25</v>
      </c>
      <c r="E756" s="4">
        <v>30344</v>
      </c>
      <c r="F756" s="4">
        <v>11.8</v>
      </c>
      <c r="G756" s="4">
        <v>60</v>
      </c>
      <c r="H756" s="4" t="s">
        <v>19</v>
      </c>
      <c r="I756" s="4" t="s">
        <v>57</v>
      </c>
      <c r="J756" s="4" t="s">
        <v>32</v>
      </c>
      <c r="K756" s="4">
        <v>120610</v>
      </c>
      <c r="L756" s="4" t="s">
        <v>22</v>
      </c>
      <c r="M756" s="4">
        <v>0.25</v>
      </c>
      <c r="N756" s="4">
        <v>0.6</v>
      </c>
      <c r="O756" s="4">
        <v>33924.589999999997</v>
      </c>
      <c r="P756" s="4">
        <v>0</v>
      </c>
      <c r="Q756" s="6">
        <f t="shared" si="134"/>
        <v>671.92276471547518</v>
      </c>
      <c r="R756" s="6">
        <f t="shared" si="127"/>
        <v>9971.3658829285123</v>
      </c>
      <c r="S756" s="4">
        <f t="shared" si="128"/>
        <v>50573.333333333336</v>
      </c>
      <c r="T756" s="4">
        <f t="shared" si="129"/>
        <v>10050.833333333334</v>
      </c>
      <c r="U756" s="4">
        <f t="shared" si="130"/>
        <v>2512.7083333333335</v>
      </c>
      <c r="V756" s="4">
        <f t="shared" ca="1" si="131"/>
        <v>52</v>
      </c>
      <c r="W756" s="20">
        <f t="shared" ca="1" si="137"/>
        <v>34939.983765204706</v>
      </c>
      <c r="X756" s="4">
        <f t="shared" si="132"/>
        <v>3580.5899999999965</v>
      </c>
      <c r="Y756" s="13">
        <f t="shared" si="133"/>
        <v>0.1179999340891114</v>
      </c>
    </row>
    <row r="757" spans="1:25" x14ac:dyDescent="0.3">
      <c r="A757" s="12" t="s">
        <v>1556</v>
      </c>
      <c r="B757" s="7">
        <v>44525</v>
      </c>
      <c r="C757" s="4" t="s">
        <v>1557</v>
      </c>
      <c r="D757" s="4" t="s">
        <v>50</v>
      </c>
      <c r="E757" s="4">
        <v>18014</v>
      </c>
      <c r="F757" s="4">
        <v>17.7</v>
      </c>
      <c r="G757" s="4">
        <v>60</v>
      </c>
      <c r="H757" s="4" t="s">
        <v>26</v>
      </c>
      <c r="I757" s="4" t="s">
        <v>20</v>
      </c>
      <c r="J757" s="4" t="s">
        <v>47</v>
      </c>
      <c r="K757" s="4">
        <v>100453</v>
      </c>
      <c r="L757" s="4" t="s">
        <v>29</v>
      </c>
      <c r="M757" s="4">
        <v>0.25</v>
      </c>
      <c r="N757" s="4">
        <v>0.54</v>
      </c>
      <c r="O757" s="4">
        <v>7265.79</v>
      </c>
      <c r="P757" s="4">
        <v>0</v>
      </c>
      <c r="Q757" s="6">
        <f t="shared" si="134"/>
        <v>454.50241696924007</v>
      </c>
      <c r="R757" s="6">
        <f t="shared" si="127"/>
        <v>9256.145018154406</v>
      </c>
      <c r="S757" s="4">
        <f t="shared" si="128"/>
        <v>33359.259259259255</v>
      </c>
      <c r="T757" s="4">
        <f t="shared" si="129"/>
        <v>8371.0833333333339</v>
      </c>
      <c r="U757" s="4">
        <f t="shared" si="130"/>
        <v>2092.7708333333335</v>
      </c>
      <c r="V757" s="4">
        <f t="shared" ca="1" si="131"/>
        <v>51</v>
      </c>
      <c r="W757" s="20">
        <f t="shared" ca="1" si="137"/>
        <v>23179.623265431244</v>
      </c>
      <c r="X757" s="4">
        <f t="shared" si="132"/>
        <v>-10748.21</v>
      </c>
      <c r="Y757" s="13">
        <f t="shared" si="133"/>
        <v>-0.59665870989230596</v>
      </c>
    </row>
    <row r="758" spans="1:25" x14ac:dyDescent="0.3">
      <c r="A758" s="12" t="s">
        <v>1558</v>
      </c>
      <c r="B758" s="7">
        <v>44981</v>
      </c>
      <c r="C758" s="4" t="s">
        <v>1559</v>
      </c>
      <c r="D758" s="4" t="s">
        <v>56</v>
      </c>
      <c r="E758" s="4">
        <v>15996</v>
      </c>
      <c r="F758" s="4">
        <v>6.4</v>
      </c>
      <c r="G758" s="4">
        <v>36</v>
      </c>
      <c r="H758" s="4" t="s">
        <v>19</v>
      </c>
      <c r="I758" s="4" t="s">
        <v>73</v>
      </c>
      <c r="J758" s="4" t="s">
        <v>47</v>
      </c>
      <c r="K758" s="4">
        <v>134135</v>
      </c>
      <c r="L758" s="4" t="s">
        <v>22</v>
      </c>
      <c r="M758" s="4">
        <v>0.45</v>
      </c>
      <c r="N758" s="4">
        <v>0.53</v>
      </c>
      <c r="O758" s="4">
        <v>17019.740000000002</v>
      </c>
      <c r="P758" s="4">
        <v>0</v>
      </c>
      <c r="Q758" s="6">
        <f t="shared" si="134"/>
        <v>489.53370544107753</v>
      </c>
      <c r="R758" s="6">
        <f t="shared" si="127"/>
        <v>1627.2133958787927</v>
      </c>
      <c r="S758" s="4">
        <f t="shared" si="128"/>
        <v>30181.132075471698</v>
      </c>
      <c r="T758" s="4">
        <f t="shared" si="129"/>
        <v>11177.916666666666</v>
      </c>
      <c r="U758" s="4">
        <f t="shared" si="130"/>
        <v>5030.0625</v>
      </c>
      <c r="V758" s="4">
        <f t="shared" ca="1" si="131"/>
        <v>36</v>
      </c>
      <c r="W758" s="20">
        <f t="shared" ca="1" si="137"/>
        <v>17623.213395878793</v>
      </c>
      <c r="X758" s="4">
        <f t="shared" si="132"/>
        <v>1023.7400000000016</v>
      </c>
      <c r="Y758" s="13">
        <f t="shared" si="133"/>
        <v>6.3999749937484474E-2</v>
      </c>
    </row>
    <row r="759" spans="1:25" x14ac:dyDescent="0.3">
      <c r="A759" s="12" t="s">
        <v>1560</v>
      </c>
      <c r="B759" s="7">
        <v>44973</v>
      </c>
      <c r="C759" s="4" t="s">
        <v>1561</v>
      </c>
      <c r="D759" s="4" t="s">
        <v>76</v>
      </c>
      <c r="E759" s="4">
        <v>12695</v>
      </c>
      <c r="F759" s="4">
        <v>5.0999999999999996</v>
      </c>
      <c r="G759" s="4">
        <v>60</v>
      </c>
      <c r="H759" s="4" t="s">
        <v>19</v>
      </c>
      <c r="I759" s="4" t="s">
        <v>27</v>
      </c>
      <c r="J759" s="4" t="s">
        <v>28</v>
      </c>
      <c r="K759" s="4">
        <v>55832</v>
      </c>
      <c r="L759" s="4" t="s">
        <v>33</v>
      </c>
      <c r="M759" s="4">
        <v>0.16</v>
      </c>
      <c r="N759" s="4">
        <v>0.77</v>
      </c>
      <c r="O759" s="4">
        <v>13342.44</v>
      </c>
      <c r="P759" s="4">
        <v>0</v>
      </c>
      <c r="Q759" s="6">
        <f t="shared" si="134"/>
        <v>240.15236007857777</v>
      </c>
      <c r="R759" s="6">
        <f t="shared" si="127"/>
        <v>1714.1416047146668</v>
      </c>
      <c r="S759" s="4">
        <f t="shared" si="128"/>
        <v>16487.012987012986</v>
      </c>
      <c r="T759" s="4">
        <f t="shared" si="129"/>
        <v>4652.666666666667</v>
      </c>
      <c r="U759" s="4">
        <f t="shared" si="130"/>
        <v>744.42666666666673</v>
      </c>
      <c r="V759" s="4">
        <f t="shared" ca="1" si="131"/>
        <v>37</v>
      </c>
      <c r="W759" s="20">
        <f t="shared" ca="1" si="137"/>
        <v>8885.6373229073779</v>
      </c>
      <c r="X759" s="4">
        <f t="shared" si="132"/>
        <v>647.44000000000051</v>
      </c>
      <c r="Y759" s="13">
        <f t="shared" si="133"/>
        <v>5.0999606144151284E-2</v>
      </c>
    </row>
    <row r="760" spans="1:25" x14ac:dyDescent="0.3">
      <c r="A760" s="12" t="s">
        <v>1562</v>
      </c>
      <c r="B760" s="7">
        <v>45107</v>
      </c>
      <c r="C760" s="4" t="s">
        <v>1563</v>
      </c>
      <c r="D760" s="4" t="s">
        <v>53</v>
      </c>
      <c r="E760" s="4">
        <v>3852</v>
      </c>
      <c r="F760" s="4">
        <v>23.7</v>
      </c>
      <c r="G760" s="4">
        <v>60</v>
      </c>
      <c r="H760" s="4" t="s">
        <v>19</v>
      </c>
      <c r="I760" s="4" t="s">
        <v>73</v>
      </c>
      <c r="J760" s="4" t="s">
        <v>32</v>
      </c>
      <c r="K760" s="4">
        <v>138464</v>
      </c>
      <c r="L760" s="4" t="s">
        <v>33</v>
      </c>
      <c r="M760" s="4">
        <v>0.16</v>
      </c>
      <c r="N760" s="4">
        <v>0.87</v>
      </c>
      <c r="O760" s="4">
        <v>4764.92</v>
      </c>
      <c r="P760" s="4">
        <v>0</v>
      </c>
      <c r="Q760" s="6">
        <f t="shared" si="134"/>
        <v>110.144467275032</v>
      </c>
      <c r="R760" s="6">
        <f t="shared" si="127"/>
        <v>2756.6680365019201</v>
      </c>
      <c r="S760" s="4">
        <f t="shared" si="128"/>
        <v>4427.5862068965516</v>
      </c>
      <c r="T760" s="4">
        <f t="shared" si="129"/>
        <v>11538.666666666666</v>
      </c>
      <c r="U760" s="4">
        <f t="shared" si="130"/>
        <v>1846.1866666666665</v>
      </c>
      <c r="V760" s="4">
        <f t="shared" ca="1" si="131"/>
        <v>32</v>
      </c>
      <c r="W760" s="20">
        <f t="shared" ca="1" si="137"/>
        <v>3524.622952801024</v>
      </c>
      <c r="X760" s="4">
        <f t="shared" si="132"/>
        <v>912.92000000000007</v>
      </c>
      <c r="Y760" s="13">
        <f t="shared" si="133"/>
        <v>0.23699896157840086</v>
      </c>
    </row>
    <row r="761" spans="1:25" x14ac:dyDescent="0.3">
      <c r="A761" s="12" t="s">
        <v>1564</v>
      </c>
      <c r="B761" s="7">
        <v>44514</v>
      </c>
      <c r="C761" s="4" t="s">
        <v>1565</v>
      </c>
      <c r="D761" s="4" t="s">
        <v>50</v>
      </c>
      <c r="E761" s="4">
        <v>17014</v>
      </c>
      <c r="F761" s="4">
        <v>21.4</v>
      </c>
      <c r="G761" s="4">
        <v>36</v>
      </c>
      <c r="H761" s="4" t="s">
        <v>19</v>
      </c>
      <c r="I761" s="4" t="s">
        <v>73</v>
      </c>
      <c r="J761" s="4" t="s">
        <v>32</v>
      </c>
      <c r="K761" s="4">
        <v>116242</v>
      </c>
      <c r="L761" s="4" t="s">
        <v>33</v>
      </c>
      <c r="M761" s="4">
        <v>0.23</v>
      </c>
      <c r="N761" s="4">
        <v>0.89</v>
      </c>
      <c r="O761" s="4">
        <v>20655</v>
      </c>
      <c r="P761" s="4">
        <v>0</v>
      </c>
      <c r="Q761" s="6">
        <f t="shared" si="134"/>
        <v>644.50315739067844</v>
      </c>
      <c r="R761" s="6">
        <f t="shared" si="127"/>
        <v>6188.1136660644224</v>
      </c>
      <c r="S761" s="4">
        <f t="shared" si="128"/>
        <v>19116.853932584268</v>
      </c>
      <c r="T761" s="4">
        <f t="shared" si="129"/>
        <v>9686.8333333333339</v>
      </c>
      <c r="U761" s="4">
        <f t="shared" si="130"/>
        <v>2227.9716666666668</v>
      </c>
      <c r="V761" s="4">
        <f t="shared" ca="1" si="131"/>
        <v>52</v>
      </c>
      <c r="W761" s="20">
        <f t="shared" ca="1" si="137"/>
        <v>33514.164184315276</v>
      </c>
      <c r="X761" s="4">
        <f t="shared" si="132"/>
        <v>3641</v>
      </c>
      <c r="Y761" s="13">
        <f t="shared" si="133"/>
        <v>0.21400023510050548</v>
      </c>
    </row>
    <row r="762" spans="1:25" x14ac:dyDescent="0.3">
      <c r="A762" s="12" t="s">
        <v>1566</v>
      </c>
      <c r="B762" s="7">
        <v>44432</v>
      </c>
      <c r="C762" s="4" t="s">
        <v>1567</v>
      </c>
      <c r="D762" s="4" t="s">
        <v>46</v>
      </c>
      <c r="E762" s="4">
        <v>28042</v>
      </c>
      <c r="F762" s="4">
        <v>21.2</v>
      </c>
      <c r="G762" s="4">
        <v>60</v>
      </c>
      <c r="H762" s="4" t="s">
        <v>19</v>
      </c>
      <c r="I762" s="4" t="s">
        <v>73</v>
      </c>
      <c r="J762" s="4" t="s">
        <v>21</v>
      </c>
      <c r="K762" s="4">
        <v>43682</v>
      </c>
      <c r="L762" s="4" t="s">
        <v>33</v>
      </c>
      <c r="M762" s="4">
        <v>0.12</v>
      </c>
      <c r="N762" s="4">
        <v>0.71</v>
      </c>
      <c r="O762" s="4">
        <v>33986.9</v>
      </c>
      <c r="P762" s="4">
        <v>0</v>
      </c>
      <c r="Q762" s="6">
        <f t="shared" si="134"/>
        <v>761.78858926539885</v>
      </c>
      <c r="R762" s="6">
        <f t="shared" si="127"/>
        <v>17665.315355923929</v>
      </c>
      <c r="S762" s="4">
        <f t="shared" si="128"/>
        <v>39495.774647887323</v>
      </c>
      <c r="T762" s="4">
        <f t="shared" si="129"/>
        <v>3640.1666666666665</v>
      </c>
      <c r="U762" s="4">
        <f t="shared" si="130"/>
        <v>436.82</v>
      </c>
      <c r="V762" s="4">
        <f t="shared" ca="1" si="131"/>
        <v>54</v>
      </c>
      <c r="W762" s="20">
        <f t="shared" ca="1" si="137"/>
        <v>41136.583820331536</v>
      </c>
      <c r="X762" s="4">
        <f t="shared" si="132"/>
        <v>5944.9000000000015</v>
      </c>
      <c r="Y762" s="13">
        <f t="shared" si="133"/>
        <v>0.21199985735682197</v>
      </c>
    </row>
    <row r="763" spans="1:25" x14ac:dyDescent="0.3">
      <c r="A763" s="12" t="s">
        <v>1568</v>
      </c>
      <c r="B763" s="7">
        <v>44530</v>
      </c>
      <c r="C763" s="4" t="s">
        <v>1569</v>
      </c>
      <c r="D763" s="4" t="s">
        <v>72</v>
      </c>
      <c r="E763" s="4">
        <v>34755</v>
      </c>
      <c r="F763" s="4">
        <v>22.7</v>
      </c>
      <c r="G763" s="4">
        <v>36</v>
      </c>
      <c r="H763" s="4" t="s">
        <v>19</v>
      </c>
      <c r="I763" s="4" t="s">
        <v>57</v>
      </c>
      <c r="J763" s="4" t="s">
        <v>21</v>
      </c>
      <c r="K763" s="4">
        <v>122298</v>
      </c>
      <c r="L763" s="4" t="s">
        <v>22</v>
      </c>
      <c r="M763" s="4">
        <v>0.17</v>
      </c>
      <c r="N763" s="4">
        <v>0.85</v>
      </c>
      <c r="O763" s="4">
        <v>42644.38</v>
      </c>
      <c r="P763" s="4">
        <v>0</v>
      </c>
      <c r="Q763" s="6">
        <f t="shared" si="134"/>
        <v>1339.9280932288159</v>
      </c>
      <c r="R763" s="6">
        <f t="shared" si="127"/>
        <v>13482.411356237375</v>
      </c>
      <c r="S763" s="4">
        <f t="shared" si="128"/>
        <v>40888.23529411765</v>
      </c>
      <c r="T763" s="4">
        <f t="shared" si="129"/>
        <v>10191.5</v>
      </c>
      <c r="U763" s="4">
        <f t="shared" si="130"/>
        <v>1732.5550000000001</v>
      </c>
      <c r="V763" s="4">
        <f t="shared" ca="1" si="131"/>
        <v>51</v>
      </c>
      <c r="W763" s="20">
        <f t="shared" ca="1" si="137"/>
        <v>68336.332754669609</v>
      </c>
      <c r="X763" s="4">
        <f t="shared" si="132"/>
        <v>7889.3799999999974</v>
      </c>
      <c r="Y763" s="13">
        <f t="shared" si="133"/>
        <v>0.22699985613580773</v>
      </c>
    </row>
    <row r="764" spans="1:25" x14ac:dyDescent="0.3">
      <c r="A764" s="12" t="s">
        <v>1570</v>
      </c>
      <c r="B764" s="7">
        <v>44572</v>
      </c>
      <c r="C764" s="4" t="s">
        <v>1571</v>
      </c>
      <c r="D764" s="4" t="s">
        <v>25</v>
      </c>
      <c r="E764" s="4">
        <v>24711</v>
      </c>
      <c r="F764" s="4">
        <v>19</v>
      </c>
      <c r="G764" s="4">
        <v>36</v>
      </c>
      <c r="H764" s="4" t="s">
        <v>19</v>
      </c>
      <c r="I764" s="4" t="s">
        <v>57</v>
      </c>
      <c r="J764" s="4" t="s">
        <v>32</v>
      </c>
      <c r="K764" s="4">
        <v>53383</v>
      </c>
      <c r="L764" s="4" t="s">
        <v>29</v>
      </c>
      <c r="M764" s="4">
        <v>0.49</v>
      </c>
      <c r="N764" s="4">
        <v>0.93</v>
      </c>
      <c r="O764" s="4">
        <v>29406.09</v>
      </c>
      <c r="P764" s="4">
        <v>0</v>
      </c>
      <c r="Q764" s="6">
        <f t="shared" si="134"/>
        <v>905.80691080250017</v>
      </c>
      <c r="R764" s="6">
        <f t="shared" si="127"/>
        <v>7898.0487888900061</v>
      </c>
      <c r="S764" s="4">
        <f t="shared" si="128"/>
        <v>26570.967741935481</v>
      </c>
      <c r="T764" s="4">
        <f t="shared" si="129"/>
        <v>4448.583333333333</v>
      </c>
      <c r="U764" s="4">
        <f t="shared" si="130"/>
        <v>2179.8058333333333</v>
      </c>
      <c r="V764" s="4">
        <f t="shared" ca="1" si="131"/>
        <v>50</v>
      </c>
      <c r="W764" s="20">
        <f t="shared" ca="1" si="137"/>
        <v>45290.34554012501</v>
      </c>
      <c r="X764" s="4">
        <f t="shared" si="132"/>
        <v>4695.09</v>
      </c>
      <c r="Y764" s="13">
        <f t="shared" si="133"/>
        <v>0.19</v>
      </c>
    </row>
    <row r="765" spans="1:25" x14ac:dyDescent="0.3">
      <c r="A765" s="12" t="s">
        <v>1572</v>
      </c>
      <c r="B765" s="7">
        <v>44784</v>
      </c>
      <c r="C765" s="4" t="s">
        <v>1573</v>
      </c>
      <c r="D765" s="4" t="s">
        <v>46</v>
      </c>
      <c r="E765" s="4">
        <v>27122</v>
      </c>
      <c r="F765" s="4">
        <v>7.1</v>
      </c>
      <c r="G765" s="4">
        <v>60</v>
      </c>
      <c r="H765" s="4" t="s">
        <v>19</v>
      </c>
      <c r="I765" s="4" t="s">
        <v>73</v>
      </c>
      <c r="J765" s="4" t="s">
        <v>28</v>
      </c>
      <c r="K765" s="4">
        <v>88160</v>
      </c>
      <c r="L765" s="4" t="s">
        <v>33</v>
      </c>
      <c r="M765" s="4">
        <v>0.27</v>
      </c>
      <c r="N765" s="4">
        <v>0.62</v>
      </c>
      <c r="O765" s="4">
        <v>29047.66</v>
      </c>
      <c r="P765" s="4">
        <v>0</v>
      </c>
      <c r="Q765" s="6">
        <f t="shared" si="134"/>
        <v>538.32864927535604</v>
      </c>
      <c r="R765" s="6">
        <f t="shared" si="127"/>
        <v>5177.718956521363</v>
      </c>
      <c r="S765" s="4">
        <f t="shared" si="128"/>
        <v>43745.161290322583</v>
      </c>
      <c r="T765" s="4">
        <f t="shared" si="129"/>
        <v>7346.666666666667</v>
      </c>
      <c r="U765" s="4">
        <f t="shared" si="130"/>
        <v>1983.6000000000001</v>
      </c>
      <c r="V765" s="4">
        <f t="shared" ca="1" si="131"/>
        <v>43</v>
      </c>
      <c r="W765" s="20">
        <f t="shared" ca="1" si="137"/>
        <v>23148.13191884031</v>
      </c>
      <c r="X765" s="4">
        <f t="shared" si="132"/>
        <v>1925.6599999999999</v>
      </c>
      <c r="Y765" s="13">
        <f t="shared" si="133"/>
        <v>7.0999926259125434E-2</v>
      </c>
    </row>
    <row r="766" spans="1:25" x14ac:dyDescent="0.3">
      <c r="A766" s="12" t="s">
        <v>1574</v>
      </c>
      <c r="B766" s="7">
        <v>44709</v>
      </c>
      <c r="C766" s="4" t="s">
        <v>1575</v>
      </c>
      <c r="D766" s="4" t="s">
        <v>53</v>
      </c>
      <c r="E766" s="4">
        <v>10160</v>
      </c>
      <c r="F766" s="4">
        <v>13</v>
      </c>
      <c r="G766" s="4">
        <v>60</v>
      </c>
      <c r="H766" s="4" t="s">
        <v>26</v>
      </c>
      <c r="I766" s="4" t="s">
        <v>20</v>
      </c>
      <c r="J766" s="4" t="s">
        <v>32</v>
      </c>
      <c r="K766" s="4">
        <v>123332</v>
      </c>
      <c r="L766" s="4" t="s">
        <v>33</v>
      </c>
      <c r="M766" s="4">
        <v>0.35</v>
      </c>
      <c r="N766" s="4">
        <v>0.68</v>
      </c>
      <c r="O766" s="4">
        <v>1593.02</v>
      </c>
      <c r="P766" s="4">
        <v>0</v>
      </c>
      <c r="Q766" s="6">
        <f t="shared" si="134"/>
        <v>231.17122212931605</v>
      </c>
      <c r="R766" s="6">
        <f t="shared" si="127"/>
        <v>3710.2733277589632</v>
      </c>
      <c r="S766" s="4">
        <f t="shared" si="128"/>
        <v>14941.176470588234</v>
      </c>
      <c r="T766" s="4">
        <f t="shared" si="129"/>
        <v>10277.666666666666</v>
      </c>
      <c r="U766" s="4">
        <f t="shared" si="130"/>
        <v>3597.1833333333329</v>
      </c>
      <c r="V766" s="4">
        <f t="shared" ca="1" si="131"/>
        <v>45</v>
      </c>
      <c r="W766" s="20">
        <f t="shared" ca="1" si="137"/>
        <v>10402.704995819222</v>
      </c>
      <c r="X766" s="4">
        <f t="shared" si="132"/>
        <v>-8566.98</v>
      </c>
      <c r="Y766" s="13">
        <f t="shared" si="133"/>
        <v>-0.84320669291338579</v>
      </c>
    </row>
    <row r="767" spans="1:25" x14ac:dyDescent="0.3">
      <c r="A767" s="12" t="s">
        <v>1576</v>
      </c>
      <c r="B767" s="7">
        <v>45114</v>
      </c>
      <c r="C767" s="4" t="s">
        <v>1577</v>
      </c>
      <c r="D767" s="4" t="s">
        <v>50</v>
      </c>
      <c r="E767" s="4">
        <v>28213</v>
      </c>
      <c r="F767" s="4">
        <v>19.5</v>
      </c>
      <c r="G767" s="4">
        <v>60</v>
      </c>
      <c r="H767" s="4" t="s">
        <v>26</v>
      </c>
      <c r="I767" s="4" t="s">
        <v>57</v>
      </c>
      <c r="J767" s="4" t="s">
        <v>21</v>
      </c>
      <c r="K767" s="4">
        <v>53666</v>
      </c>
      <c r="L767" s="4" t="s">
        <v>29</v>
      </c>
      <c r="M767" s="4">
        <v>0.39</v>
      </c>
      <c r="N767" s="4">
        <v>0.92</v>
      </c>
      <c r="O767" s="4">
        <v>5075.51</v>
      </c>
      <c r="P767" s="4">
        <v>0</v>
      </c>
      <c r="Q767" s="6">
        <f t="shared" si="134"/>
        <v>739.64457283206332</v>
      </c>
      <c r="R767" s="6">
        <f t="shared" si="127"/>
        <v>16165.6743699238</v>
      </c>
      <c r="S767" s="4">
        <f t="shared" si="128"/>
        <v>30666.304347826084</v>
      </c>
      <c r="T767" s="4">
        <f t="shared" si="129"/>
        <v>4472.166666666667</v>
      </c>
      <c r="U767" s="4">
        <f t="shared" si="130"/>
        <v>1744.1450000000002</v>
      </c>
      <c r="V767" s="4">
        <f t="shared" ca="1" si="131"/>
        <v>32</v>
      </c>
      <c r="W767" s="20">
        <f t="shared" ca="1" si="137"/>
        <v>23668.626330626026</v>
      </c>
      <c r="X767" s="4">
        <f t="shared" si="132"/>
        <v>-23137.489999999998</v>
      </c>
      <c r="Y767" s="13">
        <f t="shared" si="133"/>
        <v>-0.82010030836848258</v>
      </c>
    </row>
    <row r="768" spans="1:25" x14ac:dyDescent="0.3">
      <c r="A768" s="12" t="s">
        <v>1578</v>
      </c>
      <c r="B768" s="7">
        <v>45069</v>
      </c>
      <c r="C768" s="4" t="s">
        <v>1579</v>
      </c>
      <c r="D768" s="4" t="s">
        <v>56</v>
      </c>
      <c r="E768" s="4">
        <v>8421</v>
      </c>
      <c r="F768" s="4">
        <v>10.6</v>
      </c>
      <c r="G768" s="4">
        <v>36</v>
      </c>
      <c r="H768" s="4" t="s">
        <v>19</v>
      </c>
      <c r="I768" s="4" t="s">
        <v>57</v>
      </c>
      <c r="J768" s="4" t="s">
        <v>32</v>
      </c>
      <c r="K768" s="4">
        <v>88817</v>
      </c>
      <c r="L768" s="4" t="s">
        <v>29</v>
      </c>
      <c r="M768" s="4">
        <v>0.25</v>
      </c>
      <c r="N768" s="4">
        <v>0.65</v>
      </c>
      <c r="O768" s="4">
        <v>9313.6299999999992</v>
      </c>
      <c r="P768" s="4">
        <v>0</v>
      </c>
      <c r="Q768" s="6">
        <f t="shared" si="134"/>
        <v>274.10032386075005</v>
      </c>
      <c r="R768" s="6">
        <f t="shared" si="127"/>
        <v>1446.6116589870016</v>
      </c>
      <c r="S768" s="4">
        <f t="shared" si="128"/>
        <v>12955.384615384615</v>
      </c>
      <c r="T768" s="4">
        <f t="shared" si="129"/>
        <v>7401.416666666667</v>
      </c>
      <c r="U768" s="4">
        <f t="shared" si="130"/>
        <v>1850.3541666666667</v>
      </c>
      <c r="V768" s="4">
        <f t="shared" ca="1" si="131"/>
        <v>33</v>
      </c>
      <c r="W768" s="20">
        <f t="shared" ca="1" si="137"/>
        <v>9045.3106874047517</v>
      </c>
      <c r="X768" s="4">
        <f t="shared" si="132"/>
        <v>892.6299999999992</v>
      </c>
      <c r="Y768" s="13">
        <f t="shared" si="133"/>
        <v>0.10600047500296868</v>
      </c>
    </row>
    <row r="769" spans="1:25" x14ac:dyDescent="0.3">
      <c r="A769" s="12" t="s">
        <v>1580</v>
      </c>
      <c r="B769" s="7">
        <v>44466</v>
      </c>
      <c r="C769" s="4" t="s">
        <v>1581</v>
      </c>
      <c r="D769" s="4" t="s">
        <v>25</v>
      </c>
      <c r="E769" s="4">
        <v>22400</v>
      </c>
      <c r="F769" s="4">
        <v>18.7</v>
      </c>
      <c r="G769" s="4">
        <v>36</v>
      </c>
      <c r="H769" s="4" t="s">
        <v>26</v>
      </c>
      <c r="I769" s="4" t="s">
        <v>73</v>
      </c>
      <c r="J769" s="4" t="s">
        <v>21</v>
      </c>
      <c r="K769" s="4">
        <v>121198</v>
      </c>
      <c r="L769" s="4" t="s">
        <v>33</v>
      </c>
      <c r="M769" s="4">
        <v>0.16</v>
      </c>
      <c r="N769" s="4">
        <v>0.91</v>
      </c>
      <c r="O769" s="4">
        <v>10574.92</v>
      </c>
      <c r="P769" s="4">
        <v>0</v>
      </c>
      <c r="Q769" s="6">
        <f t="shared" si="134"/>
        <v>817.70120957803385</v>
      </c>
      <c r="R769" s="6">
        <f t="shared" si="127"/>
        <v>7037.2435448092183</v>
      </c>
      <c r="S769" s="4">
        <f t="shared" si="128"/>
        <v>24615.384615384613</v>
      </c>
      <c r="T769" s="4">
        <f t="shared" si="129"/>
        <v>10099.833333333334</v>
      </c>
      <c r="U769" s="4">
        <f t="shared" si="130"/>
        <v>1615.9733333333334</v>
      </c>
      <c r="V769" s="4">
        <f t="shared" ca="1" si="131"/>
        <v>53</v>
      </c>
      <c r="W769" s="20">
        <f t="shared" ca="1" si="137"/>
        <v>43338.164107635792</v>
      </c>
      <c r="X769" s="4">
        <f t="shared" si="132"/>
        <v>-11825.08</v>
      </c>
      <c r="Y769" s="13">
        <f t="shared" si="133"/>
        <v>-0.52790535714285713</v>
      </c>
    </row>
    <row r="770" spans="1:25" x14ac:dyDescent="0.3">
      <c r="A770" s="12" t="s">
        <v>1582</v>
      </c>
      <c r="B770" s="7">
        <v>44994</v>
      </c>
      <c r="C770" s="4" t="s">
        <v>1583</v>
      </c>
      <c r="D770" s="4" t="s">
        <v>72</v>
      </c>
      <c r="E770" s="4">
        <v>34537</v>
      </c>
      <c r="F770" s="4">
        <v>5.5</v>
      </c>
      <c r="G770" s="4">
        <v>36</v>
      </c>
      <c r="H770" s="4" t="s">
        <v>26</v>
      </c>
      <c r="I770" s="4" t="s">
        <v>20</v>
      </c>
      <c r="J770" s="4" t="s">
        <v>32</v>
      </c>
      <c r="K770" s="4">
        <v>140695</v>
      </c>
      <c r="L770" s="4" t="s">
        <v>33</v>
      </c>
      <c r="M770" s="4">
        <v>0.18</v>
      </c>
      <c r="N770" s="4">
        <v>0.94</v>
      </c>
      <c r="O770" s="4">
        <v>14559.15</v>
      </c>
      <c r="P770" s="4">
        <v>0</v>
      </c>
      <c r="Q770" s="6">
        <f t="shared" si="134"/>
        <v>1042.8758606154643</v>
      </c>
      <c r="R770" s="6">
        <f t="shared" ref="R770:R833" si="138">(Q770*G770)-E770</f>
        <v>3006.5309821567134</v>
      </c>
      <c r="S770" s="4">
        <f t="shared" ref="S770:S833" si="139">E770 / N770</f>
        <v>36741.48936170213</v>
      </c>
      <c r="T770" s="4">
        <f t="shared" ref="T770:T833" si="140">K770/12</f>
        <v>11724.583333333334</v>
      </c>
      <c r="U770" s="4">
        <f t="shared" ref="U770:U833" si="141">M770*T770</f>
        <v>2110.4250000000002</v>
      </c>
      <c r="V770" s="4">
        <f t="shared" ref="V770:V833" ca="1" si="142">DATEDIF(B770, TODAY(), "m")</f>
        <v>36</v>
      </c>
      <c r="W770" s="20">
        <f t="shared" ca="1" si="137"/>
        <v>37543.530982156713</v>
      </c>
      <c r="X770" s="4">
        <f t="shared" ref="X770:X833" si="143">(O770 + P770) - E770</f>
        <v>-19977.849999999999</v>
      </c>
      <c r="Y770" s="13">
        <f t="shared" ref="Y770:Y833" si="144">(X770/E770)</f>
        <v>-0.5784477516865969</v>
      </c>
    </row>
    <row r="771" spans="1:25" x14ac:dyDescent="0.3">
      <c r="A771" s="12" t="s">
        <v>1584</v>
      </c>
      <c r="B771" s="7">
        <v>44921</v>
      </c>
      <c r="C771" s="4" t="s">
        <v>1585</v>
      </c>
      <c r="D771" s="4" t="s">
        <v>56</v>
      </c>
      <c r="E771" s="4">
        <v>18727</v>
      </c>
      <c r="F771" s="4">
        <v>11.1</v>
      </c>
      <c r="G771" s="4">
        <v>60</v>
      </c>
      <c r="H771" s="4" t="s">
        <v>26</v>
      </c>
      <c r="I771" s="4" t="s">
        <v>84</v>
      </c>
      <c r="J771" s="4" t="s">
        <v>37</v>
      </c>
      <c r="K771" s="4">
        <v>64642</v>
      </c>
      <c r="L771" s="4" t="s">
        <v>29</v>
      </c>
      <c r="M771" s="4">
        <v>0.23</v>
      </c>
      <c r="N771" s="4">
        <v>0.8</v>
      </c>
      <c r="O771" s="4">
        <v>6816.79</v>
      </c>
      <c r="P771" s="4">
        <v>0</v>
      </c>
      <c r="Q771" s="6">
        <f t="shared" ref="Q771:Q834" si="145">PMT(F771/100/12, G771, -E771)</f>
        <v>408.10491112034919</v>
      </c>
      <c r="R771" s="6">
        <f t="shared" si="138"/>
        <v>5759.2946672209509</v>
      </c>
      <c r="S771" s="4">
        <f t="shared" si="139"/>
        <v>23408.75</v>
      </c>
      <c r="T771" s="4">
        <f t="shared" si="140"/>
        <v>5386.833333333333</v>
      </c>
      <c r="U771" s="4">
        <f t="shared" si="141"/>
        <v>1238.9716666666666</v>
      </c>
      <c r="V771" s="4">
        <f t="shared" ca="1" si="142"/>
        <v>38</v>
      </c>
      <c r="W771" s="20">
        <f t="shared" ca="1" si="137"/>
        <v>15507.986622573269</v>
      </c>
      <c r="X771" s="4">
        <f t="shared" si="143"/>
        <v>-11910.21</v>
      </c>
      <c r="Y771" s="13">
        <f t="shared" si="144"/>
        <v>-0.63599134938858326</v>
      </c>
    </row>
    <row r="772" spans="1:25" x14ac:dyDescent="0.3">
      <c r="A772" s="12" t="s">
        <v>1586</v>
      </c>
      <c r="B772" s="7">
        <v>44201</v>
      </c>
      <c r="C772" s="4" t="s">
        <v>1587</v>
      </c>
      <c r="D772" s="4" t="s">
        <v>18</v>
      </c>
      <c r="E772" s="4">
        <v>5358</v>
      </c>
      <c r="F772" s="4">
        <v>16</v>
      </c>
      <c r="G772" s="4">
        <v>60</v>
      </c>
      <c r="H772" s="4" t="s">
        <v>26</v>
      </c>
      <c r="I772" s="4" t="s">
        <v>73</v>
      </c>
      <c r="J772" s="4" t="s">
        <v>21</v>
      </c>
      <c r="K772" s="4">
        <v>71830</v>
      </c>
      <c r="L772" s="4" t="s">
        <v>33</v>
      </c>
      <c r="M772" s="4">
        <v>0.35</v>
      </c>
      <c r="N772" s="4">
        <v>0.87</v>
      </c>
      <c r="O772" s="4">
        <v>466.17</v>
      </c>
      <c r="P772" s="4">
        <v>0</v>
      </c>
      <c r="Q772" s="6">
        <f t="shared" si="145"/>
        <v>130.29615002945224</v>
      </c>
      <c r="R772" s="6">
        <f t="shared" si="138"/>
        <v>2459.7690017671339</v>
      </c>
      <c r="S772" s="4">
        <f t="shared" si="139"/>
        <v>6158.6206896551721</v>
      </c>
      <c r="T772" s="4">
        <f t="shared" si="140"/>
        <v>5985.833333333333</v>
      </c>
      <c r="U772" s="4">
        <f t="shared" si="141"/>
        <v>2095.0416666666665</v>
      </c>
      <c r="V772" s="4">
        <f t="shared" ca="1" si="142"/>
        <v>62</v>
      </c>
      <c r="W772" s="20">
        <f t="shared" ca="1" si="137"/>
        <v>8078.3613018260385</v>
      </c>
      <c r="X772" s="4">
        <f t="shared" si="143"/>
        <v>-4891.83</v>
      </c>
      <c r="Y772" s="13">
        <f t="shared" si="144"/>
        <v>-0.91299552071668533</v>
      </c>
    </row>
    <row r="773" spans="1:25" x14ac:dyDescent="0.3">
      <c r="A773" s="12" t="s">
        <v>1588</v>
      </c>
      <c r="B773" s="7">
        <v>45047</v>
      </c>
      <c r="C773" s="4" t="s">
        <v>1589</v>
      </c>
      <c r="D773" s="4" t="s">
        <v>50</v>
      </c>
      <c r="E773" s="4">
        <v>29482</v>
      </c>
      <c r="F773" s="4">
        <v>17.600000000000001</v>
      </c>
      <c r="G773" s="4">
        <v>60</v>
      </c>
      <c r="H773" s="4" t="s">
        <v>19</v>
      </c>
      <c r="I773" s="4" t="s">
        <v>27</v>
      </c>
      <c r="J773" s="4" t="s">
        <v>28</v>
      </c>
      <c r="K773" s="4">
        <v>133067</v>
      </c>
      <c r="L773" s="4" t="s">
        <v>33</v>
      </c>
      <c r="M773" s="4">
        <v>0.26</v>
      </c>
      <c r="N773" s="4">
        <v>0.84</v>
      </c>
      <c r="O773" s="4">
        <v>34670.83</v>
      </c>
      <c r="P773" s="4">
        <v>0</v>
      </c>
      <c r="Q773" s="6">
        <f t="shared" si="145"/>
        <v>742.24858027477694</v>
      </c>
      <c r="R773" s="6">
        <f t="shared" si="138"/>
        <v>15052.91481648662</v>
      </c>
      <c r="S773" s="4">
        <f t="shared" si="139"/>
        <v>35097.619047619046</v>
      </c>
      <c r="T773" s="4">
        <f t="shared" si="140"/>
        <v>11088.916666666666</v>
      </c>
      <c r="U773" s="4">
        <f t="shared" si="141"/>
        <v>2883.1183333333333</v>
      </c>
      <c r="V773" s="4">
        <f t="shared" ca="1" si="142"/>
        <v>34</v>
      </c>
      <c r="W773" s="20">
        <f t="shared" ca="1" si="137"/>
        <v>25236.451729342414</v>
      </c>
      <c r="X773" s="4">
        <f t="shared" si="143"/>
        <v>5188.8300000000017</v>
      </c>
      <c r="Y773" s="13">
        <f t="shared" si="144"/>
        <v>0.17599993216199722</v>
      </c>
    </row>
    <row r="774" spans="1:25" x14ac:dyDescent="0.3">
      <c r="A774" s="12" t="s">
        <v>1590</v>
      </c>
      <c r="B774" s="7">
        <v>44274</v>
      </c>
      <c r="C774" s="4" t="s">
        <v>1591</v>
      </c>
      <c r="D774" s="4" t="s">
        <v>46</v>
      </c>
      <c r="E774" s="4">
        <v>33117</v>
      </c>
      <c r="F774" s="4">
        <v>16.5</v>
      </c>
      <c r="G774" s="4">
        <v>60</v>
      </c>
      <c r="H774" s="4" t="s">
        <v>81</v>
      </c>
      <c r="I774" s="4" t="s">
        <v>27</v>
      </c>
      <c r="J774" s="4" t="s">
        <v>37</v>
      </c>
      <c r="K774" s="4">
        <v>40234</v>
      </c>
      <c r="L774" s="4" t="s">
        <v>22</v>
      </c>
      <c r="M774" s="4">
        <v>0.1</v>
      </c>
      <c r="N774" s="4">
        <v>0.81</v>
      </c>
      <c r="O774" s="4">
        <v>7467.2</v>
      </c>
      <c r="P774" s="4">
        <v>5237.4799999999996</v>
      </c>
      <c r="Q774" s="6">
        <f t="shared" si="145"/>
        <v>814.16558514690598</v>
      </c>
      <c r="R774" s="6">
        <f t="shared" si="138"/>
        <v>15732.935108814359</v>
      </c>
      <c r="S774" s="4">
        <f t="shared" si="139"/>
        <v>40885.185185185182</v>
      </c>
      <c r="T774" s="4">
        <f t="shared" si="140"/>
        <v>3352.8333333333335</v>
      </c>
      <c r="U774" s="4">
        <f t="shared" si="141"/>
        <v>335.28333333333336</v>
      </c>
      <c r="V774" s="4">
        <f t="shared" ca="1" si="142"/>
        <v>60</v>
      </c>
      <c r="W774" s="20">
        <v>0</v>
      </c>
      <c r="X774" s="4">
        <f t="shared" si="143"/>
        <v>-20412.32</v>
      </c>
      <c r="Y774" s="13">
        <f t="shared" si="144"/>
        <v>-0.61636984026330888</v>
      </c>
    </row>
    <row r="775" spans="1:25" x14ac:dyDescent="0.3">
      <c r="A775" s="12" t="s">
        <v>1592</v>
      </c>
      <c r="B775" s="7">
        <v>44770</v>
      </c>
      <c r="C775" s="4" t="s">
        <v>1593</v>
      </c>
      <c r="D775" s="4" t="s">
        <v>25</v>
      </c>
      <c r="E775" s="4">
        <v>24164</v>
      </c>
      <c r="F775" s="4">
        <v>19</v>
      </c>
      <c r="G775" s="4">
        <v>36</v>
      </c>
      <c r="H775" s="4" t="s">
        <v>19</v>
      </c>
      <c r="I775" s="4" t="s">
        <v>57</v>
      </c>
      <c r="J775" s="4" t="s">
        <v>32</v>
      </c>
      <c r="K775" s="4">
        <v>87616</v>
      </c>
      <c r="L775" s="4" t="s">
        <v>29</v>
      </c>
      <c r="M775" s="4">
        <v>0.31</v>
      </c>
      <c r="N775" s="4">
        <v>0.64</v>
      </c>
      <c r="O775" s="4">
        <v>28755.16</v>
      </c>
      <c r="P775" s="4">
        <v>0</v>
      </c>
      <c r="Q775" s="6">
        <f t="shared" si="145"/>
        <v>885.75606784960598</v>
      </c>
      <c r="R775" s="6">
        <f t="shared" si="138"/>
        <v>7723.218442585814</v>
      </c>
      <c r="S775" s="4">
        <f t="shared" si="139"/>
        <v>37756.25</v>
      </c>
      <c r="T775" s="4">
        <f t="shared" si="140"/>
        <v>7301.333333333333</v>
      </c>
      <c r="U775" s="4">
        <f t="shared" si="141"/>
        <v>2263.4133333333334</v>
      </c>
      <c r="V775" s="4">
        <f t="shared" ca="1" si="142"/>
        <v>43</v>
      </c>
      <c r="W775" s="20">
        <f t="shared" ref="W775:W802" ca="1" si="146">V775*Q775</f>
        <v>38087.510917533058</v>
      </c>
      <c r="X775" s="4">
        <f t="shared" si="143"/>
        <v>4591.16</v>
      </c>
      <c r="Y775" s="13">
        <f t="shared" si="144"/>
        <v>0.19</v>
      </c>
    </row>
    <row r="776" spans="1:25" x14ac:dyDescent="0.3">
      <c r="A776" s="12" t="s">
        <v>1594</v>
      </c>
      <c r="B776" s="7">
        <v>44328</v>
      </c>
      <c r="C776" s="4" t="s">
        <v>1595</v>
      </c>
      <c r="D776" s="4" t="s">
        <v>25</v>
      </c>
      <c r="E776" s="4">
        <v>32910</v>
      </c>
      <c r="F776" s="4">
        <v>5.0999999999999996</v>
      </c>
      <c r="G776" s="4">
        <v>36</v>
      </c>
      <c r="H776" s="4" t="s">
        <v>19</v>
      </c>
      <c r="I776" s="4" t="s">
        <v>73</v>
      </c>
      <c r="J776" s="4" t="s">
        <v>21</v>
      </c>
      <c r="K776" s="4">
        <v>39221</v>
      </c>
      <c r="L776" s="4" t="s">
        <v>22</v>
      </c>
      <c r="M776" s="4">
        <v>0.47</v>
      </c>
      <c r="N776" s="4">
        <v>0.53</v>
      </c>
      <c r="O776" s="4">
        <v>34588.410000000003</v>
      </c>
      <c r="P776" s="4">
        <v>0</v>
      </c>
      <c r="Q776" s="6">
        <f t="shared" si="145"/>
        <v>987.82048856945482</v>
      </c>
      <c r="R776" s="6">
        <f t="shared" si="138"/>
        <v>2651.5375885003741</v>
      </c>
      <c r="S776" s="4">
        <f t="shared" si="139"/>
        <v>62094.339622641506</v>
      </c>
      <c r="T776" s="4">
        <f t="shared" si="140"/>
        <v>3268.4166666666665</v>
      </c>
      <c r="U776" s="4">
        <f t="shared" si="141"/>
        <v>1536.1558333333332</v>
      </c>
      <c r="V776" s="4">
        <f t="shared" ca="1" si="142"/>
        <v>58</v>
      </c>
      <c r="W776" s="20">
        <f t="shared" ca="1" si="146"/>
        <v>57293.588337028377</v>
      </c>
      <c r="X776" s="4">
        <f t="shared" si="143"/>
        <v>1678.4100000000035</v>
      </c>
      <c r="Y776" s="13">
        <f t="shared" si="144"/>
        <v>5.1000000000000108E-2</v>
      </c>
    </row>
    <row r="777" spans="1:25" x14ac:dyDescent="0.3">
      <c r="A777" s="12" t="s">
        <v>1596</v>
      </c>
      <c r="B777" s="7">
        <v>44797</v>
      </c>
      <c r="C777" s="4" t="s">
        <v>1597</v>
      </c>
      <c r="D777" s="4" t="s">
        <v>53</v>
      </c>
      <c r="E777" s="4">
        <v>33496</v>
      </c>
      <c r="F777" s="4">
        <v>7</v>
      </c>
      <c r="G777" s="4">
        <v>36</v>
      </c>
      <c r="H777" s="4" t="s">
        <v>26</v>
      </c>
      <c r="I777" s="4" t="s">
        <v>36</v>
      </c>
      <c r="J777" s="4" t="s">
        <v>37</v>
      </c>
      <c r="K777" s="4">
        <v>41410</v>
      </c>
      <c r="L777" s="4" t="s">
        <v>22</v>
      </c>
      <c r="M777" s="4">
        <v>0.42</v>
      </c>
      <c r="N777" s="4">
        <v>0.65</v>
      </c>
      <c r="O777" s="4">
        <v>10105.27</v>
      </c>
      <c r="P777" s="4">
        <v>0</v>
      </c>
      <c r="Q777" s="6">
        <f t="shared" si="145"/>
        <v>1034.2592366024985</v>
      </c>
      <c r="R777" s="6">
        <f t="shared" si="138"/>
        <v>3737.3325176899452</v>
      </c>
      <c r="S777" s="4">
        <f t="shared" si="139"/>
        <v>51532.307692307688</v>
      </c>
      <c r="T777" s="4">
        <f t="shared" si="140"/>
        <v>3450.8333333333335</v>
      </c>
      <c r="U777" s="4">
        <f t="shared" si="141"/>
        <v>1449.35</v>
      </c>
      <c r="V777" s="4">
        <f t="shared" ca="1" si="142"/>
        <v>42</v>
      </c>
      <c r="W777" s="20">
        <f t="shared" ca="1" si="146"/>
        <v>43438.887937304935</v>
      </c>
      <c r="X777" s="4">
        <f t="shared" si="143"/>
        <v>-23390.73</v>
      </c>
      <c r="Y777" s="13">
        <f t="shared" si="144"/>
        <v>-0.69831412705994744</v>
      </c>
    </row>
    <row r="778" spans="1:25" x14ac:dyDescent="0.3">
      <c r="A778" s="12" t="s">
        <v>1598</v>
      </c>
      <c r="B778" s="7">
        <v>45262</v>
      </c>
      <c r="C778" s="4" t="s">
        <v>1599</v>
      </c>
      <c r="D778" s="4" t="s">
        <v>72</v>
      </c>
      <c r="E778" s="4">
        <v>30371</v>
      </c>
      <c r="F778" s="4">
        <v>22.4</v>
      </c>
      <c r="G778" s="4">
        <v>36</v>
      </c>
      <c r="H778" s="4" t="s">
        <v>19</v>
      </c>
      <c r="I778" s="4" t="s">
        <v>27</v>
      </c>
      <c r="J778" s="4" t="s">
        <v>28</v>
      </c>
      <c r="K778" s="4">
        <v>110055</v>
      </c>
      <c r="L778" s="4" t="s">
        <v>29</v>
      </c>
      <c r="M778" s="4">
        <v>0.43</v>
      </c>
      <c r="N778" s="4">
        <v>0.8</v>
      </c>
      <c r="O778" s="4">
        <v>37174.1</v>
      </c>
      <c r="P778" s="4">
        <v>0</v>
      </c>
      <c r="Q778" s="6">
        <f t="shared" si="145"/>
        <v>1166.1764168870864</v>
      </c>
      <c r="R778" s="6">
        <f t="shared" si="138"/>
        <v>11611.351007935111</v>
      </c>
      <c r="S778" s="4">
        <f t="shared" si="139"/>
        <v>37963.75</v>
      </c>
      <c r="T778" s="4">
        <f t="shared" si="140"/>
        <v>9171.25</v>
      </c>
      <c r="U778" s="4">
        <f t="shared" si="141"/>
        <v>3943.6374999999998</v>
      </c>
      <c r="V778" s="4">
        <f t="shared" ca="1" si="142"/>
        <v>27</v>
      </c>
      <c r="W778" s="20">
        <f t="shared" ca="1" si="146"/>
        <v>31486.763255951333</v>
      </c>
      <c r="X778" s="4">
        <f t="shared" si="143"/>
        <v>6803.0999999999985</v>
      </c>
      <c r="Y778" s="13">
        <f t="shared" si="144"/>
        <v>0.22399986829541335</v>
      </c>
    </row>
    <row r="779" spans="1:25" x14ac:dyDescent="0.3">
      <c r="A779" s="12" t="s">
        <v>1600</v>
      </c>
      <c r="B779" s="7">
        <v>44285</v>
      </c>
      <c r="C779" s="4" t="s">
        <v>1601</v>
      </c>
      <c r="D779" s="4" t="s">
        <v>40</v>
      </c>
      <c r="E779" s="4">
        <v>39467</v>
      </c>
      <c r="F779" s="4">
        <v>18.600000000000001</v>
      </c>
      <c r="G779" s="4">
        <v>60</v>
      </c>
      <c r="H779" s="4" t="s">
        <v>19</v>
      </c>
      <c r="I779" s="4" t="s">
        <v>41</v>
      </c>
      <c r="J779" s="4" t="s">
        <v>21</v>
      </c>
      <c r="K779" s="4">
        <v>91413</v>
      </c>
      <c r="L779" s="4" t="s">
        <v>22</v>
      </c>
      <c r="M779" s="4">
        <v>0.42</v>
      </c>
      <c r="N779" s="4">
        <v>0.55000000000000004</v>
      </c>
      <c r="O779" s="4">
        <v>46807.86</v>
      </c>
      <c r="P779" s="4">
        <v>0</v>
      </c>
      <c r="Q779" s="6">
        <f t="shared" si="145"/>
        <v>1015.1288522528238</v>
      </c>
      <c r="R779" s="6">
        <f t="shared" si="138"/>
        <v>21440.73113516943</v>
      </c>
      <c r="S779" s="4">
        <f t="shared" si="139"/>
        <v>71758.181818181809</v>
      </c>
      <c r="T779" s="4">
        <f t="shared" si="140"/>
        <v>7617.75</v>
      </c>
      <c r="U779" s="4">
        <f t="shared" si="141"/>
        <v>3199.4549999999999</v>
      </c>
      <c r="V779" s="4">
        <f t="shared" ca="1" si="142"/>
        <v>59</v>
      </c>
      <c r="W779" s="20">
        <f t="shared" ca="1" si="146"/>
        <v>59892.602282916603</v>
      </c>
      <c r="X779" s="4">
        <f t="shared" si="143"/>
        <v>7340.8600000000006</v>
      </c>
      <c r="Y779" s="13">
        <f t="shared" si="144"/>
        <v>0.18599994932475233</v>
      </c>
    </row>
    <row r="780" spans="1:25" x14ac:dyDescent="0.3">
      <c r="A780" s="12" t="s">
        <v>1602</v>
      </c>
      <c r="B780" s="7">
        <v>44598</v>
      </c>
      <c r="C780" s="4" t="s">
        <v>1603</v>
      </c>
      <c r="D780" s="4" t="s">
        <v>18</v>
      </c>
      <c r="E780" s="4">
        <v>18625</v>
      </c>
      <c r="F780" s="4">
        <v>7.3</v>
      </c>
      <c r="G780" s="4">
        <v>60</v>
      </c>
      <c r="H780" s="4" t="s">
        <v>26</v>
      </c>
      <c r="I780" s="4" t="s">
        <v>27</v>
      </c>
      <c r="J780" s="4" t="s">
        <v>37</v>
      </c>
      <c r="K780" s="4">
        <v>31051</v>
      </c>
      <c r="L780" s="4" t="s">
        <v>33</v>
      </c>
      <c r="M780" s="4">
        <v>0.23</v>
      </c>
      <c r="N780" s="4">
        <v>0.51</v>
      </c>
      <c r="O780" s="4">
        <v>2501.9899999999998</v>
      </c>
      <c r="P780" s="4">
        <v>0</v>
      </c>
      <c r="Q780" s="6">
        <f t="shared" si="145"/>
        <v>371.43921057761008</v>
      </c>
      <c r="R780" s="6">
        <f t="shared" si="138"/>
        <v>3661.3526346566068</v>
      </c>
      <c r="S780" s="4">
        <f t="shared" si="139"/>
        <v>36519.607843137252</v>
      </c>
      <c r="T780" s="4">
        <f t="shared" si="140"/>
        <v>2587.5833333333335</v>
      </c>
      <c r="U780" s="4">
        <f t="shared" si="141"/>
        <v>595.14416666666671</v>
      </c>
      <c r="V780" s="4">
        <f t="shared" ca="1" si="142"/>
        <v>49</v>
      </c>
      <c r="W780" s="20">
        <f t="shared" ca="1" si="146"/>
        <v>18200.521318302894</v>
      </c>
      <c r="X780" s="4">
        <f t="shared" si="143"/>
        <v>-16123.01</v>
      </c>
      <c r="Y780" s="13">
        <f t="shared" si="144"/>
        <v>-0.86566496644295299</v>
      </c>
    </row>
    <row r="781" spans="1:25" x14ac:dyDescent="0.3">
      <c r="A781" s="12" t="s">
        <v>1604</v>
      </c>
      <c r="B781" s="7">
        <v>44492</v>
      </c>
      <c r="C781" s="4" t="s">
        <v>1605</v>
      </c>
      <c r="D781" s="4" t="s">
        <v>56</v>
      </c>
      <c r="E781" s="4">
        <v>34893</v>
      </c>
      <c r="F781" s="4">
        <v>21.8</v>
      </c>
      <c r="G781" s="4">
        <v>60</v>
      </c>
      <c r="H781" s="4" t="s">
        <v>26</v>
      </c>
      <c r="I781" s="4" t="s">
        <v>20</v>
      </c>
      <c r="J781" s="4" t="s">
        <v>37</v>
      </c>
      <c r="K781" s="4">
        <v>140529</v>
      </c>
      <c r="L781" s="4" t="s">
        <v>22</v>
      </c>
      <c r="M781" s="4">
        <v>0.41</v>
      </c>
      <c r="N781" s="4">
        <v>0.56000000000000005</v>
      </c>
      <c r="O781" s="4">
        <v>8782.64</v>
      </c>
      <c r="P781" s="4">
        <v>0</v>
      </c>
      <c r="Q781" s="6">
        <f t="shared" si="145"/>
        <v>959.7430888316826</v>
      </c>
      <c r="R781" s="6">
        <f t="shared" si="138"/>
        <v>22691.585329900954</v>
      </c>
      <c r="S781" s="4">
        <f t="shared" si="139"/>
        <v>62308.928571428565</v>
      </c>
      <c r="T781" s="4">
        <f t="shared" si="140"/>
        <v>11710.75</v>
      </c>
      <c r="U781" s="4">
        <f t="shared" si="141"/>
        <v>4801.4074999999993</v>
      </c>
      <c r="V781" s="4">
        <f t="shared" ca="1" si="142"/>
        <v>52</v>
      </c>
      <c r="W781" s="20">
        <f t="shared" ca="1" si="146"/>
        <v>49906.640619247497</v>
      </c>
      <c r="X781" s="4">
        <f t="shared" si="143"/>
        <v>-26110.36</v>
      </c>
      <c r="Y781" s="13">
        <f t="shared" si="144"/>
        <v>-0.7482979394147824</v>
      </c>
    </row>
    <row r="782" spans="1:25" x14ac:dyDescent="0.3">
      <c r="A782" s="12" t="s">
        <v>1606</v>
      </c>
      <c r="B782" s="7">
        <v>44812</v>
      </c>
      <c r="C782" s="4" t="s">
        <v>1607</v>
      </c>
      <c r="D782" s="4" t="s">
        <v>76</v>
      </c>
      <c r="E782" s="4">
        <v>11793</v>
      </c>
      <c r="F782" s="4">
        <v>9.8000000000000007</v>
      </c>
      <c r="G782" s="4">
        <v>36</v>
      </c>
      <c r="H782" s="4" t="s">
        <v>26</v>
      </c>
      <c r="I782" s="4" t="s">
        <v>20</v>
      </c>
      <c r="J782" s="4" t="s">
        <v>37</v>
      </c>
      <c r="K782" s="4">
        <v>105301</v>
      </c>
      <c r="L782" s="4" t="s">
        <v>29</v>
      </c>
      <c r="M782" s="4">
        <v>0.16</v>
      </c>
      <c r="N782" s="4">
        <v>0.82</v>
      </c>
      <c r="O782" s="4">
        <v>3779.2</v>
      </c>
      <c r="P782" s="4">
        <v>0</v>
      </c>
      <c r="Q782" s="6">
        <f t="shared" si="145"/>
        <v>379.42055080533476</v>
      </c>
      <c r="R782" s="6">
        <f t="shared" si="138"/>
        <v>1866.1398289920508</v>
      </c>
      <c r="S782" s="4">
        <f t="shared" si="139"/>
        <v>14381.707317073171</v>
      </c>
      <c r="T782" s="4">
        <f t="shared" si="140"/>
        <v>8775.0833333333339</v>
      </c>
      <c r="U782" s="4">
        <f t="shared" si="141"/>
        <v>1404.0133333333335</v>
      </c>
      <c r="V782" s="4">
        <f t="shared" ca="1" si="142"/>
        <v>42</v>
      </c>
      <c r="W782" s="20">
        <f t="shared" ca="1" si="146"/>
        <v>15935.66313382406</v>
      </c>
      <c r="X782" s="4">
        <f t="shared" si="143"/>
        <v>-8013.8</v>
      </c>
      <c r="Y782" s="13">
        <f t="shared" si="144"/>
        <v>-0.67953870940388372</v>
      </c>
    </row>
    <row r="783" spans="1:25" x14ac:dyDescent="0.3">
      <c r="A783" s="12" t="s">
        <v>1608</v>
      </c>
      <c r="B783" s="7">
        <v>44996</v>
      </c>
      <c r="C783" s="4" t="s">
        <v>1609</v>
      </c>
      <c r="D783" s="4" t="s">
        <v>76</v>
      </c>
      <c r="E783" s="4">
        <v>32007</v>
      </c>
      <c r="F783" s="4">
        <v>14.6</v>
      </c>
      <c r="G783" s="4">
        <v>36</v>
      </c>
      <c r="H783" s="4" t="s">
        <v>26</v>
      </c>
      <c r="I783" s="4" t="s">
        <v>73</v>
      </c>
      <c r="J783" s="4" t="s">
        <v>47</v>
      </c>
      <c r="K783" s="4">
        <v>106918</v>
      </c>
      <c r="L783" s="4" t="s">
        <v>33</v>
      </c>
      <c r="M783" s="4">
        <v>0.36</v>
      </c>
      <c r="N783" s="4">
        <v>0.94</v>
      </c>
      <c r="O783" s="4">
        <v>6315.61</v>
      </c>
      <c r="P783" s="4">
        <v>0</v>
      </c>
      <c r="Q783" s="6">
        <f t="shared" si="145"/>
        <v>1103.2738466393719</v>
      </c>
      <c r="R783" s="6">
        <f t="shared" si="138"/>
        <v>7710.8584790173845</v>
      </c>
      <c r="S783" s="4">
        <f t="shared" si="139"/>
        <v>34050</v>
      </c>
      <c r="T783" s="4">
        <f t="shared" si="140"/>
        <v>8909.8333333333339</v>
      </c>
      <c r="U783" s="4">
        <f t="shared" si="141"/>
        <v>3207.54</v>
      </c>
      <c r="V783" s="4">
        <f t="shared" ca="1" si="142"/>
        <v>36</v>
      </c>
      <c r="W783" s="20">
        <f t="shared" ca="1" si="146"/>
        <v>39717.858479017385</v>
      </c>
      <c r="X783" s="4">
        <f t="shared" si="143"/>
        <v>-25691.39</v>
      </c>
      <c r="Y783" s="13">
        <f t="shared" si="144"/>
        <v>-0.80268035117318082</v>
      </c>
    </row>
    <row r="784" spans="1:25" x14ac:dyDescent="0.3">
      <c r="A784" s="12" t="s">
        <v>1610</v>
      </c>
      <c r="B784" s="7">
        <v>44618</v>
      </c>
      <c r="C784" s="4" t="s">
        <v>1611</v>
      </c>
      <c r="D784" s="4" t="s">
        <v>25</v>
      </c>
      <c r="E784" s="4">
        <v>26766</v>
      </c>
      <c r="F784" s="4">
        <v>7.9</v>
      </c>
      <c r="G784" s="4">
        <v>60</v>
      </c>
      <c r="H784" s="4" t="s">
        <v>19</v>
      </c>
      <c r="I784" s="4" t="s">
        <v>57</v>
      </c>
      <c r="J784" s="4" t="s">
        <v>32</v>
      </c>
      <c r="K784" s="4">
        <v>108116</v>
      </c>
      <c r="L784" s="4" t="s">
        <v>33</v>
      </c>
      <c r="M784" s="4">
        <v>0.36</v>
      </c>
      <c r="N784" s="4">
        <v>0.94</v>
      </c>
      <c r="O784" s="4">
        <v>28880.51</v>
      </c>
      <c r="P784" s="4">
        <v>0</v>
      </c>
      <c r="Q784" s="6">
        <f t="shared" si="145"/>
        <v>541.43789664520159</v>
      </c>
      <c r="R784" s="6">
        <f t="shared" si="138"/>
        <v>5720.2737987120963</v>
      </c>
      <c r="S784" s="4">
        <f t="shared" si="139"/>
        <v>28474.468085106386</v>
      </c>
      <c r="T784" s="4">
        <f t="shared" si="140"/>
        <v>9009.6666666666661</v>
      </c>
      <c r="U784" s="4">
        <f t="shared" si="141"/>
        <v>3243.4799999999996</v>
      </c>
      <c r="V784" s="4">
        <f t="shared" ca="1" si="142"/>
        <v>48</v>
      </c>
      <c r="W784" s="20">
        <f t="shared" ca="1" si="146"/>
        <v>25989.019038969676</v>
      </c>
      <c r="X784" s="4">
        <f t="shared" si="143"/>
        <v>2114.5099999999984</v>
      </c>
      <c r="Y784" s="13">
        <f t="shared" si="144"/>
        <v>7.8999850556676326E-2</v>
      </c>
    </row>
    <row r="785" spans="1:25" x14ac:dyDescent="0.3">
      <c r="A785" s="12" t="s">
        <v>1612</v>
      </c>
      <c r="B785" s="7">
        <v>45243</v>
      </c>
      <c r="C785" s="4" t="s">
        <v>1613</v>
      </c>
      <c r="D785" s="4" t="s">
        <v>53</v>
      </c>
      <c r="E785" s="4">
        <v>13323</v>
      </c>
      <c r="F785" s="4">
        <v>19.2</v>
      </c>
      <c r="G785" s="4">
        <v>60</v>
      </c>
      <c r="H785" s="4" t="s">
        <v>19</v>
      </c>
      <c r="I785" s="4" t="s">
        <v>57</v>
      </c>
      <c r="J785" s="4" t="s">
        <v>21</v>
      </c>
      <c r="K785" s="4">
        <v>86563</v>
      </c>
      <c r="L785" s="4" t="s">
        <v>33</v>
      </c>
      <c r="M785" s="4">
        <v>0.11</v>
      </c>
      <c r="N785" s="4">
        <v>0.72</v>
      </c>
      <c r="O785" s="4">
        <v>15881.02</v>
      </c>
      <c r="P785" s="4">
        <v>0</v>
      </c>
      <c r="Q785" s="6">
        <f t="shared" si="145"/>
        <v>347.07378264660679</v>
      </c>
      <c r="R785" s="6">
        <f t="shared" si="138"/>
        <v>7501.4269587964081</v>
      </c>
      <c r="S785" s="4">
        <f t="shared" si="139"/>
        <v>18504.166666666668</v>
      </c>
      <c r="T785" s="4">
        <f t="shared" si="140"/>
        <v>7213.583333333333</v>
      </c>
      <c r="U785" s="4">
        <f t="shared" si="141"/>
        <v>793.49416666666662</v>
      </c>
      <c r="V785" s="4">
        <f t="shared" ca="1" si="142"/>
        <v>28</v>
      </c>
      <c r="W785" s="20">
        <f t="shared" ca="1" si="146"/>
        <v>9718.065914104991</v>
      </c>
      <c r="X785" s="4">
        <f t="shared" si="143"/>
        <v>2558.0200000000004</v>
      </c>
      <c r="Y785" s="13">
        <f t="shared" si="144"/>
        <v>0.19200030023268036</v>
      </c>
    </row>
    <row r="786" spans="1:25" x14ac:dyDescent="0.3">
      <c r="A786" s="12" t="s">
        <v>1614</v>
      </c>
      <c r="B786" s="7">
        <v>44771</v>
      </c>
      <c r="C786" s="4" t="s">
        <v>1615</v>
      </c>
      <c r="D786" s="4" t="s">
        <v>65</v>
      </c>
      <c r="E786" s="4">
        <v>8843</v>
      </c>
      <c r="F786" s="4">
        <v>18.3</v>
      </c>
      <c r="G786" s="4">
        <v>36</v>
      </c>
      <c r="H786" s="4" t="s">
        <v>26</v>
      </c>
      <c r="I786" s="4" t="s">
        <v>84</v>
      </c>
      <c r="J786" s="4" t="s">
        <v>21</v>
      </c>
      <c r="K786" s="4">
        <v>127859</v>
      </c>
      <c r="L786" s="4" t="s">
        <v>33</v>
      </c>
      <c r="M786" s="4">
        <v>0.42</v>
      </c>
      <c r="N786" s="4">
        <v>0.89</v>
      </c>
      <c r="O786" s="4">
        <v>3549.8</v>
      </c>
      <c r="P786" s="4">
        <v>0</v>
      </c>
      <c r="Q786" s="6">
        <f t="shared" si="145"/>
        <v>321.02803247138212</v>
      </c>
      <c r="R786" s="6">
        <f t="shared" si="138"/>
        <v>2714.0091689697565</v>
      </c>
      <c r="S786" s="4">
        <f t="shared" si="139"/>
        <v>9935.9550561797751</v>
      </c>
      <c r="T786" s="4">
        <f t="shared" si="140"/>
        <v>10654.916666666666</v>
      </c>
      <c r="U786" s="4">
        <f t="shared" si="141"/>
        <v>4475.0649999999996</v>
      </c>
      <c r="V786" s="4">
        <f t="shared" ca="1" si="142"/>
        <v>43</v>
      </c>
      <c r="W786" s="20">
        <f t="shared" ca="1" si="146"/>
        <v>13804.205396269432</v>
      </c>
      <c r="X786" s="4">
        <f t="shared" si="143"/>
        <v>-5293.2</v>
      </c>
      <c r="Y786" s="13">
        <f t="shared" si="144"/>
        <v>-0.59857514418183877</v>
      </c>
    </row>
    <row r="787" spans="1:25" x14ac:dyDescent="0.3">
      <c r="A787" s="12" t="s">
        <v>1616</v>
      </c>
      <c r="B787" s="7">
        <v>44339</v>
      </c>
      <c r="C787" s="4" t="s">
        <v>1617</v>
      </c>
      <c r="D787" s="4" t="s">
        <v>25</v>
      </c>
      <c r="E787" s="4">
        <v>15210</v>
      </c>
      <c r="F787" s="4">
        <v>9.1999999999999993</v>
      </c>
      <c r="G787" s="4">
        <v>60</v>
      </c>
      <c r="H787" s="4" t="s">
        <v>19</v>
      </c>
      <c r="I787" s="4" t="s">
        <v>57</v>
      </c>
      <c r="J787" s="4" t="s">
        <v>21</v>
      </c>
      <c r="K787" s="4">
        <v>74757</v>
      </c>
      <c r="L787" s="4" t="s">
        <v>22</v>
      </c>
      <c r="M787" s="4">
        <v>0.46</v>
      </c>
      <c r="N787" s="4">
        <v>0.83</v>
      </c>
      <c r="O787" s="4">
        <v>16609.32</v>
      </c>
      <c r="P787" s="4">
        <v>0</v>
      </c>
      <c r="Q787" s="6">
        <f t="shared" si="145"/>
        <v>317.21300776210143</v>
      </c>
      <c r="R787" s="6">
        <f t="shared" si="138"/>
        <v>3822.7804657260858</v>
      </c>
      <c r="S787" s="4">
        <f t="shared" si="139"/>
        <v>18325.30120481928</v>
      </c>
      <c r="T787" s="4">
        <f t="shared" si="140"/>
        <v>6229.75</v>
      </c>
      <c r="U787" s="4">
        <f t="shared" si="141"/>
        <v>2865.6849999999999</v>
      </c>
      <c r="V787" s="4">
        <f t="shared" ca="1" si="142"/>
        <v>57</v>
      </c>
      <c r="W787" s="20">
        <f t="shared" ca="1" si="146"/>
        <v>18081.141442439781</v>
      </c>
      <c r="X787" s="4">
        <f t="shared" si="143"/>
        <v>1399.3199999999997</v>
      </c>
      <c r="Y787" s="13">
        <f t="shared" si="144"/>
        <v>9.1999999999999985E-2</v>
      </c>
    </row>
    <row r="788" spans="1:25" x14ac:dyDescent="0.3">
      <c r="A788" s="12" t="s">
        <v>1618</v>
      </c>
      <c r="B788" s="7">
        <v>45189</v>
      </c>
      <c r="C788" s="4" t="s">
        <v>1619</v>
      </c>
      <c r="D788" s="4" t="s">
        <v>76</v>
      </c>
      <c r="E788" s="4">
        <v>17456</v>
      </c>
      <c r="F788" s="4">
        <v>22.3</v>
      </c>
      <c r="G788" s="4">
        <v>36</v>
      </c>
      <c r="H788" s="4" t="s">
        <v>26</v>
      </c>
      <c r="I788" s="4" t="s">
        <v>57</v>
      </c>
      <c r="J788" s="4" t="s">
        <v>37</v>
      </c>
      <c r="K788" s="4">
        <v>107475</v>
      </c>
      <c r="L788" s="4" t="s">
        <v>22</v>
      </c>
      <c r="M788" s="4">
        <v>0.21</v>
      </c>
      <c r="N788" s="4">
        <v>0.73</v>
      </c>
      <c r="O788" s="4">
        <v>7474.7</v>
      </c>
      <c r="P788" s="4">
        <v>0</v>
      </c>
      <c r="Q788" s="6">
        <f t="shared" si="145"/>
        <v>669.36475469796267</v>
      </c>
      <c r="R788" s="6">
        <f t="shared" si="138"/>
        <v>6641.1311691266565</v>
      </c>
      <c r="S788" s="4">
        <f t="shared" si="139"/>
        <v>23912.328767123287</v>
      </c>
      <c r="T788" s="4">
        <f t="shared" si="140"/>
        <v>8956.25</v>
      </c>
      <c r="U788" s="4">
        <f t="shared" si="141"/>
        <v>1880.8125</v>
      </c>
      <c r="V788" s="4">
        <f t="shared" ca="1" si="142"/>
        <v>29</v>
      </c>
      <c r="W788" s="20">
        <f t="shared" ca="1" si="146"/>
        <v>19411.577886240917</v>
      </c>
      <c r="X788" s="4">
        <f t="shared" si="143"/>
        <v>-9981.2999999999993</v>
      </c>
      <c r="Y788" s="13">
        <f t="shared" si="144"/>
        <v>-0.57179766269477539</v>
      </c>
    </row>
    <row r="789" spans="1:25" x14ac:dyDescent="0.3">
      <c r="A789" s="12" t="s">
        <v>1620</v>
      </c>
      <c r="B789" s="7">
        <v>44861</v>
      </c>
      <c r="C789" s="4" t="s">
        <v>1621</v>
      </c>
      <c r="D789" s="4" t="s">
        <v>76</v>
      </c>
      <c r="E789" s="4">
        <v>32367</v>
      </c>
      <c r="F789" s="4">
        <v>13</v>
      </c>
      <c r="G789" s="4">
        <v>36</v>
      </c>
      <c r="H789" s="4" t="s">
        <v>19</v>
      </c>
      <c r="I789" s="4" t="s">
        <v>84</v>
      </c>
      <c r="J789" s="4" t="s">
        <v>32</v>
      </c>
      <c r="K789" s="4">
        <v>81257</v>
      </c>
      <c r="L789" s="4" t="s">
        <v>33</v>
      </c>
      <c r="M789" s="4">
        <v>0.42</v>
      </c>
      <c r="N789" s="4">
        <v>0.76</v>
      </c>
      <c r="O789" s="4">
        <v>36574.71</v>
      </c>
      <c r="P789" s="4">
        <v>0</v>
      </c>
      <c r="Q789" s="6">
        <f t="shared" si="145"/>
        <v>1090.5721444905448</v>
      </c>
      <c r="R789" s="6">
        <f t="shared" si="138"/>
        <v>6893.5972016596133</v>
      </c>
      <c r="S789" s="4">
        <f t="shared" si="139"/>
        <v>42588.15789473684</v>
      </c>
      <c r="T789" s="4">
        <f t="shared" si="140"/>
        <v>6771.416666666667</v>
      </c>
      <c r="U789" s="4">
        <f t="shared" si="141"/>
        <v>2843.9949999999999</v>
      </c>
      <c r="V789" s="4">
        <f t="shared" ca="1" si="142"/>
        <v>40</v>
      </c>
      <c r="W789" s="20">
        <f t="shared" ca="1" si="146"/>
        <v>43622.885779621793</v>
      </c>
      <c r="X789" s="4">
        <f t="shared" si="143"/>
        <v>4207.7099999999991</v>
      </c>
      <c r="Y789" s="13">
        <f t="shared" si="144"/>
        <v>0.12999999999999998</v>
      </c>
    </row>
    <row r="790" spans="1:25" x14ac:dyDescent="0.3">
      <c r="A790" s="12" t="s">
        <v>1622</v>
      </c>
      <c r="B790" s="7">
        <v>44341</v>
      </c>
      <c r="C790" s="4" t="s">
        <v>1623</v>
      </c>
      <c r="D790" s="4" t="s">
        <v>18</v>
      </c>
      <c r="E790" s="4">
        <v>11106</v>
      </c>
      <c r="F790" s="4">
        <v>10.9</v>
      </c>
      <c r="G790" s="4">
        <v>36</v>
      </c>
      <c r="H790" s="4" t="s">
        <v>19</v>
      </c>
      <c r="I790" s="4" t="s">
        <v>84</v>
      </c>
      <c r="J790" s="4" t="s">
        <v>28</v>
      </c>
      <c r="K790" s="4">
        <v>125500</v>
      </c>
      <c r="L790" s="4" t="s">
        <v>29</v>
      </c>
      <c r="M790" s="4">
        <v>0.13</v>
      </c>
      <c r="N790" s="4">
        <v>0.56000000000000005</v>
      </c>
      <c r="O790" s="4">
        <v>12316.55</v>
      </c>
      <c r="P790" s="4">
        <v>0</v>
      </c>
      <c r="Q790" s="6">
        <f t="shared" si="145"/>
        <v>363.07047834696357</v>
      </c>
      <c r="R790" s="6">
        <f t="shared" si="138"/>
        <v>1964.5372204906889</v>
      </c>
      <c r="S790" s="4">
        <f t="shared" si="139"/>
        <v>19832.142857142855</v>
      </c>
      <c r="T790" s="4">
        <f t="shared" si="140"/>
        <v>10458.333333333334</v>
      </c>
      <c r="U790" s="4">
        <f t="shared" si="141"/>
        <v>1359.5833333333335</v>
      </c>
      <c r="V790" s="4">
        <f t="shared" ca="1" si="142"/>
        <v>57</v>
      </c>
      <c r="W790" s="20">
        <f t="shared" ca="1" si="146"/>
        <v>20695.017265776922</v>
      </c>
      <c r="X790" s="4">
        <f t="shared" si="143"/>
        <v>1210.5499999999993</v>
      </c>
      <c r="Y790" s="13">
        <f t="shared" si="144"/>
        <v>0.10899963983432372</v>
      </c>
    </row>
    <row r="791" spans="1:25" x14ac:dyDescent="0.3">
      <c r="A791" s="12" t="s">
        <v>1624</v>
      </c>
      <c r="B791" s="7">
        <v>45203</v>
      </c>
      <c r="C791" s="4" t="s">
        <v>1625</v>
      </c>
      <c r="D791" s="4" t="s">
        <v>46</v>
      </c>
      <c r="E791" s="4">
        <v>38957</v>
      </c>
      <c r="F791" s="4">
        <v>8</v>
      </c>
      <c r="G791" s="4">
        <v>60</v>
      </c>
      <c r="H791" s="4" t="s">
        <v>19</v>
      </c>
      <c r="I791" s="4" t="s">
        <v>57</v>
      </c>
      <c r="J791" s="4" t="s">
        <v>21</v>
      </c>
      <c r="K791" s="4">
        <v>30307</v>
      </c>
      <c r="L791" s="4" t="s">
        <v>33</v>
      </c>
      <c r="M791" s="4">
        <v>0.34</v>
      </c>
      <c r="N791" s="4">
        <v>0.92</v>
      </c>
      <c r="O791" s="4">
        <v>42073.56</v>
      </c>
      <c r="P791" s="4">
        <v>0</v>
      </c>
      <c r="Q791" s="6">
        <f t="shared" si="145"/>
        <v>789.90749229373171</v>
      </c>
      <c r="R791" s="6">
        <f t="shared" si="138"/>
        <v>8437.4495376238992</v>
      </c>
      <c r="S791" s="4">
        <f t="shared" si="139"/>
        <v>42344.565217391304</v>
      </c>
      <c r="T791" s="4">
        <f t="shared" si="140"/>
        <v>2525.5833333333335</v>
      </c>
      <c r="U791" s="4">
        <f t="shared" si="141"/>
        <v>858.69833333333349</v>
      </c>
      <c r="V791" s="4">
        <f t="shared" ca="1" si="142"/>
        <v>29</v>
      </c>
      <c r="W791" s="20">
        <f t="shared" ca="1" si="146"/>
        <v>22907.317276518221</v>
      </c>
      <c r="X791" s="4">
        <f t="shared" si="143"/>
        <v>3116.5599999999977</v>
      </c>
      <c r="Y791" s="13">
        <f t="shared" si="144"/>
        <v>7.9999999999999946E-2</v>
      </c>
    </row>
    <row r="792" spans="1:25" x14ac:dyDescent="0.3">
      <c r="A792" s="12" t="s">
        <v>1626</v>
      </c>
      <c r="B792" s="7">
        <v>44699</v>
      </c>
      <c r="C792" s="4" t="s">
        <v>1627</v>
      </c>
      <c r="D792" s="4" t="s">
        <v>65</v>
      </c>
      <c r="E792" s="4">
        <v>3472</v>
      </c>
      <c r="F792" s="4">
        <v>10.3</v>
      </c>
      <c r="G792" s="4">
        <v>60</v>
      </c>
      <c r="H792" s="4" t="s">
        <v>26</v>
      </c>
      <c r="I792" s="4" t="s">
        <v>84</v>
      </c>
      <c r="J792" s="4" t="s">
        <v>32</v>
      </c>
      <c r="K792" s="4">
        <v>86889</v>
      </c>
      <c r="L792" s="4" t="s">
        <v>22</v>
      </c>
      <c r="M792" s="4">
        <v>0.28999999999999998</v>
      </c>
      <c r="N792" s="4">
        <v>0.66</v>
      </c>
      <c r="O792" s="4">
        <v>679.21</v>
      </c>
      <c r="P792" s="4">
        <v>0</v>
      </c>
      <c r="Q792" s="6">
        <f t="shared" si="145"/>
        <v>74.283293379659753</v>
      </c>
      <c r="R792" s="6">
        <f t="shared" si="138"/>
        <v>984.99760277958558</v>
      </c>
      <c r="S792" s="4">
        <f t="shared" si="139"/>
        <v>5260.6060606060601</v>
      </c>
      <c r="T792" s="4">
        <f t="shared" si="140"/>
        <v>7240.75</v>
      </c>
      <c r="U792" s="4">
        <f t="shared" si="141"/>
        <v>2099.8174999999997</v>
      </c>
      <c r="V792" s="4">
        <f t="shared" ca="1" si="142"/>
        <v>46</v>
      </c>
      <c r="W792" s="20">
        <f t="shared" ca="1" si="146"/>
        <v>3417.0314954643486</v>
      </c>
      <c r="X792" s="4">
        <f t="shared" si="143"/>
        <v>-2792.79</v>
      </c>
      <c r="Y792" s="13">
        <f t="shared" si="144"/>
        <v>-0.80437499999999995</v>
      </c>
    </row>
    <row r="793" spans="1:25" x14ac:dyDescent="0.3">
      <c r="A793" s="12" t="s">
        <v>1628</v>
      </c>
      <c r="B793" s="7">
        <v>45017</v>
      </c>
      <c r="C793" s="4" t="s">
        <v>1629</v>
      </c>
      <c r="D793" s="4" t="s">
        <v>25</v>
      </c>
      <c r="E793" s="4">
        <v>7704</v>
      </c>
      <c r="F793" s="4">
        <v>5.4</v>
      </c>
      <c r="G793" s="4">
        <v>36</v>
      </c>
      <c r="H793" s="4" t="s">
        <v>19</v>
      </c>
      <c r="I793" s="4" t="s">
        <v>84</v>
      </c>
      <c r="J793" s="4" t="s">
        <v>32</v>
      </c>
      <c r="K793" s="4">
        <v>98895</v>
      </c>
      <c r="L793" s="4" t="s">
        <v>33</v>
      </c>
      <c r="M793" s="4">
        <v>0.32</v>
      </c>
      <c r="N793" s="4">
        <v>0.7</v>
      </c>
      <c r="O793" s="4">
        <v>8120.02</v>
      </c>
      <c r="P793" s="4">
        <v>0</v>
      </c>
      <c r="Q793" s="6">
        <f t="shared" si="145"/>
        <v>232.28190458313179</v>
      </c>
      <c r="R793" s="6">
        <f t="shared" si="138"/>
        <v>658.14856499274538</v>
      </c>
      <c r="S793" s="4">
        <f t="shared" si="139"/>
        <v>11005.714285714286</v>
      </c>
      <c r="T793" s="4">
        <f t="shared" si="140"/>
        <v>8241.25</v>
      </c>
      <c r="U793" s="4">
        <f t="shared" si="141"/>
        <v>2637.2000000000003</v>
      </c>
      <c r="V793" s="4">
        <f t="shared" ca="1" si="142"/>
        <v>35</v>
      </c>
      <c r="W793" s="20">
        <f t="shared" ca="1" si="146"/>
        <v>8129.8666604096125</v>
      </c>
      <c r="X793" s="4">
        <f t="shared" si="143"/>
        <v>416.02000000000044</v>
      </c>
      <c r="Y793" s="13">
        <f t="shared" si="144"/>
        <v>5.4000519210799638E-2</v>
      </c>
    </row>
    <row r="794" spans="1:25" x14ac:dyDescent="0.3">
      <c r="A794" s="12" t="s">
        <v>1630</v>
      </c>
      <c r="B794" s="7">
        <v>44300</v>
      </c>
      <c r="C794" s="4" t="s">
        <v>1631</v>
      </c>
      <c r="D794" s="4" t="s">
        <v>18</v>
      </c>
      <c r="E794" s="4">
        <v>4713</v>
      </c>
      <c r="F794" s="4">
        <v>16.7</v>
      </c>
      <c r="G794" s="4">
        <v>60</v>
      </c>
      <c r="H794" s="4" t="s">
        <v>19</v>
      </c>
      <c r="I794" s="4" t="s">
        <v>57</v>
      </c>
      <c r="J794" s="4" t="s">
        <v>47</v>
      </c>
      <c r="K794" s="4">
        <v>125184</v>
      </c>
      <c r="L794" s="4" t="s">
        <v>22</v>
      </c>
      <c r="M794" s="4">
        <v>0.47</v>
      </c>
      <c r="N794" s="4">
        <v>0.8</v>
      </c>
      <c r="O794" s="4">
        <v>5500.07</v>
      </c>
      <c r="P794" s="4">
        <v>0</v>
      </c>
      <c r="Q794" s="6">
        <f t="shared" si="145"/>
        <v>116.37128689921292</v>
      </c>
      <c r="R794" s="6">
        <f t="shared" si="138"/>
        <v>2269.2772139527751</v>
      </c>
      <c r="S794" s="4">
        <f t="shared" si="139"/>
        <v>5891.25</v>
      </c>
      <c r="T794" s="4">
        <f t="shared" si="140"/>
        <v>10432</v>
      </c>
      <c r="U794" s="4">
        <f t="shared" si="141"/>
        <v>4903.04</v>
      </c>
      <c r="V794" s="4">
        <f t="shared" ca="1" si="142"/>
        <v>59</v>
      </c>
      <c r="W794" s="20">
        <f t="shared" ca="1" si="146"/>
        <v>6865.9059270535618</v>
      </c>
      <c r="X794" s="4">
        <f t="shared" si="143"/>
        <v>787.06999999999971</v>
      </c>
      <c r="Y794" s="13">
        <f t="shared" si="144"/>
        <v>0.16699978782092079</v>
      </c>
    </row>
    <row r="795" spans="1:25" x14ac:dyDescent="0.3">
      <c r="A795" s="12" t="s">
        <v>1632</v>
      </c>
      <c r="B795" s="7">
        <v>45259</v>
      </c>
      <c r="C795" s="4" t="s">
        <v>1633</v>
      </c>
      <c r="D795" s="4" t="s">
        <v>53</v>
      </c>
      <c r="E795" s="4">
        <v>6051</v>
      </c>
      <c r="F795" s="4">
        <v>21.8</v>
      </c>
      <c r="G795" s="4">
        <v>36</v>
      </c>
      <c r="H795" s="4" t="s">
        <v>19</v>
      </c>
      <c r="I795" s="4" t="s">
        <v>20</v>
      </c>
      <c r="J795" s="4" t="s">
        <v>21</v>
      </c>
      <c r="K795" s="4">
        <v>65944</v>
      </c>
      <c r="L795" s="4" t="s">
        <v>33</v>
      </c>
      <c r="M795" s="4">
        <v>0.45</v>
      </c>
      <c r="N795" s="4">
        <v>0.65</v>
      </c>
      <c r="O795" s="4">
        <v>7370.12</v>
      </c>
      <c r="P795" s="4">
        <v>0</v>
      </c>
      <c r="Q795" s="6">
        <f t="shared" si="145"/>
        <v>230.46482898628705</v>
      </c>
      <c r="R795" s="6">
        <f t="shared" si="138"/>
        <v>2245.7338435063339</v>
      </c>
      <c r="S795" s="4">
        <f t="shared" si="139"/>
        <v>9309.2307692307695</v>
      </c>
      <c r="T795" s="4">
        <f t="shared" si="140"/>
        <v>5495.333333333333</v>
      </c>
      <c r="U795" s="4">
        <f t="shared" si="141"/>
        <v>2472.9</v>
      </c>
      <c r="V795" s="4">
        <f t="shared" ca="1" si="142"/>
        <v>27</v>
      </c>
      <c r="W795" s="20">
        <f t="shared" ca="1" si="146"/>
        <v>6222.5503826297499</v>
      </c>
      <c r="X795" s="4">
        <f t="shared" si="143"/>
        <v>1319.12</v>
      </c>
      <c r="Y795" s="13">
        <f t="shared" si="144"/>
        <v>0.21800033052388032</v>
      </c>
    </row>
    <row r="796" spans="1:25" x14ac:dyDescent="0.3">
      <c r="A796" s="12" t="s">
        <v>1634</v>
      </c>
      <c r="B796" s="7">
        <v>44394</v>
      </c>
      <c r="C796" s="4" t="s">
        <v>1635</v>
      </c>
      <c r="D796" s="4" t="s">
        <v>18</v>
      </c>
      <c r="E796" s="4">
        <v>11756</v>
      </c>
      <c r="F796" s="4">
        <v>16</v>
      </c>
      <c r="G796" s="4">
        <v>36</v>
      </c>
      <c r="H796" s="4" t="s">
        <v>19</v>
      </c>
      <c r="I796" s="4" t="s">
        <v>20</v>
      </c>
      <c r="J796" s="4" t="s">
        <v>37</v>
      </c>
      <c r="K796" s="4">
        <v>129555</v>
      </c>
      <c r="L796" s="4" t="s">
        <v>29</v>
      </c>
      <c r="M796" s="4">
        <v>0.41</v>
      </c>
      <c r="N796" s="4">
        <v>0.61</v>
      </c>
      <c r="O796" s="4">
        <v>13636.96</v>
      </c>
      <c r="P796" s="4">
        <v>0</v>
      </c>
      <c r="Q796" s="6">
        <f t="shared" si="145"/>
        <v>413.3060803753317</v>
      </c>
      <c r="R796" s="6">
        <f t="shared" si="138"/>
        <v>3123.0188935119404</v>
      </c>
      <c r="S796" s="4">
        <f t="shared" si="139"/>
        <v>19272.131147540986</v>
      </c>
      <c r="T796" s="4">
        <f t="shared" si="140"/>
        <v>10796.25</v>
      </c>
      <c r="U796" s="4">
        <f t="shared" si="141"/>
        <v>4426.4624999999996</v>
      </c>
      <c r="V796" s="4">
        <f t="shared" ca="1" si="142"/>
        <v>56</v>
      </c>
      <c r="W796" s="20">
        <f t="shared" ca="1" si="146"/>
        <v>23145.140501018577</v>
      </c>
      <c r="X796" s="4">
        <f t="shared" si="143"/>
        <v>1880.9599999999991</v>
      </c>
      <c r="Y796" s="13">
        <f t="shared" si="144"/>
        <v>0.15999999999999992</v>
      </c>
    </row>
    <row r="797" spans="1:25" x14ac:dyDescent="0.3">
      <c r="A797" s="12" t="s">
        <v>1636</v>
      </c>
      <c r="B797" s="7">
        <v>44775</v>
      </c>
      <c r="C797" s="4" t="s">
        <v>1637</v>
      </c>
      <c r="D797" s="4" t="s">
        <v>25</v>
      </c>
      <c r="E797" s="4">
        <v>3475</v>
      </c>
      <c r="F797" s="4">
        <v>9.4</v>
      </c>
      <c r="G797" s="4">
        <v>36</v>
      </c>
      <c r="H797" s="4" t="s">
        <v>19</v>
      </c>
      <c r="I797" s="4" t="s">
        <v>73</v>
      </c>
      <c r="J797" s="4" t="s">
        <v>32</v>
      </c>
      <c r="K797" s="4">
        <v>68134</v>
      </c>
      <c r="L797" s="4" t="s">
        <v>33</v>
      </c>
      <c r="M797" s="4">
        <v>0.21</v>
      </c>
      <c r="N797" s="4">
        <v>0.78</v>
      </c>
      <c r="O797" s="4">
        <v>3801.65</v>
      </c>
      <c r="P797" s="4">
        <v>0</v>
      </c>
      <c r="Q797" s="6">
        <f t="shared" si="145"/>
        <v>111.15213064872623</v>
      </c>
      <c r="R797" s="6">
        <f t="shared" si="138"/>
        <v>526.47670335414432</v>
      </c>
      <c r="S797" s="4">
        <f t="shared" si="139"/>
        <v>4455.1282051282051</v>
      </c>
      <c r="T797" s="4">
        <f t="shared" si="140"/>
        <v>5677.833333333333</v>
      </c>
      <c r="U797" s="4">
        <f t="shared" si="141"/>
        <v>1192.3449999999998</v>
      </c>
      <c r="V797" s="4">
        <f t="shared" ca="1" si="142"/>
        <v>43</v>
      </c>
      <c r="W797" s="20">
        <f t="shared" ca="1" si="146"/>
        <v>4779.5416178952282</v>
      </c>
      <c r="X797" s="4">
        <f t="shared" si="143"/>
        <v>326.65000000000009</v>
      </c>
      <c r="Y797" s="13">
        <f t="shared" si="144"/>
        <v>9.4000000000000028E-2</v>
      </c>
    </row>
    <row r="798" spans="1:25" x14ac:dyDescent="0.3">
      <c r="A798" s="12" t="s">
        <v>1638</v>
      </c>
      <c r="B798" s="7">
        <v>44587</v>
      </c>
      <c r="C798" s="4" t="s">
        <v>1639</v>
      </c>
      <c r="D798" s="4" t="s">
        <v>50</v>
      </c>
      <c r="E798" s="4">
        <v>37378</v>
      </c>
      <c r="F798" s="4">
        <v>5.7</v>
      </c>
      <c r="G798" s="4">
        <v>36</v>
      </c>
      <c r="H798" s="4" t="s">
        <v>19</v>
      </c>
      <c r="I798" s="4" t="s">
        <v>57</v>
      </c>
      <c r="J798" s="4" t="s">
        <v>32</v>
      </c>
      <c r="K798" s="4">
        <v>57323</v>
      </c>
      <c r="L798" s="4" t="s">
        <v>29</v>
      </c>
      <c r="M798" s="4">
        <v>0.46</v>
      </c>
      <c r="N798" s="4">
        <v>0.51</v>
      </c>
      <c r="O798" s="4">
        <v>39508.550000000003</v>
      </c>
      <c r="P798" s="4">
        <v>0</v>
      </c>
      <c r="Q798" s="6">
        <f t="shared" si="145"/>
        <v>1132.0373000513821</v>
      </c>
      <c r="R798" s="6">
        <f t="shared" si="138"/>
        <v>3375.342801849758</v>
      </c>
      <c r="S798" s="4">
        <f t="shared" si="139"/>
        <v>73290.196078431371</v>
      </c>
      <c r="T798" s="4">
        <f t="shared" si="140"/>
        <v>4776.916666666667</v>
      </c>
      <c r="U798" s="4">
        <f t="shared" si="141"/>
        <v>2197.3816666666671</v>
      </c>
      <c r="V798" s="4">
        <f t="shared" ca="1" si="142"/>
        <v>49</v>
      </c>
      <c r="W798" s="20">
        <f t="shared" ca="1" si="146"/>
        <v>55469.827702517723</v>
      </c>
      <c r="X798" s="4">
        <f t="shared" si="143"/>
        <v>2130.5500000000029</v>
      </c>
      <c r="Y798" s="13">
        <f t="shared" si="144"/>
        <v>5.7000107014821631E-2</v>
      </c>
    </row>
    <row r="799" spans="1:25" x14ac:dyDescent="0.3">
      <c r="A799" s="12" t="s">
        <v>1640</v>
      </c>
      <c r="B799" s="7">
        <v>44750</v>
      </c>
      <c r="C799" s="4" t="s">
        <v>1641</v>
      </c>
      <c r="D799" s="4" t="s">
        <v>40</v>
      </c>
      <c r="E799" s="4">
        <v>5255</v>
      </c>
      <c r="F799" s="4">
        <v>9.3000000000000007</v>
      </c>
      <c r="G799" s="4">
        <v>60</v>
      </c>
      <c r="H799" s="4" t="s">
        <v>19</v>
      </c>
      <c r="I799" s="4" t="s">
        <v>41</v>
      </c>
      <c r="J799" s="4" t="s">
        <v>28</v>
      </c>
      <c r="K799" s="4">
        <v>146205</v>
      </c>
      <c r="L799" s="4" t="s">
        <v>29</v>
      </c>
      <c r="M799" s="4">
        <v>0.14000000000000001</v>
      </c>
      <c r="N799" s="4">
        <v>0.82</v>
      </c>
      <c r="O799" s="4">
        <v>5743.72</v>
      </c>
      <c r="P799" s="4">
        <v>0</v>
      </c>
      <c r="Q799" s="6">
        <f t="shared" si="145"/>
        <v>109.85187222440696</v>
      </c>
      <c r="R799" s="6">
        <f t="shared" si="138"/>
        <v>1336.112333464418</v>
      </c>
      <c r="S799" s="4">
        <f t="shared" si="139"/>
        <v>6408.5365853658541</v>
      </c>
      <c r="T799" s="4">
        <f t="shared" si="140"/>
        <v>12183.75</v>
      </c>
      <c r="U799" s="4">
        <f t="shared" si="141"/>
        <v>1705.7250000000001</v>
      </c>
      <c r="V799" s="4">
        <f t="shared" ca="1" si="142"/>
        <v>44</v>
      </c>
      <c r="W799" s="20">
        <f t="shared" ca="1" si="146"/>
        <v>4833.4823778739064</v>
      </c>
      <c r="X799" s="4">
        <f t="shared" si="143"/>
        <v>488.72000000000025</v>
      </c>
      <c r="Y799" s="13">
        <f t="shared" si="144"/>
        <v>9.3000951474785973E-2</v>
      </c>
    </row>
    <row r="800" spans="1:25" x14ac:dyDescent="0.3">
      <c r="A800" s="12" t="s">
        <v>1642</v>
      </c>
      <c r="B800" s="7">
        <v>45235</v>
      </c>
      <c r="C800" s="4" t="s">
        <v>1643</v>
      </c>
      <c r="D800" s="4" t="s">
        <v>25</v>
      </c>
      <c r="E800" s="4">
        <v>15484</v>
      </c>
      <c r="F800" s="4">
        <v>13.3</v>
      </c>
      <c r="G800" s="4">
        <v>36</v>
      </c>
      <c r="H800" s="4" t="s">
        <v>19</v>
      </c>
      <c r="I800" s="4" t="s">
        <v>27</v>
      </c>
      <c r="J800" s="4" t="s">
        <v>47</v>
      </c>
      <c r="K800" s="4">
        <v>101762</v>
      </c>
      <c r="L800" s="4" t="s">
        <v>33</v>
      </c>
      <c r="M800" s="4">
        <v>0.44</v>
      </c>
      <c r="N800" s="4">
        <v>0.73</v>
      </c>
      <c r="O800" s="4">
        <v>17543.37</v>
      </c>
      <c r="P800" s="4">
        <v>0</v>
      </c>
      <c r="Q800" s="6">
        <f t="shared" si="145"/>
        <v>523.95738169997651</v>
      </c>
      <c r="R800" s="6">
        <f t="shared" si="138"/>
        <v>3378.4657411991539</v>
      </c>
      <c r="S800" s="4">
        <f t="shared" si="139"/>
        <v>21210.95890410959</v>
      </c>
      <c r="T800" s="4">
        <f t="shared" si="140"/>
        <v>8480.1666666666661</v>
      </c>
      <c r="U800" s="4">
        <f t="shared" si="141"/>
        <v>3731.2733333333331</v>
      </c>
      <c r="V800" s="4">
        <f t="shared" ca="1" si="142"/>
        <v>28</v>
      </c>
      <c r="W800" s="20">
        <f t="shared" ca="1" si="146"/>
        <v>14670.806687599343</v>
      </c>
      <c r="X800" s="4">
        <f t="shared" si="143"/>
        <v>2059.369999999999</v>
      </c>
      <c r="Y800" s="13">
        <f t="shared" si="144"/>
        <v>0.13299987083440964</v>
      </c>
    </row>
    <row r="801" spans="1:25" x14ac:dyDescent="0.3">
      <c r="A801" s="12" t="s">
        <v>1644</v>
      </c>
      <c r="B801" s="7">
        <v>44674</v>
      </c>
      <c r="C801" s="4" t="s">
        <v>1645</v>
      </c>
      <c r="D801" s="4" t="s">
        <v>72</v>
      </c>
      <c r="E801" s="4">
        <v>35503</v>
      </c>
      <c r="F801" s="4">
        <v>20.2</v>
      </c>
      <c r="G801" s="4">
        <v>36</v>
      </c>
      <c r="H801" s="4" t="s">
        <v>19</v>
      </c>
      <c r="I801" s="4" t="s">
        <v>27</v>
      </c>
      <c r="J801" s="4" t="s">
        <v>32</v>
      </c>
      <c r="K801" s="4">
        <v>117225</v>
      </c>
      <c r="L801" s="4" t="s">
        <v>29</v>
      </c>
      <c r="M801" s="4">
        <v>0.23</v>
      </c>
      <c r="N801" s="4">
        <v>0.77</v>
      </c>
      <c r="O801" s="4">
        <v>42674.61</v>
      </c>
      <c r="P801" s="4">
        <v>0</v>
      </c>
      <c r="Q801" s="6">
        <f t="shared" si="145"/>
        <v>1323.0394286276814</v>
      </c>
      <c r="R801" s="6">
        <f t="shared" si="138"/>
        <v>12126.419430596536</v>
      </c>
      <c r="S801" s="4">
        <f t="shared" si="139"/>
        <v>46107.792207792205</v>
      </c>
      <c r="T801" s="4">
        <f t="shared" si="140"/>
        <v>9768.75</v>
      </c>
      <c r="U801" s="4">
        <f t="shared" si="141"/>
        <v>2246.8125</v>
      </c>
      <c r="V801" s="4">
        <f t="shared" ca="1" si="142"/>
        <v>46</v>
      </c>
      <c r="W801" s="20">
        <f t="shared" ca="1" si="146"/>
        <v>60859.813716873345</v>
      </c>
      <c r="X801" s="4">
        <f t="shared" si="143"/>
        <v>7171.6100000000006</v>
      </c>
      <c r="Y801" s="13">
        <f t="shared" si="144"/>
        <v>0.20200011266653523</v>
      </c>
    </row>
    <row r="802" spans="1:25" x14ac:dyDescent="0.3">
      <c r="A802" s="12" t="s">
        <v>1646</v>
      </c>
      <c r="B802" s="7">
        <v>45119</v>
      </c>
      <c r="C802" s="4" t="s">
        <v>1647</v>
      </c>
      <c r="D802" s="4" t="s">
        <v>76</v>
      </c>
      <c r="E802" s="4">
        <v>9258</v>
      </c>
      <c r="F802" s="4">
        <v>8.8000000000000007</v>
      </c>
      <c r="G802" s="4">
        <v>60</v>
      </c>
      <c r="H802" s="4" t="s">
        <v>26</v>
      </c>
      <c r="I802" s="4" t="s">
        <v>36</v>
      </c>
      <c r="J802" s="4" t="s">
        <v>32</v>
      </c>
      <c r="K802" s="4">
        <v>126507</v>
      </c>
      <c r="L802" s="4" t="s">
        <v>29</v>
      </c>
      <c r="M802" s="4">
        <v>0.12</v>
      </c>
      <c r="N802" s="4">
        <v>0.78</v>
      </c>
      <c r="O802" s="4">
        <v>3956.83</v>
      </c>
      <c r="P802" s="4">
        <v>0</v>
      </c>
      <c r="Q802" s="6">
        <f t="shared" si="145"/>
        <v>191.28345911844107</v>
      </c>
      <c r="R802" s="6">
        <f t="shared" si="138"/>
        <v>2219.0075471064647</v>
      </c>
      <c r="S802" s="4">
        <f t="shared" si="139"/>
        <v>11869.23076923077</v>
      </c>
      <c r="T802" s="4">
        <f t="shared" si="140"/>
        <v>10542.25</v>
      </c>
      <c r="U802" s="4">
        <f t="shared" si="141"/>
        <v>1265.07</v>
      </c>
      <c r="V802" s="4">
        <f t="shared" ca="1" si="142"/>
        <v>32</v>
      </c>
      <c r="W802" s="20">
        <f t="shared" ca="1" si="146"/>
        <v>6121.0706917901143</v>
      </c>
      <c r="X802" s="4">
        <f t="shared" si="143"/>
        <v>-5301.17</v>
      </c>
      <c r="Y802" s="13">
        <f t="shared" si="144"/>
        <v>-0.57260423417584794</v>
      </c>
    </row>
    <row r="803" spans="1:25" x14ac:dyDescent="0.3">
      <c r="A803" s="12" t="s">
        <v>1648</v>
      </c>
      <c r="B803" s="7">
        <v>44616</v>
      </c>
      <c r="C803" s="4" t="s">
        <v>1649</v>
      </c>
      <c r="D803" s="4" t="s">
        <v>65</v>
      </c>
      <c r="E803" s="4">
        <v>36196</v>
      </c>
      <c r="F803" s="4">
        <v>19.399999999999999</v>
      </c>
      <c r="G803" s="4">
        <v>36</v>
      </c>
      <c r="H803" s="4" t="s">
        <v>81</v>
      </c>
      <c r="I803" s="4" t="s">
        <v>36</v>
      </c>
      <c r="J803" s="4" t="s">
        <v>37</v>
      </c>
      <c r="K803" s="4">
        <v>55954</v>
      </c>
      <c r="L803" s="4" t="s">
        <v>22</v>
      </c>
      <c r="M803" s="4">
        <v>0.37</v>
      </c>
      <c r="N803" s="4">
        <v>0.74</v>
      </c>
      <c r="O803" s="4">
        <v>4744.32</v>
      </c>
      <c r="P803" s="4">
        <v>13544.73</v>
      </c>
      <c r="Q803" s="6">
        <f t="shared" si="145"/>
        <v>1334.1329337556122</v>
      </c>
      <c r="R803" s="6">
        <f t="shared" si="138"/>
        <v>11832.785615202039</v>
      </c>
      <c r="S803" s="4">
        <f t="shared" si="139"/>
        <v>48913.513513513513</v>
      </c>
      <c r="T803" s="4">
        <f t="shared" si="140"/>
        <v>4662.833333333333</v>
      </c>
      <c r="U803" s="4">
        <f t="shared" si="141"/>
        <v>1725.2483333333332</v>
      </c>
      <c r="V803" s="4">
        <f t="shared" ca="1" si="142"/>
        <v>48</v>
      </c>
      <c r="W803" s="20">
        <v>0</v>
      </c>
      <c r="X803" s="4">
        <f t="shared" si="143"/>
        <v>-17906.95</v>
      </c>
      <c r="Y803" s="13">
        <f t="shared" si="144"/>
        <v>-0.49472179246325565</v>
      </c>
    </row>
    <row r="804" spans="1:25" x14ac:dyDescent="0.3">
      <c r="A804" s="12" t="s">
        <v>1650</v>
      </c>
      <c r="B804" s="7">
        <v>44353</v>
      </c>
      <c r="C804" s="4" t="s">
        <v>1651</v>
      </c>
      <c r="D804" s="4" t="s">
        <v>65</v>
      </c>
      <c r="E804" s="4">
        <v>9533</v>
      </c>
      <c r="F804" s="4">
        <v>22.3</v>
      </c>
      <c r="G804" s="4">
        <v>36</v>
      </c>
      <c r="H804" s="4" t="s">
        <v>19</v>
      </c>
      <c r="I804" s="4" t="s">
        <v>57</v>
      </c>
      <c r="J804" s="4" t="s">
        <v>37</v>
      </c>
      <c r="K804" s="4">
        <v>85021</v>
      </c>
      <c r="L804" s="4" t="s">
        <v>22</v>
      </c>
      <c r="M804" s="4">
        <v>0.19</v>
      </c>
      <c r="N804" s="4">
        <v>0.76</v>
      </c>
      <c r="O804" s="4">
        <v>11658.86</v>
      </c>
      <c r="P804" s="4">
        <v>0</v>
      </c>
      <c r="Q804" s="6">
        <f t="shared" si="145"/>
        <v>365.55076801877169</v>
      </c>
      <c r="R804" s="6">
        <f t="shared" si="138"/>
        <v>3626.8276486757804</v>
      </c>
      <c r="S804" s="4">
        <f t="shared" si="139"/>
        <v>12543.421052631578</v>
      </c>
      <c r="T804" s="4">
        <f t="shared" si="140"/>
        <v>7085.083333333333</v>
      </c>
      <c r="U804" s="4">
        <f t="shared" si="141"/>
        <v>1346.1658333333332</v>
      </c>
      <c r="V804" s="4">
        <f t="shared" ca="1" si="142"/>
        <v>57</v>
      </c>
      <c r="W804" s="20">
        <f t="shared" ref="W804:W815" ca="1" si="147">V804*Q804</f>
        <v>20836.393777069985</v>
      </c>
      <c r="X804" s="4">
        <f t="shared" si="143"/>
        <v>2125.8600000000006</v>
      </c>
      <c r="Y804" s="13">
        <f t="shared" si="144"/>
        <v>0.22300010489877276</v>
      </c>
    </row>
    <row r="805" spans="1:25" x14ac:dyDescent="0.3">
      <c r="A805" s="12" t="s">
        <v>1652</v>
      </c>
      <c r="B805" s="7">
        <v>44746</v>
      </c>
      <c r="C805" s="4" t="s">
        <v>1653</v>
      </c>
      <c r="D805" s="4" t="s">
        <v>46</v>
      </c>
      <c r="E805" s="4">
        <v>33581</v>
      </c>
      <c r="F805" s="4">
        <v>14.1</v>
      </c>
      <c r="G805" s="4">
        <v>60</v>
      </c>
      <c r="H805" s="4" t="s">
        <v>19</v>
      </c>
      <c r="I805" s="4" t="s">
        <v>20</v>
      </c>
      <c r="J805" s="4" t="s">
        <v>28</v>
      </c>
      <c r="K805" s="4">
        <v>119959</v>
      </c>
      <c r="L805" s="4" t="s">
        <v>29</v>
      </c>
      <c r="M805" s="4">
        <v>0.2</v>
      </c>
      <c r="N805" s="4">
        <v>0.81</v>
      </c>
      <c r="O805" s="4">
        <v>38315.919999999998</v>
      </c>
      <c r="P805" s="4">
        <v>0</v>
      </c>
      <c r="Q805" s="6">
        <f t="shared" si="145"/>
        <v>783.11318725242995</v>
      </c>
      <c r="R805" s="6">
        <f t="shared" si="138"/>
        <v>13405.7912351458</v>
      </c>
      <c r="S805" s="4">
        <f t="shared" si="139"/>
        <v>41458.024691358019</v>
      </c>
      <c r="T805" s="4">
        <f t="shared" si="140"/>
        <v>9996.5833333333339</v>
      </c>
      <c r="U805" s="4">
        <f t="shared" si="141"/>
        <v>1999.3166666666668</v>
      </c>
      <c r="V805" s="4">
        <f t="shared" ca="1" si="142"/>
        <v>44</v>
      </c>
      <c r="W805" s="20">
        <f t="shared" ca="1" si="147"/>
        <v>34456.980239106917</v>
      </c>
      <c r="X805" s="4">
        <f t="shared" si="143"/>
        <v>4734.9199999999983</v>
      </c>
      <c r="Y805" s="13">
        <f t="shared" si="144"/>
        <v>0.14099997022125602</v>
      </c>
    </row>
    <row r="806" spans="1:25" x14ac:dyDescent="0.3">
      <c r="A806" s="12" t="s">
        <v>1654</v>
      </c>
      <c r="B806" s="7">
        <v>45217</v>
      </c>
      <c r="C806" s="4" t="s">
        <v>1655</v>
      </c>
      <c r="D806" s="4" t="s">
        <v>40</v>
      </c>
      <c r="E806" s="4">
        <v>6249</v>
      </c>
      <c r="F806" s="4">
        <v>21.4</v>
      </c>
      <c r="G806" s="4">
        <v>60</v>
      </c>
      <c r="H806" s="4" t="s">
        <v>19</v>
      </c>
      <c r="I806" s="4" t="s">
        <v>27</v>
      </c>
      <c r="J806" s="4" t="s">
        <v>28</v>
      </c>
      <c r="K806" s="4">
        <v>125927</v>
      </c>
      <c r="L806" s="4" t="s">
        <v>33</v>
      </c>
      <c r="M806" s="4">
        <v>0.22</v>
      </c>
      <c r="N806" s="4">
        <v>0.84</v>
      </c>
      <c r="O806" s="4">
        <v>7586.29</v>
      </c>
      <c r="P806" s="4">
        <v>0</v>
      </c>
      <c r="Q806" s="6">
        <f t="shared" si="145"/>
        <v>170.46556739630918</v>
      </c>
      <c r="R806" s="6">
        <f t="shared" si="138"/>
        <v>3978.9340437785504</v>
      </c>
      <c r="S806" s="4">
        <f t="shared" si="139"/>
        <v>7439.2857142857147</v>
      </c>
      <c r="T806" s="4">
        <f t="shared" si="140"/>
        <v>10493.916666666666</v>
      </c>
      <c r="U806" s="4">
        <f t="shared" si="141"/>
        <v>2308.6616666666664</v>
      </c>
      <c r="V806" s="4">
        <f t="shared" ca="1" si="142"/>
        <v>29</v>
      </c>
      <c r="W806" s="20">
        <f t="shared" ca="1" si="147"/>
        <v>4943.5014544929663</v>
      </c>
      <c r="X806" s="4">
        <f t="shared" si="143"/>
        <v>1337.29</v>
      </c>
      <c r="Y806" s="13">
        <f t="shared" si="144"/>
        <v>0.21400064010241637</v>
      </c>
    </row>
    <row r="807" spans="1:25" x14ac:dyDescent="0.3">
      <c r="A807" s="12" t="s">
        <v>1656</v>
      </c>
      <c r="B807" s="7">
        <v>45193</v>
      </c>
      <c r="C807" s="4" t="s">
        <v>1657</v>
      </c>
      <c r="D807" s="4" t="s">
        <v>72</v>
      </c>
      <c r="E807" s="4">
        <v>20201</v>
      </c>
      <c r="F807" s="4">
        <v>16.100000000000001</v>
      </c>
      <c r="G807" s="4">
        <v>60</v>
      </c>
      <c r="H807" s="4" t="s">
        <v>26</v>
      </c>
      <c r="I807" s="4" t="s">
        <v>57</v>
      </c>
      <c r="J807" s="4" t="s">
        <v>28</v>
      </c>
      <c r="K807" s="4">
        <v>109866</v>
      </c>
      <c r="L807" s="4" t="s">
        <v>29</v>
      </c>
      <c r="M807" s="4">
        <v>0.13</v>
      </c>
      <c r="N807" s="4">
        <v>0.83</v>
      </c>
      <c r="O807" s="4">
        <v>8625.3799999999992</v>
      </c>
      <c r="P807" s="4">
        <v>0</v>
      </c>
      <c r="Q807" s="6">
        <f t="shared" si="145"/>
        <v>492.32306181944455</v>
      </c>
      <c r="R807" s="6">
        <f t="shared" si="138"/>
        <v>9338.3837091666719</v>
      </c>
      <c r="S807" s="4">
        <f t="shared" si="139"/>
        <v>24338.554216867473</v>
      </c>
      <c r="T807" s="4">
        <f t="shared" si="140"/>
        <v>9155.5</v>
      </c>
      <c r="U807" s="4">
        <f t="shared" si="141"/>
        <v>1190.2150000000001</v>
      </c>
      <c r="V807" s="4">
        <f t="shared" ca="1" si="142"/>
        <v>29</v>
      </c>
      <c r="W807" s="20">
        <f t="shared" ca="1" si="147"/>
        <v>14277.368792763891</v>
      </c>
      <c r="X807" s="4">
        <f t="shared" si="143"/>
        <v>-11575.62</v>
      </c>
      <c r="Y807" s="13">
        <f t="shared" si="144"/>
        <v>-0.57302212761744475</v>
      </c>
    </row>
    <row r="808" spans="1:25" x14ac:dyDescent="0.3">
      <c r="A808" s="12" t="s">
        <v>1658</v>
      </c>
      <c r="B808" s="7">
        <v>45147</v>
      </c>
      <c r="C808" s="4" t="s">
        <v>1659</v>
      </c>
      <c r="D808" s="4" t="s">
        <v>76</v>
      </c>
      <c r="E808" s="4">
        <v>10686</v>
      </c>
      <c r="F808" s="4">
        <v>17.7</v>
      </c>
      <c r="G808" s="4">
        <v>36</v>
      </c>
      <c r="H808" s="4" t="s">
        <v>19</v>
      </c>
      <c r="I808" s="4" t="s">
        <v>73</v>
      </c>
      <c r="J808" s="4" t="s">
        <v>37</v>
      </c>
      <c r="K808" s="4">
        <v>100427</v>
      </c>
      <c r="L808" s="4" t="s">
        <v>33</v>
      </c>
      <c r="M808" s="4">
        <v>0.17</v>
      </c>
      <c r="N808" s="4">
        <v>0.89</v>
      </c>
      <c r="O808" s="4">
        <v>12577.42</v>
      </c>
      <c r="P808" s="4">
        <v>0</v>
      </c>
      <c r="Q808" s="6">
        <f t="shared" si="145"/>
        <v>384.7182152973146</v>
      </c>
      <c r="R808" s="6">
        <f t="shared" si="138"/>
        <v>3163.8557507033256</v>
      </c>
      <c r="S808" s="4">
        <f t="shared" si="139"/>
        <v>12006.741573033707</v>
      </c>
      <c r="T808" s="4">
        <f t="shared" si="140"/>
        <v>8368.9166666666661</v>
      </c>
      <c r="U808" s="4">
        <f t="shared" si="141"/>
        <v>1422.7158333333334</v>
      </c>
      <c r="V808" s="4">
        <f t="shared" ca="1" si="142"/>
        <v>31</v>
      </c>
      <c r="W808" s="20">
        <f t="shared" ca="1" si="147"/>
        <v>11926.264674216753</v>
      </c>
      <c r="X808" s="4">
        <f t="shared" si="143"/>
        <v>1891.42</v>
      </c>
      <c r="Y808" s="13">
        <f t="shared" si="144"/>
        <v>0.17699981283922891</v>
      </c>
    </row>
    <row r="809" spans="1:25" x14ac:dyDescent="0.3">
      <c r="A809" s="12" t="s">
        <v>1660</v>
      </c>
      <c r="B809" s="7">
        <v>44485</v>
      </c>
      <c r="C809" s="4" t="s">
        <v>1661</v>
      </c>
      <c r="D809" s="4" t="s">
        <v>65</v>
      </c>
      <c r="E809" s="4">
        <v>33007</v>
      </c>
      <c r="F809" s="4">
        <v>15.5</v>
      </c>
      <c r="G809" s="4">
        <v>60</v>
      </c>
      <c r="H809" s="4" t="s">
        <v>19</v>
      </c>
      <c r="I809" s="4" t="s">
        <v>27</v>
      </c>
      <c r="J809" s="4" t="s">
        <v>37</v>
      </c>
      <c r="K809" s="4">
        <v>34992</v>
      </c>
      <c r="L809" s="4" t="s">
        <v>22</v>
      </c>
      <c r="M809" s="4">
        <v>0.1</v>
      </c>
      <c r="N809" s="4">
        <v>0.59</v>
      </c>
      <c r="O809" s="4">
        <v>38123.08</v>
      </c>
      <c r="P809" s="4">
        <v>0</v>
      </c>
      <c r="Q809" s="6">
        <f t="shared" si="145"/>
        <v>793.9236779679236</v>
      </c>
      <c r="R809" s="6">
        <f t="shared" si="138"/>
        <v>14628.420678075418</v>
      </c>
      <c r="S809" s="4">
        <f t="shared" si="139"/>
        <v>55944.067796610172</v>
      </c>
      <c r="T809" s="4">
        <f t="shared" si="140"/>
        <v>2916</v>
      </c>
      <c r="U809" s="4">
        <f t="shared" si="141"/>
        <v>291.60000000000002</v>
      </c>
      <c r="V809" s="4">
        <f t="shared" ca="1" si="142"/>
        <v>53</v>
      </c>
      <c r="W809" s="20">
        <f t="shared" ca="1" si="147"/>
        <v>42077.954932299952</v>
      </c>
      <c r="X809" s="4">
        <f t="shared" si="143"/>
        <v>5116.0800000000017</v>
      </c>
      <c r="Y809" s="13">
        <f t="shared" si="144"/>
        <v>0.15499984851698129</v>
      </c>
    </row>
    <row r="810" spans="1:25" x14ac:dyDescent="0.3">
      <c r="A810" s="12" t="s">
        <v>1662</v>
      </c>
      <c r="B810" s="7">
        <v>44392</v>
      </c>
      <c r="C810" s="4" t="s">
        <v>1663</v>
      </c>
      <c r="D810" s="4" t="s">
        <v>72</v>
      </c>
      <c r="E810" s="4">
        <v>1661</v>
      </c>
      <c r="F810" s="4">
        <v>14.3</v>
      </c>
      <c r="G810" s="4">
        <v>60</v>
      </c>
      <c r="H810" s="4" t="s">
        <v>26</v>
      </c>
      <c r="I810" s="4" t="s">
        <v>36</v>
      </c>
      <c r="J810" s="4" t="s">
        <v>47</v>
      </c>
      <c r="K810" s="4">
        <v>31961</v>
      </c>
      <c r="L810" s="4" t="s">
        <v>33</v>
      </c>
      <c r="M810" s="4">
        <v>0.28000000000000003</v>
      </c>
      <c r="N810" s="4">
        <v>0.68</v>
      </c>
      <c r="O810" s="4">
        <v>197.22</v>
      </c>
      <c r="P810" s="4">
        <v>0</v>
      </c>
      <c r="Q810" s="6">
        <f t="shared" si="145"/>
        <v>38.907387513201101</v>
      </c>
      <c r="R810" s="6">
        <f t="shared" si="138"/>
        <v>673.44325079206601</v>
      </c>
      <c r="S810" s="4">
        <f t="shared" si="139"/>
        <v>2442.6470588235293</v>
      </c>
      <c r="T810" s="4">
        <f t="shared" si="140"/>
        <v>2663.4166666666665</v>
      </c>
      <c r="U810" s="4">
        <f t="shared" si="141"/>
        <v>745.75666666666666</v>
      </c>
      <c r="V810" s="4">
        <f t="shared" ca="1" si="142"/>
        <v>56</v>
      </c>
      <c r="W810" s="20">
        <f t="shared" ca="1" si="147"/>
        <v>2178.8137007392615</v>
      </c>
      <c r="X810" s="4">
        <f t="shared" si="143"/>
        <v>-1463.78</v>
      </c>
      <c r="Y810" s="13">
        <f t="shared" si="144"/>
        <v>-0.88126429861529199</v>
      </c>
    </row>
    <row r="811" spans="1:25" x14ac:dyDescent="0.3">
      <c r="A811" s="12" t="s">
        <v>1664</v>
      </c>
      <c r="B811" s="7">
        <v>44794</v>
      </c>
      <c r="C811" s="4" t="s">
        <v>1665</v>
      </c>
      <c r="D811" s="4" t="s">
        <v>18</v>
      </c>
      <c r="E811" s="4">
        <v>31137</v>
      </c>
      <c r="F811" s="4">
        <v>9.6999999999999993</v>
      </c>
      <c r="G811" s="4">
        <v>36</v>
      </c>
      <c r="H811" s="4" t="s">
        <v>19</v>
      </c>
      <c r="I811" s="4" t="s">
        <v>57</v>
      </c>
      <c r="J811" s="4" t="s">
        <v>21</v>
      </c>
      <c r="K811" s="4">
        <v>42497</v>
      </c>
      <c r="L811" s="4" t="s">
        <v>29</v>
      </c>
      <c r="M811" s="4">
        <v>0.13</v>
      </c>
      <c r="N811" s="4">
        <v>0.93</v>
      </c>
      <c r="O811" s="4">
        <v>34157.29</v>
      </c>
      <c r="P811" s="4">
        <v>0</v>
      </c>
      <c r="Q811" s="6">
        <f t="shared" si="145"/>
        <v>1000.3235267608062</v>
      </c>
      <c r="R811" s="6">
        <f t="shared" si="138"/>
        <v>4874.6469633890229</v>
      </c>
      <c r="S811" s="4">
        <f t="shared" si="139"/>
        <v>33480.645161290318</v>
      </c>
      <c r="T811" s="4">
        <f t="shared" si="140"/>
        <v>3541.4166666666665</v>
      </c>
      <c r="U811" s="4">
        <f t="shared" si="141"/>
        <v>460.38416666666666</v>
      </c>
      <c r="V811" s="4">
        <f t="shared" ca="1" si="142"/>
        <v>42</v>
      </c>
      <c r="W811" s="20">
        <f t="shared" ca="1" si="147"/>
        <v>42013.588123953858</v>
      </c>
      <c r="X811" s="4">
        <f t="shared" si="143"/>
        <v>3020.2900000000009</v>
      </c>
      <c r="Y811" s="13">
        <f t="shared" si="144"/>
        <v>9.7000032116131965E-2</v>
      </c>
    </row>
    <row r="812" spans="1:25" x14ac:dyDescent="0.3">
      <c r="A812" s="12" t="s">
        <v>1666</v>
      </c>
      <c r="B812" s="7">
        <v>44713</v>
      </c>
      <c r="C812" s="4" t="s">
        <v>1667</v>
      </c>
      <c r="D812" s="4" t="s">
        <v>46</v>
      </c>
      <c r="E812" s="4">
        <v>11526</v>
      </c>
      <c r="F812" s="4">
        <v>11.1</v>
      </c>
      <c r="G812" s="4">
        <v>36</v>
      </c>
      <c r="H812" s="4" t="s">
        <v>26</v>
      </c>
      <c r="I812" s="4" t="s">
        <v>84</v>
      </c>
      <c r="J812" s="4" t="s">
        <v>21</v>
      </c>
      <c r="K812" s="4">
        <v>147551</v>
      </c>
      <c r="L812" s="4" t="s">
        <v>29</v>
      </c>
      <c r="M812" s="4">
        <v>0.37</v>
      </c>
      <c r="N812" s="4">
        <v>0.68</v>
      </c>
      <c r="O812" s="4">
        <v>1006.42</v>
      </c>
      <c r="P812" s="4">
        <v>0</v>
      </c>
      <c r="Q812" s="6">
        <f t="shared" si="145"/>
        <v>377.89251685929651</v>
      </c>
      <c r="R812" s="6">
        <f t="shared" si="138"/>
        <v>2078.1306069346738</v>
      </c>
      <c r="S812" s="4">
        <f t="shared" si="139"/>
        <v>16950</v>
      </c>
      <c r="T812" s="4">
        <f t="shared" si="140"/>
        <v>12295.916666666666</v>
      </c>
      <c r="U812" s="4">
        <f t="shared" si="141"/>
        <v>4549.4891666666663</v>
      </c>
      <c r="V812" s="4">
        <f t="shared" ca="1" si="142"/>
        <v>45</v>
      </c>
      <c r="W812" s="20">
        <f t="shared" ca="1" si="147"/>
        <v>17005.163258668344</v>
      </c>
      <c r="X812" s="4">
        <f t="shared" si="143"/>
        <v>-10519.58</v>
      </c>
      <c r="Y812" s="13">
        <f t="shared" si="144"/>
        <v>-0.91268263057435361</v>
      </c>
    </row>
    <row r="813" spans="1:25" x14ac:dyDescent="0.3">
      <c r="A813" s="12" t="s">
        <v>1668</v>
      </c>
      <c r="B813" s="7">
        <v>45061</v>
      </c>
      <c r="C813" s="4" t="s">
        <v>1669</v>
      </c>
      <c r="D813" s="4" t="s">
        <v>25</v>
      </c>
      <c r="E813" s="4">
        <v>4374</v>
      </c>
      <c r="F813" s="4">
        <v>10.8</v>
      </c>
      <c r="G813" s="4">
        <v>36</v>
      </c>
      <c r="H813" s="4" t="s">
        <v>19</v>
      </c>
      <c r="I813" s="4" t="s">
        <v>57</v>
      </c>
      <c r="J813" s="4" t="s">
        <v>47</v>
      </c>
      <c r="K813" s="4">
        <v>62551</v>
      </c>
      <c r="L813" s="4" t="s">
        <v>29</v>
      </c>
      <c r="M813" s="4">
        <v>0.19</v>
      </c>
      <c r="N813" s="4">
        <v>0.56000000000000005</v>
      </c>
      <c r="O813" s="4">
        <v>4846.3900000000003</v>
      </c>
      <c r="P813" s="4">
        <v>0</v>
      </c>
      <c r="Q813" s="6">
        <f t="shared" si="145"/>
        <v>142.78523083972851</v>
      </c>
      <c r="R813" s="6">
        <f t="shared" si="138"/>
        <v>766.26831023022623</v>
      </c>
      <c r="S813" s="4">
        <f t="shared" si="139"/>
        <v>7810.7142857142853</v>
      </c>
      <c r="T813" s="4">
        <f t="shared" si="140"/>
        <v>5212.583333333333</v>
      </c>
      <c r="U813" s="4">
        <f t="shared" si="141"/>
        <v>990.39083333333326</v>
      </c>
      <c r="V813" s="4">
        <f t="shared" ca="1" si="142"/>
        <v>34</v>
      </c>
      <c r="W813" s="20">
        <f t="shared" ca="1" si="147"/>
        <v>4854.6978485507698</v>
      </c>
      <c r="X813" s="4">
        <f t="shared" si="143"/>
        <v>472.39000000000033</v>
      </c>
      <c r="Y813" s="13">
        <f t="shared" si="144"/>
        <v>0.10799954275262924</v>
      </c>
    </row>
    <row r="814" spans="1:25" x14ac:dyDescent="0.3">
      <c r="A814" s="12" t="s">
        <v>1670</v>
      </c>
      <c r="B814" s="7">
        <v>45002</v>
      </c>
      <c r="C814" s="4" t="s">
        <v>1671</v>
      </c>
      <c r="D814" s="4" t="s">
        <v>25</v>
      </c>
      <c r="E814" s="4">
        <v>26592</v>
      </c>
      <c r="F814" s="4">
        <v>16.3</v>
      </c>
      <c r="G814" s="4">
        <v>36</v>
      </c>
      <c r="H814" s="4" t="s">
        <v>26</v>
      </c>
      <c r="I814" s="4" t="s">
        <v>27</v>
      </c>
      <c r="J814" s="4" t="s">
        <v>21</v>
      </c>
      <c r="K814" s="4">
        <v>106384</v>
      </c>
      <c r="L814" s="4" t="s">
        <v>29</v>
      </c>
      <c r="M814" s="4">
        <v>0.48</v>
      </c>
      <c r="N814" s="4">
        <v>0.74</v>
      </c>
      <c r="O814" s="4">
        <v>9009.34</v>
      </c>
      <c r="P814" s="4">
        <v>0</v>
      </c>
      <c r="Q814" s="6">
        <f t="shared" si="145"/>
        <v>938.83915384608065</v>
      </c>
      <c r="R814" s="6">
        <f t="shared" si="138"/>
        <v>7206.2095384589047</v>
      </c>
      <c r="S814" s="4">
        <f t="shared" si="139"/>
        <v>35935.135135135133</v>
      </c>
      <c r="T814" s="4">
        <f t="shared" si="140"/>
        <v>8865.3333333333339</v>
      </c>
      <c r="U814" s="4">
        <f t="shared" si="141"/>
        <v>4255.3600000000006</v>
      </c>
      <c r="V814" s="4">
        <f t="shared" ca="1" si="142"/>
        <v>36</v>
      </c>
      <c r="W814" s="20">
        <f t="shared" ca="1" si="147"/>
        <v>33798.209538458905</v>
      </c>
      <c r="X814" s="4">
        <f t="shared" si="143"/>
        <v>-17582.66</v>
      </c>
      <c r="Y814" s="13">
        <f t="shared" si="144"/>
        <v>-0.6612011131167268</v>
      </c>
    </row>
    <row r="815" spans="1:25" x14ac:dyDescent="0.3">
      <c r="A815" s="12" t="s">
        <v>1672</v>
      </c>
      <c r="B815" s="7">
        <v>45011</v>
      </c>
      <c r="C815" s="4" t="s">
        <v>1673</v>
      </c>
      <c r="D815" s="4" t="s">
        <v>50</v>
      </c>
      <c r="E815" s="4">
        <v>29982</v>
      </c>
      <c r="F815" s="4">
        <v>7.4</v>
      </c>
      <c r="G815" s="4">
        <v>36</v>
      </c>
      <c r="H815" s="4" t="s">
        <v>19</v>
      </c>
      <c r="I815" s="4" t="s">
        <v>20</v>
      </c>
      <c r="J815" s="4" t="s">
        <v>37</v>
      </c>
      <c r="K815" s="4">
        <v>85755</v>
      </c>
      <c r="L815" s="4" t="s">
        <v>29</v>
      </c>
      <c r="M815" s="4">
        <v>0.45</v>
      </c>
      <c r="N815" s="4">
        <v>0.55000000000000004</v>
      </c>
      <c r="O815" s="4">
        <v>32200.67</v>
      </c>
      <c r="P815" s="4">
        <v>0</v>
      </c>
      <c r="Q815" s="6">
        <f t="shared" si="145"/>
        <v>931.25026775518347</v>
      </c>
      <c r="R815" s="6">
        <f t="shared" si="138"/>
        <v>3543.0096391866027</v>
      </c>
      <c r="S815" s="4">
        <f t="shared" si="139"/>
        <v>54512.727272727265</v>
      </c>
      <c r="T815" s="4">
        <f t="shared" si="140"/>
        <v>7146.25</v>
      </c>
      <c r="U815" s="4">
        <f t="shared" si="141"/>
        <v>3215.8125</v>
      </c>
      <c r="V815" s="4">
        <f t="shared" ca="1" si="142"/>
        <v>35</v>
      </c>
      <c r="W815" s="20">
        <f t="shared" ca="1" si="147"/>
        <v>32593.759371431421</v>
      </c>
      <c r="X815" s="4">
        <f t="shared" si="143"/>
        <v>2218.6699999999983</v>
      </c>
      <c r="Y815" s="13">
        <f t="shared" si="144"/>
        <v>7.4000066706690626E-2</v>
      </c>
    </row>
    <row r="816" spans="1:25" x14ac:dyDescent="0.3">
      <c r="A816" s="12" t="s">
        <v>1674</v>
      </c>
      <c r="B816" s="7">
        <v>44424</v>
      </c>
      <c r="C816" s="4" t="s">
        <v>1675</v>
      </c>
      <c r="D816" s="4" t="s">
        <v>76</v>
      </c>
      <c r="E816" s="4">
        <v>1207</v>
      </c>
      <c r="F816" s="4">
        <v>23.3</v>
      </c>
      <c r="G816" s="4">
        <v>60</v>
      </c>
      <c r="H816" s="4" t="s">
        <v>81</v>
      </c>
      <c r="I816" s="4" t="s">
        <v>84</v>
      </c>
      <c r="J816" s="4" t="s">
        <v>21</v>
      </c>
      <c r="K816" s="4">
        <v>43255</v>
      </c>
      <c r="L816" s="4" t="s">
        <v>33</v>
      </c>
      <c r="M816" s="4">
        <v>0.22</v>
      </c>
      <c r="N816" s="4">
        <v>0.59</v>
      </c>
      <c r="O816" s="4">
        <v>291.58999999999997</v>
      </c>
      <c r="P816" s="4">
        <v>508.63</v>
      </c>
      <c r="Q816" s="6">
        <f t="shared" si="145"/>
        <v>34.234261153450454</v>
      </c>
      <c r="R816" s="6">
        <f t="shared" si="138"/>
        <v>847.05566920702722</v>
      </c>
      <c r="S816" s="4">
        <f t="shared" si="139"/>
        <v>2045.7627118644068</v>
      </c>
      <c r="T816" s="4">
        <f t="shared" si="140"/>
        <v>3604.5833333333335</v>
      </c>
      <c r="U816" s="4">
        <f t="shared" si="141"/>
        <v>793.00833333333333</v>
      </c>
      <c r="V816" s="4">
        <f t="shared" ca="1" si="142"/>
        <v>55</v>
      </c>
      <c r="W816" s="20">
        <v>0</v>
      </c>
      <c r="X816" s="4">
        <f t="shared" si="143"/>
        <v>-406.78</v>
      </c>
      <c r="Y816" s="13">
        <f t="shared" si="144"/>
        <v>-0.33701739850869922</v>
      </c>
    </row>
    <row r="817" spans="1:25" x14ac:dyDescent="0.3">
      <c r="A817" s="12" t="s">
        <v>1676</v>
      </c>
      <c r="B817" s="7">
        <v>44412</v>
      </c>
      <c r="C817" s="4" t="s">
        <v>1677</v>
      </c>
      <c r="D817" s="4" t="s">
        <v>72</v>
      </c>
      <c r="E817" s="4">
        <v>36433</v>
      </c>
      <c r="F817" s="4">
        <v>19.399999999999999</v>
      </c>
      <c r="G817" s="4">
        <v>60</v>
      </c>
      <c r="H817" s="4" t="s">
        <v>26</v>
      </c>
      <c r="I817" s="4" t="s">
        <v>20</v>
      </c>
      <c r="J817" s="4" t="s">
        <v>37</v>
      </c>
      <c r="K817" s="4">
        <v>34567</v>
      </c>
      <c r="L817" s="4" t="s">
        <v>29</v>
      </c>
      <c r="M817" s="4">
        <v>0.41</v>
      </c>
      <c r="N817" s="4">
        <v>0.95</v>
      </c>
      <c r="O817" s="4">
        <v>16706.38</v>
      </c>
      <c r="P817" s="4">
        <v>0</v>
      </c>
      <c r="Q817" s="6">
        <f t="shared" si="145"/>
        <v>953.12891273748585</v>
      </c>
      <c r="R817" s="6">
        <f t="shared" si="138"/>
        <v>20754.734764249151</v>
      </c>
      <c r="S817" s="4">
        <f t="shared" si="139"/>
        <v>38350.526315789473</v>
      </c>
      <c r="T817" s="4">
        <f t="shared" si="140"/>
        <v>2880.5833333333335</v>
      </c>
      <c r="U817" s="4">
        <f t="shared" si="141"/>
        <v>1181.0391666666667</v>
      </c>
      <c r="V817" s="4">
        <f t="shared" ca="1" si="142"/>
        <v>55</v>
      </c>
      <c r="W817" s="20">
        <f t="shared" ref="W817:W823" ca="1" si="148">V817*Q817</f>
        <v>52422.090200561724</v>
      </c>
      <c r="X817" s="4">
        <f t="shared" si="143"/>
        <v>-19726.62</v>
      </c>
      <c r="Y817" s="13">
        <f t="shared" si="144"/>
        <v>-0.54144923558312519</v>
      </c>
    </row>
    <row r="818" spans="1:25" x14ac:dyDescent="0.3">
      <c r="A818" s="12" t="s">
        <v>1678</v>
      </c>
      <c r="B818" s="7">
        <v>45144</v>
      </c>
      <c r="C818" s="4" t="s">
        <v>1679</v>
      </c>
      <c r="D818" s="4" t="s">
        <v>56</v>
      </c>
      <c r="E818" s="4">
        <v>24197</v>
      </c>
      <c r="F818" s="4">
        <v>13</v>
      </c>
      <c r="G818" s="4">
        <v>60</v>
      </c>
      <c r="H818" s="4" t="s">
        <v>19</v>
      </c>
      <c r="I818" s="4" t="s">
        <v>27</v>
      </c>
      <c r="J818" s="4" t="s">
        <v>47</v>
      </c>
      <c r="K818" s="4">
        <v>78847</v>
      </c>
      <c r="L818" s="4" t="s">
        <v>22</v>
      </c>
      <c r="M818" s="4">
        <v>0.42</v>
      </c>
      <c r="N818" s="4">
        <v>0.74</v>
      </c>
      <c r="O818" s="4">
        <v>27342.61</v>
      </c>
      <c r="P818" s="4">
        <v>0</v>
      </c>
      <c r="Q818" s="6">
        <f t="shared" si="145"/>
        <v>550.55610845108868</v>
      </c>
      <c r="R818" s="6">
        <f t="shared" si="138"/>
        <v>8836.3665070653224</v>
      </c>
      <c r="S818" s="4">
        <f t="shared" si="139"/>
        <v>32698.64864864865</v>
      </c>
      <c r="T818" s="4">
        <f t="shared" si="140"/>
        <v>6570.583333333333</v>
      </c>
      <c r="U818" s="4">
        <f t="shared" si="141"/>
        <v>2759.645</v>
      </c>
      <c r="V818" s="4">
        <f t="shared" ca="1" si="142"/>
        <v>31</v>
      </c>
      <c r="W818" s="20">
        <f t="shared" ca="1" si="148"/>
        <v>17067.239361983749</v>
      </c>
      <c r="X818" s="4">
        <f t="shared" si="143"/>
        <v>3145.6100000000006</v>
      </c>
      <c r="Y818" s="13">
        <f t="shared" si="144"/>
        <v>0.13000000000000003</v>
      </c>
    </row>
    <row r="819" spans="1:25" x14ac:dyDescent="0.3">
      <c r="A819" s="12" t="s">
        <v>1680</v>
      </c>
      <c r="B819" s="7">
        <v>44211</v>
      </c>
      <c r="C819" s="4" t="s">
        <v>1681</v>
      </c>
      <c r="D819" s="4" t="s">
        <v>65</v>
      </c>
      <c r="E819" s="4">
        <v>34400</v>
      </c>
      <c r="F819" s="4">
        <v>8.1999999999999993</v>
      </c>
      <c r="G819" s="4">
        <v>36</v>
      </c>
      <c r="H819" s="4" t="s">
        <v>19</v>
      </c>
      <c r="I819" s="4" t="s">
        <v>20</v>
      </c>
      <c r="J819" s="4" t="s">
        <v>28</v>
      </c>
      <c r="K819" s="4">
        <v>134817</v>
      </c>
      <c r="L819" s="4" t="s">
        <v>29</v>
      </c>
      <c r="M819" s="4">
        <v>0.49</v>
      </c>
      <c r="N819" s="4">
        <v>0.63</v>
      </c>
      <c r="O819" s="4">
        <v>37220.800000000003</v>
      </c>
      <c r="P819" s="4">
        <v>0</v>
      </c>
      <c r="Q819" s="6">
        <f t="shared" si="145"/>
        <v>1081.147670909113</v>
      </c>
      <c r="R819" s="6">
        <f t="shared" si="138"/>
        <v>4521.3161527280681</v>
      </c>
      <c r="S819" s="4">
        <f t="shared" si="139"/>
        <v>54603.174603174601</v>
      </c>
      <c r="T819" s="4">
        <f t="shared" si="140"/>
        <v>11234.75</v>
      </c>
      <c r="U819" s="4">
        <f t="shared" si="141"/>
        <v>5505.0275000000001</v>
      </c>
      <c r="V819" s="4">
        <f t="shared" ca="1" si="142"/>
        <v>62</v>
      </c>
      <c r="W819" s="20">
        <f t="shared" ca="1" si="148"/>
        <v>67031.155596365003</v>
      </c>
      <c r="X819" s="4">
        <f t="shared" si="143"/>
        <v>2820.8000000000029</v>
      </c>
      <c r="Y819" s="13">
        <f t="shared" si="144"/>
        <v>8.2000000000000087E-2</v>
      </c>
    </row>
    <row r="820" spans="1:25" x14ac:dyDescent="0.3">
      <c r="A820" s="12" t="s">
        <v>1682</v>
      </c>
      <c r="B820" s="7">
        <v>44243</v>
      </c>
      <c r="C820" s="4" t="s">
        <v>1683</v>
      </c>
      <c r="D820" s="4" t="s">
        <v>53</v>
      </c>
      <c r="E820" s="4">
        <v>4083</v>
      </c>
      <c r="F820" s="4">
        <v>22.6</v>
      </c>
      <c r="G820" s="4">
        <v>36</v>
      </c>
      <c r="H820" s="4" t="s">
        <v>19</v>
      </c>
      <c r="I820" s="4" t="s">
        <v>57</v>
      </c>
      <c r="J820" s="4" t="s">
        <v>47</v>
      </c>
      <c r="K820" s="4">
        <v>78003</v>
      </c>
      <c r="L820" s="4" t="s">
        <v>33</v>
      </c>
      <c r="M820" s="4">
        <v>0.34</v>
      </c>
      <c r="N820" s="4">
        <v>0.95</v>
      </c>
      <c r="O820" s="4">
        <v>5005.76</v>
      </c>
      <c r="P820" s="4">
        <v>0</v>
      </c>
      <c r="Q820" s="6">
        <f t="shared" si="145"/>
        <v>157.2018268548093</v>
      </c>
      <c r="R820" s="6">
        <f t="shared" si="138"/>
        <v>1576.2657667731346</v>
      </c>
      <c r="S820" s="4">
        <f t="shared" si="139"/>
        <v>4297.8947368421059</v>
      </c>
      <c r="T820" s="4">
        <f t="shared" si="140"/>
        <v>6500.25</v>
      </c>
      <c r="U820" s="4">
        <f t="shared" si="141"/>
        <v>2210.085</v>
      </c>
      <c r="V820" s="4">
        <f t="shared" ca="1" si="142"/>
        <v>61</v>
      </c>
      <c r="W820" s="20">
        <f t="shared" ca="1" si="148"/>
        <v>9589.3114381433679</v>
      </c>
      <c r="X820" s="4">
        <f t="shared" si="143"/>
        <v>922.76000000000022</v>
      </c>
      <c r="Y820" s="13">
        <f t="shared" si="144"/>
        <v>0.22600048983590504</v>
      </c>
    </row>
    <row r="821" spans="1:25" x14ac:dyDescent="0.3">
      <c r="A821" s="12" t="s">
        <v>1684</v>
      </c>
      <c r="B821" s="7">
        <v>44520</v>
      </c>
      <c r="C821" s="4" t="s">
        <v>1685</v>
      </c>
      <c r="D821" s="4" t="s">
        <v>53</v>
      </c>
      <c r="E821" s="4">
        <v>30328</v>
      </c>
      <c r="F821" s="4">
        <v>21.5</v>
      </c>
      <c r="G821" s="4">
        <v>36</v>
      </c>
      <c r="H821" s="4" t="s">
        <v>26</v>
      </c>
      <c r="I821" s="4" t="s">
        <v>73</v>
      </c>
      <c r="J821" s="4" t="s">
        <v>21</v>
      </c>
      <c r="K821" s="4">
        <v>50389</v>
      </c>
      <c r="L821" s="4" t="s">
        <v>29</v>
      </c>
      <c r="M821" s="4">
        <v>0.13</v>
      </c>
      <c r="N821" s="4">
        <v>0.93</v>
      </c>
      <c r="O821" s="4">
        <v>6473.06</v>
      </c>
      <c r="P821" s="4">
        <v>0</v>
      </c>
      <c r="Q821" s="6">
        <f t="shared" si="145"/>
        <v>1150.4099973559501</v>
      </c>
      <c r="R821" s="6">
        <f t="shared" si="138"/>
        <v>11086.7599048142</v>
      </c>
      <c r="S821" s="4">
        <f t="shared" si="139"/>
        <v>32610.752688172041</v>
      </c>
      <c r="T821" s="4">
        <f t="shared" si="140"/>
        <v>4199.083333333333</v>
      </c>
      <c r="U821" s="4">
        <f t="shared" si="141"/>
        <v>545.88083333333327</v>
      </c>
      <c r="V821" s="4">
        <f t="shared" ca="1" si="142"/>
        <v>51</v>
      </c>
      <c r="W821" s="20">
        <f t="shared" ca="1" si="148"/>
        <v>58670.909865153451</v>
      </c>
      <c r="X821" s="4">
        <f t="shared" si="143"/>
        <v>-23854.94</v>
      </c>
      <c r="Y821" s="13">
        <f t="shared" si="144"/>
        <v>-0.78656489053020306</v>
      </c>
    </row>
    <row r="822" spans="1:25" x14ac:dyDescent="0.3">
      <c r="A822" s="12" t="s">
        <v>1686</v>
      </c>
      <c r="B822" s="7">
        <v>45040</v>
      </c>
      <c r="C822" s="4" t="s">
        <v>1687</v>
      </c>
      <c r="D822" s="4" t="s">
        <v>25</v>
      </c>
      <c r="E822" s="4">
        <v>21103</v>
      </c>
      <c r="F822" s="4">
        <v>19.399999999999999</v>
      </c>
      <c r="G822" s="4">
        <v>60</v>
      </c>
      <c r="H822" s="4" t="s">
        <v>26</v>
      </c>
      <c r="I822" s="4" t="s">
        <v>57</v>
      </c>
      <c r="J822" s="4" t="s">
        <v>37</v>
      </c>
      <c r="K822" s="4">
        <v>74523</v>
      </c>
      <c r="L822" s="4" t="s">
        <v>29</v>
      </c>
      <c r="M822" s="4">
        <v>0.36</v>
      </c>
      <c r="N822" s="4">
        <v>0.7</v>
      </c>
      <c r="O822" s="4">
        <v>3782.05</v>
      </c>
      <c r="P822" s="4">
        <v>0</v>
      </c>
      <c r="Q822" s="6">
        <f t="shared" si="145"/>
        <v>552.07859483158586</v>
      </c>
      <c r="R822" s="6">
        <f t="shared" si="138"/>
        <v>12021.715689895151</v>
      </c>
      <c r="S822" s="4">
        <f t="shared" si="139"/>
        <v>30147.142857142859</v>
      </c>
      <c r="T822" s="4">
        <f t="shared" si="140"/>
        <v>6210.25</v>
      </c>
      <c r="U822" s="4">
        <f t="shared" si="141"/>
        <v>2235.69</v>
      </c>
      <c r="V822" s="4">
        <f t="shared" ca="1" si="142"/>
        <v>34</v>
      </c>
      <c r="W822" s="20">
        <f t="shared" ca="1" si="148"/>
        <v>18770.67222427392</v>
      </c>
      <c r="X822" s="4">
        <f t="shared" si="143"/>
        <v>-17320.95</v>
      </c>
      <c r="Y822" s="13">
        <f t="shared" si="144"/>
        <v>-0.82078140548737155</v>
      </c>
    </row>
    <row r="823" spans="1:25" x14ac:dyDescent="0.3">
      <c r="A823" s="12" t="s">
        <v>1688</v>
      </c>
      <c r="B823" s="7">
        <v>44326</v>
      </c>
      <c r="C823" s="4" t="s">
        <v>1689</v>
      </c>
      <c r="D823" s="4" t="s">
        <v>56</v>
      </c>
      <c r="E823" s="4">
        <v>11754</v>
      </c>
      <c r="F823" s="4">
        <v>10.4</v>
      </c>
      <c r="G823" s="4">
        <v>60</v>
      </c>
      <c r="H823" s="4" t="s">
        <v>19</v>
      </c>
      <c r="I823" s="4" t="s">
        <v>20</v>
      </c>
      <c r="J823" s="4" t="s">
        <v>21</v>
      </c>
      <c r="K823" s="4">
        <v>91576</v>
      </c>
      <c r="L823" s="4" t="s">
        <v>33</v>
      </c>
      <c r="M823" s="4">
        <v>0.35</v>
      </c>
      <c r="N823" s="4">
        <v>0.62</v>
      </c>
      <c r="O823" s="4">
        <v>12976.42</v>
      </c>
      <c r="P823" s="4">
        <v>0</v>
      </c>
      <c r="Q823" s="6">
        <f t="shared" si="145"/>
        <v>252.05742720223938</v>
      </c>
      <c r="R823" s="6">
        <f t="shared" si="138"/>
        <v>3369.4456321343623</v>
      </c>
      <c r="S823" s="4">
        <f t="shared" si="139"/>
        <v>18958.064516129034</v>
      </c>
      <c r="T823" s="4">
        <f t="shared" si="140"/>
        <v>7631.333333333333</v>
      </c>
      <c r="U823" s="4">
        <f t="shared" si="141"/>
        <v>2670.9666666666662</v>
      </c>
      <c r="V823" s="4">
        <f t="shared" ca="1" si="142"/>
        <v>58</v>
      </c>
      <c r="W823" s="20">
        <f t="shared" ca="1" si="148"/>
        <v>14619.330777729883</v>
      </c>
      <c r="X823" s="4">
        <f t="shared" si="143"/>
        <v>1222.42</v>
      </c>
      <c r="Y823" s="13">
        <f t="shared" si="144"/>
        <v>0.10400034030968182</v>
      </c>
    </row>
    <row r="824" spans="1:25" x14ac:dyDescent="0.3">
      <c r="A824" s="12" t="s">
        <v>1690</v>
      </c>
      <c r="B824" s="7">
        <v>44291</v>
      </c>
      <c r="C824" s="4" t="s">
        <v>1691</v>
      </c>
      <c r="D824" s="4" t="s">
        <v>53</v>
      </c>
      <c r="E824" s="4">
        <v>35447</v>
      </c>
      <c r="F824" s="4">
        <v>13</v>
      </c>
      <c r="G824" s="4">
        <v>36</v>
      </c>
      <c r="H824" s="4" t="s">
        <v>81</v>
      </c>
      <c r="I824" s="4" t="s">
        <v>57</v>
      </c>
      <c r="J824" s="4" t="s">
        <v>21</v>
      </c>
      <c r="K824" s="4">
        <v>73919</v>
      </c>
      <c r="L824" s="4" t="s">
        <v>29</v>
      </c>
      <c r="M824" s="4">
        <v>0.36</v>
      </c>
      <c r="N824" s="4">
        <v>0.88</v>
      </c>
      <c r="O824" s="4">
        <v>8869.57</v>
      </c>
      <c r="P824" s="4">
        <v>8023.15</v>
      </c>
      <c r="Q824" s="6">
        <f t="shared" si="145"/>
        <v>1194.3495166606835</v>
      </c>
      <c r="R824" s="6">
        <f t="shared" si="138"/>
        <v>7549.5825997846114</v>
      </c>
      <c r="S824" s="4">
        <f t="shared" si="139"/>
        <v>40280.681818181816</v>
      </c>
      <c r="T824" s="4">
        <f t="shared" si="140"/>
        <v>6159.916666666667</v>
      </c>
      <c r="U824" s="4">
        <f t="shared" si="141"/>
        <v>2217.5700000000002</v>
      </c>
      <c r="V824" s="4">
        <f t="shared" ca="1" si="142"/>
        <v>59</v>
      </c>
      <c r="W824" s="20">
        <v>0</v>
      </c>
      <c r="X824" s="4">
        <f t="shared" si="143"/>
        <v>-18554.28</v>
      </c>
      <c r="Y824" s="13">
        <f t="shared" si="144"/>
        <v>-0.5234372443366152</v>
      </c>
    </row>
    <row r="825" spans="1:25" x14ac:dyDescent="0.3">
      <c r="A825" s="12" t="s">
        <v>1692</v>
      </c>
      <c r="B825" s="7">
        <v>44823</v>
      </c>
      <c r="C825" s="4" t="s">
        <v>1693</v>
      </c>
      <c r="D825" s="4" t="s">
        <v>40</v>
      </c>
      <c r="E825" s="4">
        <v>16901</v>
      </c>
      <c r="F825" s="4">
        <v>7.1</v>
      </c>
      <c r="G825" s="4">
        <v>60</v>
      </c>
      <c r="H825" s="4" t="s">
        <v>19</v>
      </c>
      <c r="I825" s="4" t="s">
        <v>27</v>
      </c>
      <c r="J825" s="4" t="s">
        <v>28</v>
      </c>
      <c r="K825" s="4">
        <v>112103</v>
      </c>
      <c r="L825" s="4" t="s">
        <v>33</v>
      </c>
      <c r="M825" s="4">
        <v>0.22</v>
      </c>
      <c r="N825" s="4">
        <v>0.82</v>
      </c>
      <c r="O825" s="4">
        <v>18100.97</v>
      </c>
      <c r="P825" s="4">
        <v>0</v>
      </c>
      <c r="Q825" s="6">
        <f t="shared" si="145"/>
        <v>335.45802305887452</v>
      </c>
      <c r="R825" s="6">
        <f t="shared" si="138"/>
        <v>3226.4813835324712</v>
      </c>
      <c r="S825" s="4">
        <f t="shared" si="139"/>
        <v>20610.9756097561</v>
      </c>
      <c r="T825" s="4">
        <f t="shared" si="140"/>
        <v>9341.9166666666661</v>
      </c>
      <c r="U825" s="4">
        <f t="shared" si="141"/>
        <v>2055.2216666666664</v>
      </c>
      <c r="V825" s="4">
        <f t="shared" ca="1" si="142"/>
        <v>42</v>
      </c>
      <c r="W825" s="20">
        <f ca="1">V825*Q825</f>
        <v>14089.236968472729</v>
      </c>
      <c r="X825" s="4">
        <f t="shared" si="143"/>
        <v>1199.9700000000012</v>
      </c>
      <c r="Y825" s="13">
        <f t="shared" si="144"/>
        <v>7.0999940831903502E-2</v>
      </c>
    </row>
    <row r="826" spans="1:25" x14ac:dyDescent="0.3">
      <c r="A826" s="12" t="s">
        <v>1694</v>
      </c>
      <c r="B826" s="7">
        <v>44951</v>
      </c>
      <c r="C826" s="4" t="s">
        <v>1695</v>
      </c>
      <c r="D826" s="4" t="s">
        <v>40</v>
      </c>
      <c r="E826" s="4">
        <v>34004</v>
      </c>
      <c r="F826" s="4">
        <v>8.8000000000000007</v>
      </c>
      <c r="G826" s="4">
        <v>36</v>
      </c>
      <c r="H826" s="4" t="s">
        <v>19</v>
      </c>
      <c r="I826" s="4" t="s">
        <v>27</v>
      </c>
      <c r="J826" s="4" t="s">
        <v>21</v>
      </c>
      <c r="K826" s="4">
        <v>33358</v>
      </c>
      <c r="L826" s="4" t="s">
        <v>29</v>
      </c>
      <c r="M826" s="4">
        <v>0.44</v>
      </c>
      <c r="N826" s="4">
        <v>0.81</v>
      </c>
      <c r="O826" s="4">
        <v>36996.35</v>
      </c>
      <c r="P826" s="4">
        <v>0</v>
      </c>
      <c r="Q826" s="6">
        <f t="shared" si="145"/>
        <v>1078.1557102704769</v>
      </c>
      <c r="R826" s="6">
        <f t="shared" si="138"/>
        <v>4809.6055697371703</v>
      </c>
      <c r="S826" s="4">
        <f t="shared" si="139"/>
        <v>41980.246913580246</v>
      </c>
      <c r="T826" s="4">
        <f t="shared" si="140"/>
        <v>2779.8333333333335</v>
      </c>
      <c r="U826" s="4">
        <f t="shared" si="141"/>
        <v>1223.1266666666668</v>
      </c>
      <c r="V826" s="4">
        <f t="shared" ca="1" si="142"/>
        <v>37</v>
      </c>
      <c r="W826" s="20">
        <f ca="1">V826*Q826</f>
        <v>39891.761280007646</v>
      </c>
      <c r="X826" s="4">
        <f t="shared" si="143"/>
        <v>2992.3499999999985</v>
      </c>
      <c r="Y826" s="13">
        <f t="shared" si="144"/>
        <v>8.7999941183390148E-2</v>
      </c>
    </row>
    <row r="827" spans="1:25" x14ac:dyDescent="0.3">
      <c r="A827" s="12" t="s">
        <v>1696</v>
      </c>
      <c r="B827" s="7">
        <v>44990</v>
      </c>
      <c r="C827" s="4" t="s">
        <v>1697</v>
      </c>
      <c r="D827" s="4" t="s">
        <v>76</v>
      </c>
      <c r="E827" s="4">
        <v>8446</v>
      </c>
      <c r="F827" s="4">
        <v>20.7</v>
      </c>
      <c r="G827" s="4">
        <v>60</v>
      </c>
      <c r="H827" s="4" t="s">
        <v>81</v>
      </c>
      <c r="I827" s="4" t="s">
        <v>20</v>
      </c>
      <c r="J827" s="4" t="s">
        <v>28</v>
      </c>
      <c r="K827" s="4">
        <v>118535</v>
      </c>
      <c r="L827" s="4" t="s">
        <v>22</v>
      </c>
      <c r="M827" s="4">
        <v>0.48</v>
      </c>
      <c r="N827" s="4">
        <v>0.9</v>
      </c>
      <c r="O827" s="4">
        <v>1999.88</v>
      </c>
      <c r="P827" s="4">
        <v>1314.2</v>
      </c>
      <c r="Q827" s="6">
        <f t="shared" si="145"/>
        <v>227.06966168088741</v>
      </c>
      <c r="R827" s="6">
        <f t="shared" si="138"/>
        <v>5178.1797008532449</v>
      </c>
      <c r="S827" s="4">
        <f t="shared" si="139"/>
        <v>9384.4444444444434</v>
      </c>
      <c r="T827" s="4">
        <f t="shared" si="140"/>
        <v>9877.9166666666661</v>
      </c>
      <c r="U827" s="4">
        <f t="shared" si="141"/>
        <v>4741.3999999999996</v>
      </c>
      <c r="V827" s="4">
        <f t="shared" ca="1" si="142"/>
        <v>36</v>
      </c>
      <c r="W827" s="20">
        <v>0</v>
      </c>
      <c r="X827" s="4">
        <f t="shared" si="143"/>
        <v>-5131.92</v>
      </c>
      <c r="Y827" s="13">
        <f t="shared" si="144"/>
        <v>-0.60761543926118877</v>
      </c>
    </row>
    <row r="828" spans="1:25" x14ac:dyDescent="0.3">
      <c r="A828" s="12" t="s">
        <v>1698</v>
      </c>
      <c r="B828" s="7">
        <v>44265</v>
      </c>
      <c r="C828" s="4" t="s">
        <v>1699</v>
      </c>
      <c r="D828" s="4" t="s">
        <v>56</v>
      </c>
      <c r="E828" s="4">
        <v>38211</v>
      </c>
      <c r="F828" s="4">
        <v>19.3</v>
      </c>
      <c r="G828" s="4">
        <v>60</v>
      </c>
      <c r="H828" s="4" t="s">
        <v>26</v>
      </c>
      <c r="I828" s="4" t="s">
        <v>27</v>
      </c>
      <c r="J828" s="4" t="s">
        <v>37</v>
      </c>
      <c r="K828" s="4">
        <v>137894</v>
      </c>
      <c r="L828" s="4" t="s">
        <v>29</v>
      </c>
      <c r="M828" s="4">
        <v>0.19</v>
      </c>
      <c r="N828" s="4">
        <v>0.81</v>
      </c>
      <c r="O828" s="4">
        <v>7832.97</v>
      </c>
      <c r="P828" s="4">
        <v>0</v>
      </c>
      <c r="Q828" s="6">
        <f t="shared" si="145"/>
        <v>997.53261812882602</v>
      </c>
      <c r="R828" s="6">
        <f t="shared" si="138"/>
        <v>21640.957087729563</v>
      </c>
      <c r="S828" s="4">
        <f t="shared" si="139"/>
        <v>47174.074074074073</v>
      </c>
      <c r="T828" s="4">
        <f t="shared" si="140"/>
        <v>11491.166666666666</v>
      </c>
      <c r="U828" s="4">
        <f t="shared" si="141"/>
        <v>2183.3216666666667</v>
      </c>
      <c r="V828" s="4">
        <f t="shared" ca="1" si="142"/>
        <v>60</v>
      </c>
      <c r="W828" s="20">
        <f t="shared" ref="W828:W837" ca="1" si="149">V828*Q828</f>
        <v>59851.957087729563</v>
      </c>
      <c r="X828" s="4">
        <f t="shared" si="143"/>
        <v>-30378.03</v>
      </c>
      <c r="Y828" s="13">
        <f t="shared" si="144"/>
        <v>-0.79500745858522415</v>
      </c>
    </row>
    <row r="829" spans="1:25" x14ac:dyDescent="0.3">
      <c r="A829" s="12" t="s">
        <v>1700</v>
      </c>
      <c r="B829" s="7">
        <v>44207</v>
      </c>
      <c r="C829" s="4" t="s">
        <v>1701</v>
      </c>
      <c r="D829" s="4" t="s">
        <v>40</v>
      </c>
      <c r="E829" s="4">
        <v>30301</v>
      </c>
      <c r="F829" s="4">
        <v>16.899999999999999</v>
      </c>
      <c r="G829" s="4">
        <v>60</v>
      </c>
      <c r="H829" s="4" t="s">
        <v>19</v>
      </c>
      <c r="I829" s="4" t="s">
        <v>20</v>
      </c>
      <c r="J829" s="4" t="s">
        <v>37</v>
      </c>
      <c r="K829" s="4">
        <v>106524</v>
      </c>
      <c r="L829" s="4" t="s">
        <v>33</v>
      </c>
      <c r="M829" s="4">
        <v>0.14000000000000001</v>
      </c>
      <c r="N829" s="4">
        <v>0.63</v>
      </c>
      <c r="O829" s="4">
        <v>35421.870000000003</v>
      </c>
      <c r="P829" s="4">
        <v>0</v>
      </c>
      <c r="Q829" s="6">
        <f t="shared" si="145"/>
        <v>751.42958814318627</v>
      </c>
      <c r="R829" s="6">
        <f t="shared" si="138"/>
        <v>14784.775288591176</v>
      </c>
      <c r="S829" s="4">
        <f t="shared" si="139"/>
        <v>48096.825396825399</v>
      </c>
      <c r="T829" s="4">
        <f t="shared" si="140"/>
        <v>8877</v>
      </c>
      <c r="U829" s="4">
        <f t="shared" si="141"/>
        <v>1242.7800000000002</v>
      </c>
      <c r="V829" s="4">
        <f t="shared" ca="1" si="142"/>
        <v>62</v>
      </c>
      <c r="W829" s="20">
        <f t="shared" ca="1" si="149"/>
        <v>46588.634464877548</v>
      </c>
      <c r="X829" s="4">
        <f t="shared" si="143"/>
        <v>5120.8700000000026</v>
      </c>
      <c r="Y829" s="13">
        <f t="shared" si="144"/>
        <v>0.16900003300221123</v>
      </c>
    </row>
    <row r="830" spans="1:25" x14ac:dyDescent="0.3">
      <c r="A830" s="12" t="s">
        <v>1702</v>
      </c>
      <c r="B830" s="7">
        <v>45068</v>
      </c>
      <c r="C830" s="4" t="s">
        <v>1703</v>
      </c>
      <c r="D830" s="4" t="s">
        <v>40</v>
      </c>
      <c r="E830" s="4">
        <v>27116</v>
      </c>
      <c r="F830" s="4">
        <v>22.9</v>
      </c>
      <c r="G830" s="4">
        <v>36</v>
      </c>
      <c r="H830" s="4" t="s">
        <v>26</v>
      </c>
      <c r="I830" s="4" t="s">
        <v>73</v>
      </c>
      <c r="J830" s="4" t="s">
        <v>28</v>
      </c>
      <c r="K830" s="4">
        <v>135982</v>
      </c>
      <c r="L830" s="4" t="s">
        <v>22</v>
      </c>
      <c r="M830" s="4">
        <v>0.18</v>
      </c>
      <c r="N830" s="4">
        <v>0.81</v>
      </c>
      <c r="O830" s="4">
        <v>9820.9699999999993</v>
      </c>
      <c r="P830" s="4">
        <v>0</v>
      </c>
      <c r="Q830" s="6">
        <f t="shared" si="145"/>
        <v>1048.2400392742977</v>
      </c>
      <c r="R830" s="6">
        <f t="shared" si="138"/>
        <v>10620.64141387472</v>
      </c>
      <c r="S830" s="4">
        <f t="shared" si="139"/>
        <v>33476.543209876538</v>
      </c>
      <c r="T830" s="4">
        <f t="shared" si="140"/>
        <v>11331.833333333334</v>
      </c>
      <c r="U830" s="4">
        <f t="shared" si="141"/>
        <v>2039.73</v>
      </c>
      <c r="V830" s="4">
        <f t="shared" ca="1" si="142"/>
        <v>33</v>
      </c>
      <c r="W830" s="20">
        <f t="shared" ca="1" si="149"/>
        <v>34591.921296051827</v>
      </c>
      <c r="X830" s="4">
        <f t="shared" si="143"/>
        <v>-17295.03</v>
      </c>
      <c r="Y830" s="13">
        <f t="shared" si="144"/>
        <v>-0.63781641835078917</v>
      </c>
    </row>
    <row r="831" spans="1:25" x14ac:dyDescent="0.3">
      <c r="A831" s="12" t="s">
        <v>1704</v>
      </c>
      <c r="B831" s="7">
        <v>44746</v>
      </c>
      <c r="C831" s="4" t="s">
        <v>1705</v>
      </c>
      <c r="D831" s="4" t="s">
        <v>25</v>
      </c>
      <c r="E831" s="4">
        <v>19752</v>
      </c>
      <c r="F831" s="4">
        <v>16.7</v>
      </c>
      <c r="G831" s="4">
        <v>60</v>
      </c>
      <c r="H831" s="4" t="s">
        <v>60</v>
      </c>
      <c r="I831" s="4" t="s">
        <v>57</v>
      </c>
      <c r="J831" s="4" t="s">
        <v>47</v>
      </c>
      <c r="K831" s="4">
        <v>127057</v>
      </c>
      <c r="L831" s="4" t="s">
        <v>33</v>
      </c>
      <c r="M831" s="4">
        <v>0.43</v>
      </c>
      <c r="N831" s="4">
        <v>0.64</v>
      </c>
      <c r="O831" s="4">
        <v>0</v>
      </c>
      <c r="P831" s="4">
        <v>0</v>
      </c>
      <c r="Q831" s="6">
        <f t="shared" si="145"/>
        <v>487.70754484049507</v>
      </c>
      <c r="R831" s="6">
        <f t="shared" si="138"/>
        <v>9510.4526904297054</v>
      </c>
      <c r="S831" s="4">
        <f t="shared" si="139"/>
        <v>30862.5</v>
      </c>
      <c r="T831" s="4">
        <f t="shared" si="140"/>
        <v>10588.083333333334</v>
      </c>
      <c r="U831" s="4">
        <f t="shared" si="141"/>
        <v>4552.8758333333335</v>
      </c>
      <c r="V831" s="4">
        <f t="shared" ca="1" si="142"/>
        <v>44</v>
      </c>
      <c r="W831" s="20">
        <f t="shared" ca="1" si="149"/>
        <v>21459.131972981784</v>
      </c>
      <c r="X831" s="4">
        <f t="shared" si="143"/>
        <v>-19752</v>
      </c>
      <c r="Y831" s="13">
        <f t="shared" si="144"/>
        <v>-1</v>
      </c>
    </row>
    <row r="832" spans="1:25" x14ac:dyDescent="0.3">
      <c r="A832" s="12" t="s">
        <v>1706</v>
      </c>
      <c r="B832" s="7">
        <v>44908</v>
      </c>
      <c r="C832" s="4" t="s">
        <v>1707</v>
      </c>
      <c r="D832" s="4" t="s">
        <v>53</v>
      </c>
      <c r="E832" s="4">
        <v>33376</v>
      </c>
      <c r="F832" s="4">
        <v>14.3</v>
      </c>
      <c r="G832" s="4">
        <v>60</v>
      </c>
      <c r="H832" s="4" t="s">
        <v>26</v>
      </c>
      <c r="I832" s="4" t="s">
        <v>73</v>
      </c>
      <c r="J832" s="4" t="s">
        <v>37</v>
      </c>
      <c r="K832" s="4">
        <v>35698</v>
      </c>
      <c r="L832" s="4" t="s">
        <v>29</v>
      </c>
      <c r="M832" s="4">
        <v>0.37</v>
      </c>
      <c r="N832" s="4">
        <v>0.84</v>
      </c>
      <c r="O832" s="4">
        <v>13076.81</v>
      </c>
      <c r="P832" s="4">
        <v>0</v>
      </c>
      <c r="Q832" s="6">
        <f t="shared" si="145"/>
        <v>781.80190586429865</v>
      </c>
      <c r="R832" s="6">
        <f t="shared" si="138"/>
        <v>13532.114351857919</v>
      </c>
      <c r="S832" s="4">
        <f t="shared" si="139"/>
        <v>39733.333333333336</v>
      </c>
      <c r="T832" s="4">
        <f t="shared" si="140"/>
        <v>2974.8333333333335</v>
      </c>
      <c r="U832" s="4">
        <f t="shared" si="141"/>
        <v>1100.6883333333333</v>
      </c>
      <c r="V832" s="4">
        <f t="shared" ca="1" si="142"/>
        <v>39</v>
      </c>
      <c r="W832" s="20">
        <f t="shared" ca="1" si="149"/>
        <v>30490.274328707648</v>
      </c>
      <c r="X832" s="4">
        <f t="shared" si="143"/>
        <v>-20299.190000000002</v>
      </c>
      <c r="Y832" s="13">
        <f t="shared" si="144"/>
        <v>-0.60819720757430495</v>
      </c>
    </row>
    <row r="833" spans="1:25" x14ac:dyDescent="0.3">
      <c r="A833" s="12" t="s">
        <v>1708</v>
      </c>
      <c r="B833" s="7">
        <v>44219</v>
      </c>
      <c r="C833" s="4" t="s">
        <v>1709</v>
      </c>
      <c r="D833" s="4" t="s">
        <v>76</v>
      </c>
      <c r="E833" s="4">
        <v>17669</v>
      </c>
      <c r="F833" s="4">
        <v>11.8</v>
      </c>
      <c r="G833" s="4">
        <v>36</v>
      </c>
      <c r="H833" s="4" t="s">
        <v>26</v>
      </c>
      <c r="I833" s="4" t="s">
        <v>57</v>
      </c>
      <c r="J833" s="4" t="s">
        <v>47</v>
      </c>
      <c r="K833" s="4">
        <v>96809</v>
      </c>
      <c r="L833" s="4" t="s">
        <v>22</v>
      </c>
      <c r="M833" s="4">
        <v>0.35</v>
      </c>
      <c r="N833" s="4">
        <v>0.78</v>
      </c>
      <c r="O833" s="4">
        <v>7665.57</v>
      </c>
      <c r="P833" s="4">
        <v>0</v>
      </c>
      <c r="Q833" s="6">
        <f t="shared" si="145"/>
        <v>585.17725889853853</v>
      </c>
      <c r="R833" s="6">
        <f t="shared" si="138"/>
        <v>3397.3813203473874</v>
      </c>
      <c r="S833" s="4">
        <f t="shared" si="139"/>
        <v>22652.564102564102</v>
      </c>
      <c r="T833" s="4">
        <f t="shared" si="140"/>
        <v>8067.416666666667</v>
      </c>
      <c r="U833" s="4">
        <f t="shared" si="141"/>
        <v>2823.5958333333333</v>
      </c>
      <c r="V833" s="4">
        <f t="shared" ca="1" si="142"/>
        <v>61</v>
      </c>
      <c r="W833" s="20">
        <f t="shared" ca="1" si="149"/>
        <v>35695.812792810852</v>
      </c>
      <c r="X833" s="4">
        <f t="shared" si="143"/>
        <v>-10003.43</v>
      </c>
      <c r="Y833" s="13">
        <f t="shared" si="144"/>
        <v>-0.56615711132491942</v>
      </c>
    </row>
    <row r="834" spans="1:25" x14ac:dyDescent="0.3">
      <c r="A834" s="12" t="s">
        <v>1710</v>
      </c>
      <c r="B834" s="7">
        <v>45011</v>
      </c>
      <c r="C834" s="4" t="s">
        <v>1711</v>
      </c>
      <c r="D834" s="4" t="s">
        <v>72</v>
      </c>
      <c r="E834" s="4">
        <v>33916</v>
      </c>
      <c r="F834" s="4">
        <v>23.8</v>
      </c>
      <c r="G834" s="4">
        <v>60</v>
      </c>
      <c r="H834" s="4" t="s">
        <v>26</v>
      </c>
      <c r="I834" s="4" t="s">
        <v>41</v>
      </c>
      <c r="J834" s="4" t="s">
        <v>37</v>
      </c>
      <c r="K834" s="4">
        <v>123079</v>
      </c>
      <c r="L834" s="4" t="s">
        <v>33</v>
      </c>
      <c r="M834" s="4">
        <v>0.26</v>
      </c>
      <c r="N834" s="4">
        <v>0.53</v>
      </c>
      <c r="O834" s="4">
        <v>16543.73</v>
      </c>
      <c r="P834" s="4">
        <v>0</v>
      </c>
      <c r="Q834" s="6">
        <f t="shared" si="145"/>
        <v>971.76107930202045</v>
      </c>
      <c r="R834" s="6">
        <f t="shared" ref="R834:R897" si="150">(Q834*G834)-E834</f>
        <v>24389.664758121224</v>
      </c>
      <c r="S834" s="4">
        <f t="shared" ref="S834:S897" si="151">E834 / N834</f>
        <v>63992.452830188675</v>
      </c>
      <c r="T834" s="4">
        <f t="shared" ref="T834:T897" si="152">K834/12</f>
        <v>10256.583333333334</v>
      </c>
      <c r="U834" s="4">
        <f t="shared" ref="U834:U897" si="153">M834*T834</f>
        <v>2666.711666666667</v>
      </c>
      <c r="V834" s="4">
        <f t="shared" ref="V834:V897" ca="1" si="154">DATEDIF(B834, TODAY(), "m")</f>
        <v>35</v>
      </c>
      <c r="W834" s="20">
        <f t="shared" ca="1" si="149"/>
        <v>34011.637775570714</v>
      </c>
      <c r="X834" s="4">
        <f t="shared" ref="X834:X897" si="155">(O834 + P834) - E834</f>
        <v>-17372.27</v>
      </c>
      <c r="Y834" s="13">
        <f t="shared" ref="Y834:Y897" si="156">(X834/E834)</f>
        <v>-0.51221458898455008</v>
      </c>
    </row>
    <row r="835" spans="1:25" x14ac:dyDescent="0.3">
      <c r="A835" s="12" t="s">
        <v>1712</v>
      </c>
      <c r="B835" s="7">
        <v>44542</v>
      </c>
      <c r="C835" s="4" t="s">
        <v>1713</v>
      </c>
      <c r="D835" s="4" t="s">
        <v>18</v>
      </c>
      <c r="E835" s="4">
        <v>14395</v>
      </c>
      <c r="F835" s="4">
        <v>6.7</v>
      </c>
      <c r="G835" s="4">
        <v>36</v>
      </c>
      <c r="H835" s="4" t="s">
        <v>19</v>
      </c>
      <c r="I835" s="4" t="s">
        <v>57</v>
      </c>
      <c r="J835" s="4" t="s">
        <v>37</v>
      </c>
      <c r="K835" s="4">
        <v>85805</v>
      </c>
      <c r="L835" s="4" t="s">
        <v>22</v>
      </c>
      <c r="M835" s="4">
        <v>0.33</v>
      </c>
      <c r="N835" s="4">
        <v>0.73</v>
      </c>
      <c r="O835" s="4">
        <v>15359.46</v>
      </c>
      <c r="P835" s="4">
        <v>0</v>
      </c>
      <c r="Q835" s="6">
        <f t="shared" ref="Q835:Q898" si="157">PMT(F835/100/12, G835, -E835)</f>
        <v>442.50398585356749</v>
      </c>
      <c r="R835" s="6">
        <f t="shared" si="150"/>
        <v>1535.1434907284292</v>
      </c>
      <c r="S835" s="4">
        <f t="shared" si="151"/>
        <v>19719.178082191782</v>
      </c>
      <c r="T835" s="4">
        <f t="shared" si="152"/>
        <v>7150.416666666667</v>
      </c>
      <c r="U835" s="4">
        <f t="shared" si="153"/>
        <v>2359.6375000000003</v>
      </c>
      <c r="V835" s="4">
        <f t="shared" ca="1" si="154"/>
        <v>51</v>
      </c>
      <c r="W835" s="20">
        <f t="shared" ca="1" si="149"/>
        <v>22567.703278531942</v>
      </c>
      <c r="X835" s="4">
        <f t="shared" si="155"/>
        <v>964.45999999999913</v>
      </c>
      <c r="Y835" s="13">
        <f t="shared" si="156"/>
        <v>6.6999652657172573E-2</v>
      </c>
    </row>
    <row r="836" spans="1:25" x14ac:dyDescent="0.3">
      <c r="A836" s="12" t="s">
        <v>1714</v>
      </c>
      <c r="B836" s="7">
        <v>44498</v>
      </c>
      <c r="C836" s="4" t="s">
        <v>1715</v>
      </c>
      <c r="D836" s="4" t="s">
        <v>65</v>
      </c>
      <c r="E836" s="4">
        <v>21421</v>
      </c>
      <c r="F836" s="4">
        <v>23.6</v>
      </c>
      <c r="G836" s="4">
        <v>36</v>
      </c>
      <c r="H836" s="4" t="s">
        <v>26</v>
      </c>
      <c r="I836" s="4" t="s">
        <v>20</v>
      </c>
      <c r="J836" s="4" t="s">
        <v>32</v>
      </c>
      <c r="K836" s="4">
        <v>61349</v>
      </c>
      <c r="L836" s="4" t="s">
        <v>22</v>
      </c>
      <c r="M836" s="4">
        <v>0.22</v>
      </c>
      <c r="N836" s="4">
        <v>0.65</v>
      </c>
      <c r="O836" s="4">
        <v>3641.47</v>
      </c>
      <c r="P836" s="4">
        <v>0</v>
      </c>
      <c r="Q836" s="6">
        <f t="shared" si="157"/>
        <v>835.91463814305268</v>
      </c>
      <c r="R836" s="6">
        <f t="shared" si="150"/>
        <v>8671.9269731498971</v>
      </c>
      <c r="S836" s="4">
        <f t="shared" si="151"/>
        <v>32955.384615384617</v>
      </c>
      <c r="T836" s="4">
        <f t="shared" si="152"/>
        <v>5112.416666666667</v>
      </c>
      <c r="U836" s="4">
        <f t="shared" si="153"/>
        <v>1124.7316666666668</v>
      </c>
      <c r="V836" s="4">
        <f t="shared" ca="1" si="154"/>
        <v>52</v>
      </c>
      <c r="W836" s="20">
        <f t="shared" ca="1" si="149"/>
        <v>43467.561183438738</v>
      </c>
      <c r="X836" s="4">
        <f t="shared" si="155"/>
        <v>-17779.53</v>
      </c>
      <c r="Y836" s="13">
        <f t="shared" si="156"/>
        <v>-0.83000466831613828</v>
      </c>
    </row>
    <row r="837" spans="1:25" x14ac:dyDescent="0.3">
      <c r="A837" s="12" t="s">
        <v>1716</v>
      </c>
      <c r="B837" s="7">
        <v>44559</v>
      </c>
      <c r="C837" s="4" t="s">
        <v>1717</v>
      </c>
      <c r="D837" s="4" t="s">
        <v>65</v>
      </c>
      <c r="E837" s="4">
        <v>27342</v>
      </c>
      <c r="F837" s="4">
        <v>21.5</v>
      </c>
      <c r="G837" s="4">
        <v>36</v>
      </c>
      <c r="H837" s="4" t="s">
        <v>19</v>
      </c>
      <c r="I837" s="4" t="s">
        <v>57</v>
      </c>
      <c r="J837" s="4" t="s">
        <v>21</v>
      </c>
      <c r="K837" s="4">
        <v>106777</v>
      </c>
      <c r="L837" s="4" t="s">
        <v>33</v>
      </c>
      <c r="M837" s="4">
        <v>0.28999999999999998</v>
      </c>
      <c r="N837" s="4">
        <v>0.65</v>
      </c>
      <c r="O837" s="4">
        <v>33220.53</v>
      </c>
      <c r="P837" s="4">
        <v>0</v>
      </c>
      <c r="Q837" s="6">
        <f t="shared" si="157"/>
        <v>1037.1442280304136</v>
      </c>
      <c r="R837" s="6">
        <f t="shared" si="150"/>
        <v>9995.1922090948938</v>
      </c>
      <c r="S837" s="4">
        <f t="shared" si="151"/>
        <v>42064.615384615383</v>
      </c>
      <c r="T837" s="4">
        <f t="shared" si="152"/>
        <v>8898.0833333333339</v>
      </c>
      <c r="U837" s="4">
        <f t="shared" si="153"/>
        <v>2580.4441666666667</v>
      </c>
      <c r="V837" s="4">
        <f t="shared" ca="1" si="154"/>
        <v>50</v>
      </c>
      <c r="W837" s="20">
        <f t="shared" ca="1" si="149"/>
        <v>51857.211401520683</v>
      </c>
      <c r="X837" s="4">
        <f t="shared" si="155"/>
        <v>5878.5299999999988</v>
      </c>
      <c r="Y837" s="13">
        <f t="shared" si="156"/>
        <v>0.21499999999999997</v>
      </c>
    </row>
    <row r="838" spans="1:25" x14ac:dyDescent="0.3">
      <c r="A838" s="12" t="s">
        <v>1718</v>
      </c>
      <c r="B838" s="7">
        <v>44592</v>
      </c>
      <c r="C838" s="4" t="s">
        <v>1719</v>
      </c>
      <c r="D838" s="4" t="s">
        <v>46</v>
      </c>
      <c r="E838" s="4">
        <v>5895</v>
      </c>
      <c r="F838" s="4">
        <v>7.6</v>
      </c>
      <c r="G838" s="4">
        <v>36</v>
      </c>
      <c r="H838" s="4" t="s">
        <v>81</v>
      </c>
      <c r="I838" s="4" t="s">
        <v>36</v>
      </c>
      <c r="J838" s="4" t="s">
        <v>21</v>
      </c>
      <c r="K838" s="4">
        <v>80248</v>
      </c>
      <c r="L838" s="4" t="s">
        <v>22</v>
      </c>
      <c r="M838" s="4">
        <v>0.42</v>
      </c>
      <c r="N838" s="4">
        <v>0.77</v>
      </c>
      <c r="O838" s="4">
        <v>1855.91</v>
      </c>
      <c r="P838" s="4">
        <v>1714.08</v>
      </c>
      <c r="Q838" s="6">
        <f t="shared" si="157"/>
        <v>183.64201611039334</v>
      </c>
      <c r="R838" s="6">
        <f t="shared" si="150"/>
        <v>716.11257997416033</v>
      </c>
      <c r="S838" s="4">
        <f t="shared" si="151"/>
        <v>7655.8441558441555</v>
      </c>
      <c r="T838" s="4">
        <f t="shared" si="152"/>
        <v>6687.333333333333</v>
      </c>
      <c r="U838" s="4">
        <f t="shared" si="153"/>
        <v>2808.68</v>
      </c>
      <c r="V838" s="4">
        <f t="shared" ca="1" si="154"/>
        <v>49</v>
      </c>
      <c r="W838" s="20">
        <v>0</v>
      </c>
      <c r="X838" s="4">
        <f t="shared" si="155"/>
        <v>-2325.0100000000002</v>
      </c>
      <c r="Y838" s="13">
        <f t="shared" si="156"/>
        <v>-0.39440373197625112</v>
      </c>
    </row>
    <row r="839" spans="1:25" x14ac:dyDescent="0.3">
      <c r="A839" s="12" t="s">
        <v>1720</v>
      </c>
      <c r="B839" s="7">
        <v>44414</v>
      </c>
      <c r="C839" s="4" t="s">
        <v>1721</v>
      </c>
      <c r="D839" s="4" t="s">
        <v>18</v>
      </c>
      <c r="E839" s="4">
        <v>12023</v>
      </c>
      <c r="F839" s="4">
        <v>16.3</v>
      </c>
      <c r="G839" s="4">
        <v>36</v>
      </c>
      <c r="H839" s="4" t="s">
        <v>19</v>
      </c>
      <c r="I839" s="4" t="s">
        <v>27</v>
      </c>
      <c r="J839" s="4" t="s">
        <v>47</v>
      </c>
      <c r="K839" s="4">
        <v>105033</v>
      </c>
      <c r="L839" s="4" t="s">
        <v>33</v>
      </c>
      <c r="M839" s="4">
        <v>0.49</v>
      </c>
      <c r="N839" s="4">
        <v>0.65</v>
      </c>
      <c r="O839" s="4">
        <v>13982.75</v>
      </c>
      <c r="P839" s="4">
        <v>0</v>
      </c>
      <c r="Q839" s="6">
        <f t="shared" si="157"/>
        <v>424.47590052239121</v>
      </c>
      <c r="R839" s="6">
        <f t="shared" si="150"/>
        <v>3258.1324188060844</v>
      </c>
      <c r="S839" s="4">
        <f t="shared" si="151"/>
        <v>18496.923076923078</v>
      </c>
      <c r="T839" s="4">
        <f t="shared" si="152"/>
        <v>8752.75</v>
      </c>
      <c r="U839" s="4">
        <f t="shared" si="153"/>
        <v>4288.8474999999999</v>
      </c>
      <c r="V839" s="4">
        <f t="shared" ca="1" si="154"/>
        <v>55</v>
      </c>
      <c r="W839" s="20">
        <f t="shared" ref="W839:W850" ca="1" si="158">V839*Q839</f>
        <v>23346.174528731517</v>
      </c>
      <c r="X839" s="4">
        <f t="shared" si="155"/>
        <v>1959.75</v>
      </c>
      <c r="Y839" s="13">
        <f t="shared" si="156"/>
        <v>0.16300008317391665</v>
      </c>
    </row>
    <row r="840" spans="1:25" x14ac:dyDescent="0.3">
      <c r="A840" s="12" t="s">
        <v>1722</v>
      </c>
      <c r="B840" s="7">
        <v>44337</v>
      </c>
      <c r="C840" s="4" t="s">
        <v>1723</v>
      </c>
      <c r="D840" s="4" t="s">
        <v>18</v>
      </c>
      <c r="E840" s="4">
        <v>11699</v>
      </c>
      <c r="F840" s="4">
        <v>22.3</v>
      </c>
      <c r="G840" s="4">
        <v>60</v>
      </c>
      <c r="H840" s="4" t="s">
        <v>26</v>
      </c>
      <c r="I840" s="4" t="s">
        <v>27</v>
      </c>
      <c r="J840" s="4" t="s">
        <v>21</v>
      </c>
      <c r="K840" s="4">
        <v>137411</v>
      </c>
      <c r="L840" s="4" t="s">
        <v>22</v>
      </c>
      <c r="M840" s="4">
        <v>0.47</v>
      </c>
      <c r="N840" s="4">
        <v>0.85</v>
      </c>
      <c r="O840" s="4">
        <v>2660.54</v>
      </c>
      <c r="P840" s="4">
        <v>0</v>
      </c>
      <c r="Q840" s="6">
        <f t="shared" si="157"/>
        <v>325.11231142888028</v>
      </c>
      <c r="R840" s="6">
        <f t="shared" si="150"/>
        <v>7807.7386857328165</v>
      </c>
      <c r="S840" s="4">
        <f t="shared" si="151"/>
        <v>13763.529411764706</v>
      </c>
      <c r="T840" s="4">
        <f t="shared" si="152"/>
        <v>11450.916666666666</v>
      </c>
      <c r="U840" s="4">
        <f t="shared" si="153"/>
        <v>5381.9308333333329</v>
      </c>
      <c r="V840" s="4">
        <f t="shared" ca="1" si="154"/>
        <v>57</v>
      </c>
      <c r="W840" s="20">
        <f t="shared" ca="1" si="158"/>
        <v>18531.401751446174</v>
      </c>
      <c r="X840" s="4">
        <f t="shared" si="155"/>
        <v>-9038.4599999999991</v>
      </c>
      <c r="Y840" s="13">
        <f t="shared" si="156"/>
        <v>-0.77258398153688346</v>
      </c>
    </row>
    <row r="841" spans="1:25" x14ac:dyDescent="0.3">
      <c r="A841" s="12" t="s">
        <v>1724</v>
      </c>
      <c r="B841" s="7">
        <v>45154</v>
      </c>
      <c r="C841" s="4" t="s">
        <v>1725</v>
      </c>
      <c r="D841" s="4" t="s">
        <v>65</v>
      </c>
      <c r="E841" s="4">
        <v>10715</v>
      </c>
      <c r="F841" s="4">
        <v>16.399999999999999</v>
      </c>
      <c r="G841" s="4">
        <v>36</v>
      </c>
      <c r="H841" s="4" t="s">
        <v>19</v>
      </c>
      <c r="I841" s="4" t="s">
        <v>36</v>
      </c>
      <c r="J841" s="4" t="s">
        <v>47</v>
      </c>
      <c r="K841" s="4">
        <v>128239</v>
      </c>
      <c r="L841" s="4" t="s">
        <v>22</v>
      </c>
      <c r="M841" s="4">
        <v>0.47</v>
      </c>
      <c r="N841" s="4">
        <v>0.53</v>
      </c>
      <c r="O841" s="4">
        <v>12472.26</v>
      </c>
      <c r="P841" s="4">
        <v>0</v>
      </c>
      <c r="Q841" s="6">
        <f t="shared" si="157"/>
        <v>378.8270350007719</v>
      </c>
      <c r="R841" s="6">
        <f t="shared" si="150"/>
        <v>2922.7732600277886</v>
      </c>
      <c r="S841" s="4">
        <f t="shared" si="151"/>
        <v>20216.981132075471</v>
      </c>
      <c r="T841" s="4">
        <f t="shared" si="152"/>
        <v>10686.583333333334</v>
      </c>
      <c r="U841" s="4">
        <f t="shared" si="153"/>
        <v>5022.6941666666671</v>
      </c>
      <c r="V841" s="4">
        <f t="shared" ca="1" si="154"/>
        <v>31</v>
      </c>
      <c r="W841" s="20">
        <f t="shared" ca="1" si="158"/>
        <v>11743.638085023929</v>
      </c>
      <c r="X841" s="4">
        <f t="shared" si="155"/>
        <v>1757.2600000000002</v>
      </c>
      <c r="Y841" s="13">
        <f t="shared" si="156"/>
        <v>0.16400000000000001</v>
      </c>
    </row>
    <row r="842" spans="1:25" x14ac:dyDescent="0.3">
      <c r="A842" s="12" t="s">
        <v>1726</v>
      </c>
      <c r="B842" s="7">
        <v>45181</v>
      </c>
      <c r="C842" s="4" t="s">
        <v>1727</v>
      </c>
      <c r="D842" s="4" t="s">
        <v>65</v>
      </c>
      <c r="E842" s="4">
        <v>20169</v>
      </c>
      <c r="F842" s="4">
        <v>23.1</v>
      </c>
      <c r="G842" s="4">
        <v>36</v>
      </c>
      <c r="H842" s="4" t="s">
        <v>19</v>
      </c>
      <c r="I842" s="4" t="s">
        <v>36</v>
      </c>
      <c r="J842" s="4" t="s">
        <v>37</v>
      </c>
      <c r="K842" s="4">
        <v>74041</v>
      </c>
      <c r="L842" s="4" t="s">
        <v>22</v>
      </c>
      <c r="M842" s="4">
        <v>0.26</v>
      </c>
      <c r="N842" s="4">
        <v>0.8</v>
      </c>
      <c r="O842" s="4">
        <v>24828.04</v>
      </c>
      <c r="P842" s="4">
        <v>0</v>
      </c>
      <c r="Q842" s="6">
        <f t="shared" si="157"/>
        <v>781.78797799464451</v>
      </c>
      <c r="R842" s="6">
        <f t="shared" si="150"/>
        <v>7975.3672078072013</v>
      </c>
      <c r="S842" s="4">
        <f t="shared" si="151"/>
        <v>25211.25</v>
      </c>
      <c r="T842" s="4">
        <f t="shared" si="152"/>
        <v>6170.083333333333</v>
      </c>
      <c r="U842" s="4">
        <f t="shared" si="153"/>
        <v>1604.2216666666666</v>
      </c>
      <c r="V842" s="4">
        <f t="shared" ca="1" si="154"/>
        <v>30</v>
      </c>
      <c r="W842" s="20">
        <f t="shared" ca="1" si="158"/>
        <v>23453.639339839334</v>
      </c>
      <c r="X842" s="4">
        <f t="shared" si="155"/>
        <v>4659.0400000000009</v>
      </c>
      <c r="Y842" s="13">
        <f t="shared" si="156"/>
        <v>0.23100004958104026</v>
      </c>
    </row>
    <row r="843" spans="1:25" x14ac:dyDescent="0.3">
      <c r="A843" s="12" t="s">
        <v>1728</v>
      </c>
      <c r="B843" s="7">
        <v>45189</v>
      </c>
      <c r="C843" s="4" t="s">
        <v>1729</v>
      </c>
      <c r="D843" s="4" t="s">
        <v>72</v>
      </c>
      <c r="E843" s="4">
        <v>17163</v>
      </c>
      <c r="F843" s="4">
        <v>23.9</v>
      </c>
      <c r="G843" s="4">
        <v>36</v>
      </c>
      <c r="H843" s="4" t="s">
        <v>19</v>
      </c>
      <c r="I843" s="4" t="s">
        <v>27</v>
      </c>
      <c r="J843" s="4" t="s">
        <v>32</v>
      </c>
      <c r="K843" s="4">
        <v>61954</v>
      </c>
      <c r="L843" s="4" t="s">
        <v>29</v>
      </c>
      <c r="M843" s="4">
        <v>0.28999999999999998</v>
      </c>
      <c r="N843" s="4">
        <v>0.86</v>
      </c>
      <c r="O843" s="4">
        <v>21264.959999999999</v>
      </c>
      <c r="P843" s="4">
        <v>0</v>
      </c>
      <c r="Q843" s="6">
        <f t="shared" si="157"/>
        <v>672.45262596775274</v>
      </c>
      <c r="R843" s="6">
        <f t="shared" si="150"/>
        <v>7045.2945348391004</v>
      </c>
      <c r="S843" s="4">
        <f t="shared" si="151"/>
        <v>19956.976744186046</v>
      </c>
      <c r="T843" s="4">
        <f t="shared" si="152"/>
        <v>5162.833333333333</v>
      </c>
      <c r="U843" s="4">
        <f t="shared" si="153"/>
        <v>1497.2216666666666</v>
      </c>
      <c r="V843" s="4">
        <f t="shared" ca="1" si="154"/>
        <v>29</v>
      </c>
      <c r="W843" s="20">
        <f t="shared" ca="1" si="158"/>
        <v>19501.12615306483</v>
      </c>
      <c r="X843" s="4">
        <f t="shared" si="155"/>
        <v>4101.9599999999991</v>
      </c>
      <c r="Y843" s="13">
        <f t="shared" si="156"/>
        <v>0.23900017479461627</v>
      </c>
    </row>
    <row r="844" spans="1:25" x14ac:dyDescent="0.3">
      <c r="A844" s="12" t="s">
        <v>1730</v>
      </c>
      <c r="B844" s="7">
        <v>45024</v>
      </c>
      <c r="C844" s="4" t="s">
        <v>1731</v>
      </c>
      <c r="D844" s="4" t="s">
        <v>56</v>
      </c>
      <c r="E844" s="4">
        <v>6782</v>
      </c>
      <c r="F844" s="4">
        <v>13.4</v>
      </c>
      <c r="G844" s="4">
        <v>36</v>
      </c>
      <c r="H844" s="4" t="s">
        <v>60</v>
      </c>
      <c r="I844" s="4" t="s">
        <v>20</v>
      </c>
      <c r="J844" s="4" t="s">
        <v>32</v>
      </c>
      <c r="K844" s="4">
        <v>38002</v>
      </c>
      <c r="L844" s="4" t="s">
        <v>29</v>
      </c>
      <c r="M844" s="4">
        <v>0.38</v>
      </c>
      <c r="N844" s="4">
        <v>0.8</v>
      </c>
      <c r="O844" s="4">
        <v>0</v>
      </c>
      <c r="P844" s="4">
        <v>0</v>
      </c>
      <c r="Q844" s="6">
        <f t="shared" si="157"/>
        <v>229.82122463347872</v>
      </c>
      <c r="R844" s="6">
        <f t="shared" si="150"/>
        <v>1491.5640868052342</v>
      </c>
      <c r="S844" s="4">
        <f t="shared" si="151"/>
        <v>8477.5</v>
      </c>
      <c r="T844" s="4">
        <f t="shared" si="152"/>
        <v>3166.8333333333335</v>
      </c>
      <c r="U844" s="4">
        <f t="shared" si="153"/>
        <v>1203.3966666666668</v>
      </c>
      <c r="V844" s="4">
        <f t="shared" ca="1" si="154"/>
        <v>35</v>
      </c>
      <c r="W844" s="20">
        <f t="shared" ca="1" si="158"/>
        <v>8043.7428621717554</v>
      </c>
      <c r="X844" s="4">
        <f t="shared" si="155"/>
        <v>-6782</v>
      </c>
      <c r="Y844" s="13">
        <f t="shared" si="156"/>
        <v>-1</v>
      </c>
    </row>
    <row r="845" spans="1:25" x14ac:dyDescent="0.3">
      <c r="A845" s="12" t="s">
        <v>1732</v>
      </c>
      <c r="B845" s="7">
        <v>44879</v>
      </c>
      <c r="C845" s="4" t="s">
        <v>1733</v>
      </c>
      <c r="D845" s="4" t="s">
        <v>56</v>
      </c>
      <c r="E845" s="4">
        <v>23641</v>
      </c>
      <c r="F845" s="4">
        <v>12.5</v>
      </c>
      <c r="G845" s="4">
        <v>60</v>
      </c>
      <c r="H845" s="4" t="s">
        <v>60</v>
      </c>
      <c r="I845" s="4" t="s">
        <v>84</v>
      </c>
      <c r="J845" s="4" t="s">
        <v>37</v>
      </c>
      <c r="K845" s="4">
        <v>99783</v>
      </c>
      <c r="L845" s="4" t="s">
        <v>33</v>
      </c>
      <c r="M845" s="4">
        <v>0.47</v>
      </c>
      <c r="N845" s="4">
        <v>0.72</v>
      </c>
      <c r="O845" s="4">
        <v>0</v>
      </c>
      <c r="P845" s="4">
        <v>0</v>
      </c>
      <c r="Q845" s="6">
        <f t="shared" si="157"/>
        <v>531.87375758705582</v>
      </c>
      <c r="R845" s="6">
        <f t="shared" si="150"/>
        <v>8271.4254552233506</v>
      </c>
      <c r="S845" s="4">
        <f t="shared" si="151"/>
        <v>32834.722222222226</v>
      </c>
      <c r="T845" s="4">
        <f t="shared" si="152"/>
        <v>8315.25</v>
      </c>
      <c r="U845" s="4">
        <f t="shared" si="153"/>
        <v>3908.1674999999996</v>
      </c>
      <c r="V845" s="4">
        <f t="shared" ca="1" si="154"/>
        <v>40</v>
      </c>
      <c r="W845" s="20">
        <f t="shared" ca="1" si="158"/>
        <v>21274.950303482234</v>
      </c>
      <c r="X845" s="4">
        <f t="shared" si="155"/>
        <v>-23641</v>
      </c>
      <c r="Y845" s="13">
        <f t="shared" si="156"/>
        <v>-1</v>
      </c>
    </row>
    <row r="846" spans="1:25" x14ac:dyDescent="0.3">
      <c r="A846" s="12" t="s">
        <v>1734</v>
      </c>
      <c r="B846" s="7">
        <v>45200</v>
      </c>
      <c r="C846" s="4" t="s">
        <v>1735</v>
      </c>
      <c r="D846" s="4" t="s">
        <v>72</v>
      </c>
      <c r="E846" s="4">
        <v>19792</v>
      </c>
      <c r="F846" s="4">
        <v>23.7</v>
      </c>
      <c r="G846" s="4">
        <v>36</v>
      </c>
      <c r="H846" s="4" t="s">
        <v>19</v>
      </c>
      <c r="I846" s="4" t="s">
        <v>20</v>
      </c>
      <c r="J846" s="4" t="s">
        <v>28</v>
      </c>
      <c r="K846" s="4">
        <v>137524</v>
      </c>
      <c r="L846" s="4" t="s">
        <v>22</v>
      </c>
      <c r="M846" s="4">
        <v>0.16</v>
      </c>
      <c r="N846" s="4">
        <v>0.93</v>
      </c>
      <c r="O846" s="4">
        <v>24482.7</v>
      </c>
      <c r="P846" s="4">
        <v>0</v>
      </c>
      <c r="Q846" s="6">
        <f t="shared" si="157"/>
        <v>773.38247233400773</v>
      </c>
      <c r="R846" s="6">
        <f t="shared" si="150"/>
        <v>8049.7690040242778</v>
      </c>
      <c r="S846" s="4">
        <f t="shared" si="151"/>
        <v>21281.720430107525</v>
      </c>
      <c r="T846" s="4">
        <f t="shared" si="152"/>
        <v>11460.333333333334</v>
      </c>
      <c r="U846" s="4">
        <f t="shared" si="153"/>
        <v>1833.6533333333334</v>
      </c>
      <c r="V846" s="4">
        <f t="shared" ca="1" si="154"/>
        <v>29</v>
      </c>
      <c r="W846" s="20">
        <f t="shared" ca="1" si="158"/>
        <v>22428.091697686225</v>
      </c>
      <c r="X846" s="4">
        <f t="shared" si="155"/>
        <v>4690.7000000000007</v>
      </c>
      <c r="Y846" s="13">
        <f t="shared" si="156"/>
        <v>0.23699979789814071</v>
      </c>
    </row>
    <row r="847" spans="1:25" x14ac:dyDescent="0.3">
      <c r="A847" s="12" t="s">
        <v>1736</v>
      </c>
      <c r="B847" s="7">
        <v>44552</v>
      </c>
      <c r="C847" s="4" t="s">
        <v>1737</v>
      </c>
      <c r="D847" s="4" t="s">
        <v>53</v>
      </c>
      <c r="E847" s="4">
        <v>36585</v>
      </c>
      <c r="F847" s="4">
        <v>18.5</v>
      </c>
      <c r="G847" s="4">
        <v>60</v>
      </c>
      <c r="H847" s="4" t="s">
        <v>315</v>
      </c>
      <c r="I847" s="4" t="s">
        <v>27</v>
      </c>
      <c r="J847" s="4" t="s">
        <v>28</v>
      </c>
      <c r="K847" s="4">
        <v>117234</v>
      </c>
      <c r="L847" s="4" t="s">
        <v>33</v>
      </c>
      <c r="M847" s="4">
        <v>0.22</v>
      </c>
      <c r="N847" s="4">
        <v>0.63</v>
      </c>
      <c r="O847" s="4">
        <v>0</v>
      </c>
      <c r="P847" s="4">
        <v>0</v>
      </c>
      <c r="Q847" s="6">
        <f t="shared" si="157"/>
        <v>938.99826271165375</v>
      </c>
      <c r="R847" s="6">
        <f t="shared" si="150"/>
        <v>19754.895762699227</v>
      </c>
      <c r="S847" s="4">
        <f t="shared" si="151"/>
        <v>58071.428571428572</v>
      </c>
      <c r="T847" s="4">
        <f t="shared" si="152"/>
        <v>9769.5</v>
      </c>
      <c r="U847" s="4">
        <f t="shared" si="153"/>
        <v>2149.29</v>
      </c>
      <c r="V847" s="4">
        <f t="shared" ca="1" si="154"/>
        <v>50</v>
      </c>
      <c r="W847" s="20">
        <f t="shared" ca="1" si="158"/>
        <v>46949.91313558269</v>
      </c>
      <c r="X847" s="4">
        <f t="shared" si="155"/>
        <v>-36585</v>
      </c>
      <c r="Y847" s="13">
        <f t="shared" si="156"/>
        <v>-1</v>
      </c>
    </row>
    <row r="848" spans="1:25" x14ac:dyDescent="0.3">
      <c r="A848" s="12" t="s">
        <v>1738</v>
      </c>
      <c r="B848" s="7">
        <v>45204</v>
      </c>
      <c r="C848" s="4" t="s">
        <v>1739</v>
      </c>
      <c r="D848" s="4" t="s">
        <v>18</v>
      </c>
      <c r="E848" s="4">
        <v>31682</v>
      </c>
      <c r="F848" s="4">
        <v>7.3</v>
      </c>
      <c r="G848" s="4">
        <v>36</v>
      </c>
      <c r="H848" s="4" t="s">
        <v>26</v>
      </c>
      <c r="I848" s="4" t="s">
        <v>27</v>
      </c>
      <c r="J848" s="4" t="s">
        <v>21</v>
      </c>
      <c r="K848" s="4">
        <v>49738</v>
      </c>
      <c r="L848" s="4" t="s">
        <v>29</v>
      </c>
      <c r="M848" s="4">
        <v>0.16</v>
      </c>
      <c r="N848" s="4">
        <v>0.51</v>
      </c>
      <c r="O848" s="4">
        <v>11237.19</v>
      </c>
      <c r="P848" s="4">
        <v>0</v>
      </c>
      <c r="Q848" s="6">
        <f t="shared" si="157"/>
        <v>982.5996923674752</v>
      </c>
      <c r="R848" s="6">
        <f t="shared" si="150"/>
        <v>3691.588925229109</v>
      </c>
      <c r="S848" s="4">
        <f t="shared" si="151"/>
        <v>62121.568627450979</v>
      </c>
      <c r="T848" s="4">
        <f t="shared" si="152"/>
        <v>4144.833333333333</v>
      </c>
      <c r="U848" s="4">
        <f t="shared" si="153"/>
        <v>663.17333333333329</v>
      </c>
      <c r="V848" s="4">
        <f t="shared" ca="1" si="154"/>
        <v>29</v>
      </c>
      <c r="W848" s="20">
        <f t="shared" ca="1" si="158"/>
        <v>28495.391078656779</v>
      </c>
      <c r="X848" s="4">
        <f t="shared" si="155"/>
        <v>-20444.809999999998</v>
      </c>
      <c r="Y848" s="13">
        <f t="shared" si="156"/>
        <v>-0.64531311154598814</v>
      </c>
    </row>
    <row r="849" spans="1:25" x14ac:dyDescent="0.3">
      <c r="A849" s="12" t="s">
        <v>1740</v>
      </c>
      <c r="B849" s="7">
        <v>45084</v>
      </c>
      <c r="C849" s="4" t="s">
        <v>1741</v>
      </c>
      <c r="D849" s="4" t="s">
        <v>50</v>
      </c>
      <c r="E849" s="4">
        <v>19880</v>
      </c>
      <c r="F849" s="4">
        <v>5.8</v>
      </c>
      <c r="G849" s="4">
        <v>60</v>
      </c>
      <c r="H849" s="4" t="s">
        <v>26</v>
      </c>
      <c r="I849" s="4" t="s">
        <v>27</v>
      </c>
      <c r="J849" s="4" t="s">
        <v>47</v>
      </c>
      <c r="K849" s="4">
        <v>40703</v>
      </c>
      <c r="L849" s="4" t="s">
        <v>29</v>
      </c>
      <c r="M849" s="4">
        <v>0.34</v>
      </c>
      <c r="N849" s="4">
        <v>0.69</v>
      </c>
      <c r="O849" s="4">
        <v>5252.13</v>
      </c>
      <c r="P849" s="4">
        <v>0</v>
      </c>
      <c r="Q849" s="6">
        <f t="shared" si="157"/>
        <v>382.49002123820463</v>
      </c>
      <c r="R849" s="6">
        <f t="shared" si="150"/>
        <v>3069.4012742922787</v>
      </c>
      <c r="S849" s="4">
        <f t="shared" si="151"/>
        <v>28811.594202898552</v>
      </c>
      <c r="T849" s="4">
        <f t="shared" si="152"/>
        <v>3391.9166666666665</v>
      </c>
      <c r="U849" s="4">
        <f t="shared" si="153"/>
        <v>1153.2516666666668</v>
      </c>
      <c r="V849" s="4">
        <f t="shared" ca="1" si="154"/>
        <v>33</v>
      </c>
      <c r="W849" s="20">
        <f t="shared" ca="1" si="158"/>
        <v>12622.170700860754</v>
      </c>
      <c r="X849" s="4">
        <f t="shared" si="155"/>
        <v>-14627.869999999999</v>
      </c>
      <c r="Y849" s="13">
        <f t="shared" si="156"/>
        <v>-0.73580835010060353</v>
      </c>
    </row>
    <row r="850" spans="1:25" x14ac:dyDescent="0.3">
      <c r="A850" s="12" t="s">
        <v>1742</v>
      </c>
      <c r="B850" s="7">
        <v>44323</v>
      </c>
      <c r="C850" s="4" t="s">
        <v>1743</v>
      </c>
      <c r="D850" s="4" t="s">
        <v>18</v>
      </c>
      <c r="E850" s="4">
        <v>39067</v>
      </c>
      <c r="F850" s="4">
        <v>16.3</v>
      </c>
      <c r="G850" s="4">
        <v>36</v>
      </c>
      <c r="H850" s="4" t="s">
        <v>19</v>
      </c>
      <c r="I850" s="4" t="s">
        <v>73</v>
      </c>
      <c r="J850" s="4" t="s">
        <v>32</v>
      </c>
      <c r="K850" s="4">
        <v>143776</v>
      </c>
      <c r="L850" s="4" t="s">
        <v>29</v>
      </c>
      <c r="M850" s="4">
        <v>0.22</v>
      </c>
      <c r="N850" s="4">
        <v>0.51</v>
      </c>
      <c r="O850" s="4">
        <v>45434.92</v>
      </c>
      <c r="P850" s="4">
        <v>0</v>
      </c>
      <c r="Q850" s="6">
        <f t="shared" si="157"/>
        <v>1379.273060443172</v>
      </c>
      <c r="R850" s="6">
        <f t="shared" si="150"/>
        <v>10586.830175954194</v>
      </c>
      <c r="S850" s="4">
        <f t="shared" si="151"/>
        <v>76601.96078431372</v>
      </c>
      <c r="T850" s="4">
        <f t="shared" si="152"/>
        <v>11981.333333333334</v>
      </c>
      <c r="U850" s="4">
        <f t="shared" si="153"/>
        <v>2635.8933333333334</v>
      </c>
      <c r="V850" s="4">
        <f t="shared" ca="1" si="154"/>
        <v>58</v>
      </c>
      <c r="W850" s="20">
        <f t="shared" ca="1" si="158"/>
        <v>79997.837505703981</v>
      </c>
      <c r="X850" s="4">
        <f t="shared" si="155"/>
        <v>6367.9199999999983</v>
      </c>
      <c r="Y850" s="13">
        <f t="shared" si="156"/>
        <v>0.16299997440294872</v>
      </c>
    </row>
    <row r="851" spans="1:25" x14ac:dyDescent="0.3">
      <c r="A851" s="12" t="s">
        <v>1744</v>
      </c>
      <c r="B851" s="7">
        <v>45205</v>
      </c>
      <c r="C851" s="4" t="s">
        <v>1745</v>
      </c>
      <c r="D851" s="4" t="s">
        <v>46</v>
      </c>
      <c r="E851" s="4">
        <v>19073</v>
      </c>
      <c r="F851" s="4">
        <v>23.6</v>
      </c>
      <c r="G851" s="4">
        <v>36</v>
      </c>
      <c r="H851" s="4" t="s">
        <v>81</v>
      </c>
      <c r="I851" s="4" t="s">
        <v>27</v>
      </c>
      <c r="J851" s="4" t="s">
        <v>21</v>
      </c>
      <c r="K851" s="4">
        <v>79422</v>
      </c>
      <c r="L851" s="4" t="s">
        <v>29</v>
      </c>
      <c r="M851" s="4">
        <v>0.23</v>
      </c>
      <c r="N851" s="4">
        <v>0.93</v>
      </c>
      <c r="O851" s="4">
        <v>7593.57</v>
      </c>
      <c r="P851" s="4">
        <v>6148.31</v>
      </c>
      <c r="Q851" s="6">
        <f t="shared" si="157"/>
        <v>744.2883102237264</v>
      </c>
      <c r="R851" s="6">
        <f t="shared" si="150"/>
        <v>7721.3791680541508</v>
      </c>
      <c r="S851" s="4">
        <f t="shared" si="151"/>
        <v>20508.602150537634</v>
      </c>
      <c r="T851" s="4">
        <f t="shared" si="152"/>
        <v>6618.5</v>
      </c>
      <c r="U851" s="4">
        <f t="shared" si="153"/>
        <v>1522.2550000000001</v>
      </c>
      <c r="V851" s="4">
        <f t="shared" ca="1" si="154"/>
        <v>29</v>
      </c>
      <c r="W851" s="20">
        <v>0</v>
      </c>
      <c r="X851" s="4">
        <f t="shared" si="155"/>
        <v>-5331.119999999999</v>
      </c>
      <c r="Y851" s="13">
        <f t="shared" si="156"/>
        <v>-0.27951135112462638</v>
      </c>
    </row>
    <row r="852" spans="1:25" x14ac:dyDescent="0.3">
      <c r="A852" s="12" t="s">
        <v>1746</v>
      </c>
      <c r="B852" s="7">
        <v>44800</v>
      </c>
      <c r="C852" s="4" t="s">
        <v>1747</v>
      </c>
      <c r="D852" s="4" t="s">
        <v>65</v>
      </c>
      <c r="E852" s="4">
        <v>37035</v>
      </c>
      <c r="F852" s="4">
        <v>21.9</v>
      </c>
      <c r="G852" s="4">
        <v>60</v>
      </c>
      <c r="H852" s="4" t="s">
        <v>26</v>
      </c>
      <c r="I852" s="4" t="s">
        <v>36</v>
      </c>
      <c r="J852" s="4" t="s">
        <v>37</v>
      </c>
      <c r="K852" s="4">
        <v>113106</v>
      </c>
      <c r="L852" s="4" t="s">
        <v>33</v>
      </c>
      <c r="M852" s="4">
        <v>0.13</v>
      </c>
      <c r="N852" s="4">
        <v>0.59</v>
      </c>
      <c r="O852" s="4">
        <v>13999.45</v>
      </c>
      <c r="P852" s="4">
        <v>0</v>
      </c>
      <c r="Q852" s="6">
        <f t="shared" si="157"/>
        <v>1020.7618308226728</v>
      </c>
      <c r="R852" s="6">
        <f t="shared" si="150"/>
        <v>24210.70984936037</v>
      </c>
      <c r="S852" s="4">
        <f t="shared" si="151"/>
        <v>62771.186440677971</v>
      </c>
      <c r="T852" s="4">
        <f t="shared" si="152"/>
        <v>9425.5</v>
      </c>
      <c r="U852" s="4">
        <f t="shared" si="153"/>
        <v>1225.3150000000001</v>
      </c>
      <c r="V852" s="4">
        <f t="shared" ca="1" si="154"/>
        <v>42</v>
      </c>
      <c r="W852" s="20">
        <f ca="1">V852*Q852</f>
        <v>42871.996894552256</v>
      </c>
      <c r="X852" s="4">
        <f t="shared" si="155"/>
        <v>-23035.55</v>
      </c>
      <c r="Y852" s="13">
        <f t="shared" si="156"/>
        <v>-0.62199405967328203</v>
      </c>
    </row>
    <row r="853" spans="1:25" x14ac:dyDescent="0.3">
      <c r="A853" s="12" t="s">
        <v>1748</v>
      </c>
      <c r="B853" s="7">
        <v>45210</v>
      </c>
      <c r="C853" s="4" t="s">
        <v>1749</v>
      </c>
      <c r="D853" s="4" t="s">
        <v>18</v>
      </c>
      <c r="E853" s="4">
        <v>38174</v>
      </c>
      <c r="F853" s="4">
        <v>18.5</v>
      </c>
      <c r="G853" s="4">
        <v>36</v>
      </c>
      <c r="H853" s="4" t="s">
        <v>81</v>
      </c>
      <c r="I853" s="4" t="s">
        <v>20</v>
      </c>
      <c r="J853" s="4" t="s">
        <v>32</v>
      </c>
      <c r="K853" s="4">
        <v>91899</v>
      </c>
      <c r="L853" s="4" t="s">
        <v>22</v>
      </c>
      <c r="M853" s="4">
        <v>0.24</v>
      </c>
      <c r="N853" s="4">
        <v>0.86</v>
      </c>
      <c r="O853" s="4">
        <v>14725.52</v>
      </c>
      <c r="P853" s="4">
        <v>11118.32</v>
      </c>
      <c r="Q853" s="6">
        <f t="shared" si="157"/>
        <v>1389.6753899981516</v>
      </c>
      <c r="R853" s="6">
        <f t="shared" si="150"/>
        <v>11854.314039933459</v>
      </c>
      <c r="S853" s="4">
        <f t="shared" si="151"/>
        <v>44388.372093023259</v>
      </c>
      <c r="T853" s="4">
        <f t="shared" si="152"/>
        <v>7658.25</v>
      </c>
      <c r="U853" s="4">
        <f t="shared" si="153"/>
        <v>1837.98</v>
      </c>
      <c r="V853" s="4">
        <f t="shared" ca="1" si="154"/>
        <v>29</v>
      </c>
      <c r="W853" s="20">
        <v>0</v>
      </c>
      <c r="X853" s="4">
        <f t="shared" si="155"/>
        <v>-12330.16</v>
      </c>
      <c r="Y853" s="13">
        <f t="shared" si="156"/>
        <v>-0.3229988997747158</v>
      </c>
    </row>
    <row r="854" spans="1:25" x14ac:dyDescent="0.3">
      <c r="A854" s="12" t="s">
        <v>1750</v>
      </c>
      <c r="B854" s="7">
        <v>44247</v>
      </c>
      <c r="C854" s="4" t="s">
        <v>1751</v>
      </c>
      <c r="D854" s="4" t="s">
        <v>65</v>
      </c>
      <c r="E854" s="4">
        <v>25837</v>
      </c>
      <c r="F854" s="4">
        <v>7.8</v>
      </c>
      <c r="G854" s="4">
        <v>60</v>
      </c>
      <c r="H854" s="4" t="s">
        <v>26</v>
      </c>
      <c r="I854" s="4" t="s">
        <v>57</v>
      </c>
      <c r="J854" s="4" t="s">
        <v>47</v>
      </c>
      <c r="K854" s="4">
        <v>42392</v>
      </c>
      <c r="L854" s="4" t="s">
        <v>33</v>
      </c>
      <c r="M854" s="4">
        <v>0.44</v>
      </c>
      <c r="N854" s="4">
        <v>0.85</v>
      </c>
      <c r="O854" s="4">
        <v>10999.75</v>
      </c>
      <c r="P854" s="4">
        <v>0</v>
      </c>
      <c r="Q854" s="6">
        <f t="shared" si="157"/>
        <v>521.41166044551949</v>
      </c>
      <c r="R854" s="6">
        <f t="shared" si="150"/>
        <v>5447.6996267311697</v>
      </c>
      <c r="S854" s="4">
        <f t="shared" si="151"/>
        <v>30396.470588235294</v>
      </c>
      <c r="T854" s="4">
        <f t="shared" si="152"/>
        <v>3532.6666666666665</v>
      </c>
      <c r="U854" s="4">
        <f t="shared" si="153"/>
        <v>1554.3733333333332</v>
      </c>
      <c r="V854" s="4">
        <f t="shared" ca="1" si="154"/>
        <v>60</v>
      </c>
      <c r="W854" s="20">
        <f t="shared" ref="W854:W862" ca="1" si="159">V854*Q854</f>
        <v>31284.69962673117</v>
      </c>
      <c r="X854" s="4">
        <f t="shared" si="155"/>
        <v>-14837.25</v>
      </c>
      <c r="Y854" s="13">
        <f t="shared" si="156"/>
        <v>-0.57426365290087855</v>
      </c>
    </row>
    <row r="855" spans="1:25" x14ac:dyDescent="0.3">
      <c r="A855" s="12" t="s">
        <v>1752</v>
      </c>
      <c r="B855" s="7">
        <v>45249</v>
      </c>
      <c r="C855" s="4" t="s">
        <v>1753</v>
      </c>
      <c r="D855" s="4" t="s">
        <v>18</v>
      </c>
      <c r="E855" s="4">
        <v>18826</v>
      </c>
      <c r="F855" s="4">
        <v>10.1</v>
      </c>
      <c r="G855" s="4">
        <v>36</v>
      </c>
      <c r="H855" s="4" t="s">
        <v>26</v>
      </c>
      <c r="I855" s="4" t="s">
        <v>73</v>
      </c>
      <c r="J855" s="4" t="s">
        <v>47</v>
      </c>
      <c r="K855" s="4">
        <v>74724</v>
      </c>
      <c r="L855" s="4" t="s">
        <v>22</v>
      </c>
      <c r="M855" s="4">
        <v>0.19</v>
      </c>
      <c r="N855" s="4">
        <v>0.6</v>
      </c>
      <c r="O855" s="4">
        <v>8590.41</v>
      </c>
      <c r="P855" s="4">
        <v>0</v>
      </c>
      <c r="Q855" s="6">
        <f t="shared" si="157"/>
        <v>608.34631961770265</v>
      </c>
      <c r="R855" s="6">
        <f t="shared" si="150"/>
        <v>3074.4675062372953</v>
      </c>
      <c r="S855" s="4">
        <f t="shared" si="151"/>
        <v>31376.666666666668</v>
      </c>
      <c r="T855" s="4">
        <f t="shared" si="152"/>
        <v>6227</v>
      </c>
      <c r="U855" s="4">
        <f t="shared" si="153"/>
        <v>1183.1300000000001</v>
      </c>
      <c r="V855" s="4">
        <f t="shared" ca="1" si="154"/>
        <v>28</v>
      </c>
      <c r="W855" s="20">
        <f t="shared" ca="1" si="159"/>
        <v>17033.696949295674</v>
      </c>
      <c r="X855" s="4">
        <f t="shared" si="155"/>
        <v>-10235.59</v>
      </c>
      <c r="Y855" s="13">
        <f t="shared" si="156"/>
        <v>-0.54369435886539896</v>
      </c>
    </row>
    <row r="856" spans="1:25" x14ac:dyDescent="0.3">
      <c r="A856" s="12" t="s">
        <v>1754</v>
      </c>
      <c r="B856" s="7">
        <v>44975</v>
      </c>
      <c r="C856" s="4" t="s">
        <v>1755</v>
      </c>
      <c r="D856" s="4" t="s">
        <v>46</v>
      </c>
      <c r="E856" s="4">
        <v>25981</v>
      </c>
      <c r="F856" s="4">
        <v>22.5</v>
      </c>
      <c r="G856" s="4">
        <v>60</v>
      </c>
      <c r="H856" s="4" t="s">
        <v>26</v>
      </c>
      <c r="I856" s="4" t="s">
        <v>41</v>
      </c>
      <c r="J856" s="4" t="s">
        <v>28</v>
      </c>
      <c r="K856" s="4">
        <v>62299</v>
      </c>
      <c r="L856" s="4" t="s">
        <v>29</v>
      </c>
      <c r="M856" s="4">
        <v>0.38</v>
      </c>
      <c r="N856" s="4">
        <v>0.78</v>
      </c>
      <c r="O856" s="4">
        <v>10820.79</v>
      </c>
      <c r="P856" s="4">
        <v>0</v>
      </c>
      <c r="Q856" s="6">
        <f t="shared" si="157"/>
        <v>724.97239801593093</v>
      </c>
      <c r="R856" s="6">
        <f t="shared" si="150"/>
        <v>17517.343880955857</v>
      </c>
      <c r="S856" s="4">
        <f t="shared" si="151"/>
        <v>33308.974358974359</v>
      </c>
      <c r="T856" s="4">
        <f t="shared" si="152"/>
        <v>5191.583333333333</v>
      </c>
      <c r="U856" s="4">
        <f t="shared" si="153"/>
        <v>1972.8016666666665</v>
      </c>
      <c r="V856" s="4">
        <f t="shared" ca="1" si="154"/>
        <v>37</v>
      </c>
      <c r="W856" s="20">
        <f t="shared" ca="1" si="159"/>
        <v>26823.978726589445</v>
      </c>
      <c r="X856" s="4">
        <f t="shared" si="155"/>
        <v>-15160.21</v>
      </c>
      <c r="Y856" s="13">
        <f t="shared" si="156"/>
        <v>-0.58351141218582803</v>
      </c>
    </row>
    <row r="857" spans="1:25" x14ac:dyDescent="0.3">
      <c r="A857" s="12" t="s">
        <v>1756</v>
      </c>
      <c r="B857" s="7">
        <v>45010</v>
      </c>
      <c r="C857" s="4" t="s">
        <v>1757</v>
      </c>
      <c r="D857" s="4" t="s">
        <v>53</v>
      </c>
      <c r="E857" s="4">
        <v>11382</v>
      </c>
      <c r="F857" s="4">
        <v>8.6999999999999993</v>
      </c>
      <c r="G857" s="4">
        <v>36</v>
      </c>
      <c r="H857" s="4" t="s">
        <v>19</v>
      </c>
      <c r="I857" s="4" t="s">
        <v>20</v>
      </c>
      <c r="J857" s="4" t="s">
        <v>21</v>
      </c>
      <c r="K857" s="4">
        <v>45641</v>
      </c>
      <c r="L857" s="4" t="s">
        <v>22</v>
      </c>
      <c r="M857" s="4">
        <v>0.35</v>
      </c>
      <c r="N857" s="4">
        <v>0.52</v>
      </c>
      <c r="O857" s="4">
        <v>12372.23</v>
      </c>
      <c r="P857" s="4">
        <v>0</v>
      </c>
      <c r="Q857" s="6">
        <f t="shared" si="157"/>
        <v>360.35745269871154</v>
      </c>
      <c r="R857" s="6">
        <f t="shared" si="150"/>
        <v>1590.8682971536145</v>
      </c>
      <c r="S857" s="4">
        <f t="shared" si="151"/>
        <v>21888.461538461539</v>
      </c>
      <c r="T857" s="4">
        <f t="shared" si="152"/>
        <v>3803.4166666666665</v>
      </c>
      <c r="U857" s="4">
        <f t="shared" si="153"/>
        <v>1331.1958333333332</v>
      </c>
      <c r="V857" s="4">
        <f t="shared" ca="1" si="154"/>
        <v>35</v>
      </c>
      <c r="W857" s="20">
        <f t="shared" ca="1" si="159"/>
        <v>12612.510844454904</v>
      </c>
      <c r="X857" s="4">
        <f t="shared" si="155"/>
        <v>990.22999999999956</v>
      </c>
      <c r="Y857" s="13">
        <f t="shared" si="156"/>
        <v>8.6999648567914215E-2</v>
      </c>
    </row>
    <row r="858" spans="1:25" x14ac:dyDescent="0.3">
      <c r="A858" s="12" t="s">
        <v>1758</v>
      </c>
      <c r="B858" s="7">
        <v>44616</v>
      </c>
      <c r="C858" s="4" t="s">
        <v>1759</v>
      </c>
      <c r="D858" s="4" t="s">
        <v>50</v>
      </c>
      <c r="E858" s="4">
        <v>5437</v>
      </c>
      <c r="F858" s="4">
        <v>10.6</v>
      </c>
      <c r="G858" s="4">
        <v>36</v>
      </c>
      <c r="H858" s="4" t="s">
        <v>19</v>
      </c>
      <c r="I858" s="4" t="s">
        <v>20</v>
      </c>
      <c r="J858" s="4" t="s">
        <v>37</v>
      </c>
      <c r="K858" s="4">
        <v>109534</v>
      </c>
      <c r="L858" s="4" t="s">
        <v>29</v>
      </c>
      <c r="M858" s="4">
        <v>0.45</v>
      </c>
      <c r="N858" s="4">
        <v>0.72</v>
      </c>
      <c r="O858" s="4">
        <v>6013.32</v>
      </c>
      <c r="P858" s="4">
        <v>0</v>
      </c>
      <c r="Q858" s="6">
        <f t="shared" si="157"/>
        <v>176.97226705033822</v>
      </c>
      <c r="R858" s="6">
        <f t="shared" si="150"/>
        <v>934.00161381217549</v>
      </c>
      <c r="S858" s="4">
        <f t="shared" si="151"/>
        <v>7551.3888888888896</v>
      </c>
      <c r="T858" s="4">
        <f t="shared" si="152"/>
        <v>9127.8333333333339</v>
      </c>
      <c r="U858" s="4">
        <f t="shared" si="153"/>
        <v>4107.5250000000005</v>
      </c>
      <c r="V858" s="4">
        <f t="shared" ca="1" si="154"/>
        <v>48</v>
      </c>
      <c r="W858" s="20">
        <f t="shared" ca="1" si="159"/>
        <v>8494.668818416234</v>
      </c>
      <c r="X858" s="4">
        <f t="shared" si="155"/>
        <v>576.31999999999971</v>
      </c>
      <c r="Y858" s="13">
        <f t="shared" si="156"/>
        <v>0.10599963215008271</v>
      </c>
    </row>
    <row r="859" spans="1:25" x14ac:dyDescent="0.3">
      <c r="A859" s="12" t="s">
        <v>1760</v>
      </c>
      <c r="B859" s="7">
        <v>45179</v>
      </c>
      <c r="C859" s="4" t="s">
        <v>1761</v>
      </c>
      <c r="D859" s="4" t="s">
        <v>40</v>
      </c>
      <c r="E859" s="4">
        <v>6435</v>
      </c>
      <c r="F859" s="4">
        <v>7.6</v>
      </c>
      <c r="G859" s="4">
        <v>60</v>
      </c>
      <c r="H859" s="4" t="s">
        <v>19</v>
      </c>
      <c r="I859" s="4" t="s">
        <v>20</v>
      </c>
      <c r="J859" s="4" t="s">
        <v>32</v>
      </c>
      <c r="K859" s="4">
        <v>36305</v>
      </c>
      <c r="L859" s="4" t="s">
        <v>33</v>
      </c>
      <c r="M859" s="4">
        <v>0.15</v>
      </c>
      <c r="N859" s="4">
        <v>0.51</v>
      </c>
      <c r="O859" s="4">
        <v>6924.06</v>
      </c>
      <c r="P859" s="4">
        <v>0</v>
      </c>
      <c r="Q859" s="6">
        <f t="shared" si="157"/>
        <v>129.2502067709689</v>
      </c>
      <c r="R859" s="6">
        <f t="shared" si="150"/>
        <v>1320.0124062581344</v>
      </c>
      <c r="S859" s="4">
        <f t="shared" si="151"/>
        <v>12617.64705882353</v>
      </c>
      <c r="T859" s="4">
        <f t="shared" si="152"/>
        <v>3025.4166666666665</v>
      </c>
      <c r="U859" s="4">
        <f t="shared" si="153"/>
        <v>453.81249999999994</v>
      </c>
      <c r="V859" s="4">
        <f t="shared" ca="1" si="154"/>
        <v>30</v>
      </c>
      <c r="W859" s="20">
        <f t="shared" ca="1" si="159"/>
        <v>3877.5062031290672</v>
      </c>
      <c r="X859" s="4">
        <f t="shared" si="155"/>
        <v>489.0600000000004</v>
      </c>
      <c r="Y859" s="13">
        <f t="shared" si="156"/>
        <v>7.6000000000000068E-2</v>
      </c>
    </row>
    <row r="860" spans="1:25" x14ac:dyDescent="0.3">
      <c r="A860" s="12" t="s">
        <v>1762</v>
      </c>
      <c r="B860" s="7">
        <v>45021</v>
      </c>
      <c r="C860" s="4" t="s">
        <v>1763</v>
      </c>
      <c r="D860" s="4" t="s">
        <v>72</v>
      </c>
      <c r="E860" s="4">
        <v>25819</v>
      </c>
      <c r="F860" s="4">
        <v>18.5</v>
      </c>
      <c r="G860" s="4">
        <v>36</v>
      </c>
      <c r="H860" s="4" t="s">
        <v>19</v>
      </c>
      <c r="I860" s="4" t="s">
        <v>20</v>
      </c>
      <c r="J860" s="4" t="s">
        <v>47</v>
      </c>
      <c r="K860" s="4">
        <v>128262</v>
      </c>
      <c r="L860" s="4" t="s">
        <v>22</v>
      </c>
      <c r="M860" s="4">
        <v>0.49</v>
      </c>
      <c r="N860" s="4">
        <v>0.91</v>
      </c>
      <c r="O860" s="4">
        <v>30595.52</v>
      </c>
      <c r="P860" s="4">
        <v>0</v>
      </c>
      <c r="Q860" s="6">
        <f t="shared" si="157"/>
        <v>939.90749972133585</v>
      </c>
      <c r="R860" s="6">
        <f t="shared" si="150"/>
        <v>8017.6699899680898</v>
      </c>
      <c r="S860" s="4">
        <f t="shared" si="151"/>
        <v>28372.527472527472</v>
      </c>
      <c r="T860" s="4">
        <f t="shared" si="152"/>
        <v>10688.5</v>
      </c>
      <c r="U860" s="4">
        <f t="shared" si="153"/>
        <v>5237.3649999999998</v>
      </c>
      <c r="V860" s="4">
        <f t="shared" ca="1" si="154"/>
        <v>35</v>
      </c>
      <c r="W860" s="20">
        <f t="shared" ca="1" si="159"/>
        <v>32896.762490246758</v>
      </c>
      <c r="X860" s="4">
        <f t="shared" si="155"/>
        <v>4776.5200000000004</v>
      </c>
      <c r="Y860" s="13">
        <f t="shared" si="156"/>
        <v>0.18500019365583487</v>
      </c>
    </row>
    <row r="861" spans="1:25" x14ac:dyDescent="0.3">
      <c r="A861" s="12" t="s">
        <v>1764</v>
      </c>
      <c r="B861" s="7">
        <v>45221</v>
      </c>
      <c r="C861" s="4" t="s">
        <v>1765</v>
      </c>
      <c r="D861" s="4" t="s">
        <v>72</v>
      </c>
      <c r="E861" s="4">
        <v>37875</v>
      </c>
      <c r="F861" s="4">
        <v>23.9</v>
      </c>
      <c r="G861" s="4">
        <v>36</v>
      </c>
      <c r="H861" s="4" t="s">
        <v>26</v>
      </c>
      <c r="I861" s="4" t="s">
        <v>36</v>
      </c>
      <c r="J861" s="4" t="s">
        <v>32</v>
      </c>
      <c r="K861" s="4">
        <v>48782</v>
      </c>
      <c r="L861" s="4" t="s">
        <v>33</v>
      </c>
      <c r="M861" s="4">
        <v>0.33</v>
      </c>
      <c r="N861" s="4">
        <v>0.94</v>
      </c>
      <c r="O861" s="4">
        <v>9719.5400000000009</v>
      </c>
      <c r="P861" s="4">
        <v>0</v>
      </c>
      <c r="Q861" s="6">
        <f t="shared" si="157"/>
        <v>1483.9563717606848</v>
      </c>
      <c r="R861" s="6">
        <f t="shared" si="150"/>
        <v>15547.429383384653</v>
      </c>
      <c r="S861" s="4">
        <f t="shared" si="151"/>
        <v>40292.553191489365</v>
      </c>
      <c r="T861" s="4">
        <f t="shared" si="152"/>
        <v>4065.1666666666665</v>
      </c>
      <c r="U861" s="4">
        <f t="shared" si="153"/>
        <v>1341.5050000000001</v>
      </c>
      <c r="V861" s="4">
        <f t="shared" ca="1" si="154"/>
        <v>28</v>
      </c>
      <c r="W861" s="20">
        <f t="shared" ca="1" si="159"/>
        <v>41550.778409299171</v>
      </c>
      <c r="X861" s="4">
        <f t="shared" si="155"/>
        <v>-28155.46</v>
      </c>
      <c r="Y861" s="13">
        <f t="shared" si="156"/>
        <v>-0.74337848184818478</v>
      </c>
    </row>
    <row r="862" spans="1:25" x14ac:dyDescent="0.3">
      <c r="A862" s="12" t="s">
        <v>1766</v>
      </c>
      <c r="B862" s="7">
        <v>44763</v>
      </c>
      <c r="C862" s="4" t="s">
        <v>1767</v>
      </c>
      <c r="D862" s="4" t="s">
        <v>50</v>
      </c>
      <c r="E862" s="4">
        <v>32982</v>
      </c>
      <c r="F862" s="4">
        <v>10.4</v>
      </c>
      <c r="G862" s="4">
        <v>36</v>
      </c>
      <c r="H862" s="4" t="s">
        <v>26</v>
      </c>
      <c r="I862" s="4" t="s">
        <v>27</v>
      </c>
      <c r="J862" s="4" t="s">
        <v>37</v>
      </c>
      <c r="K862" s="4">
        <v>108257</v>
      </c>
      <c r="L862" s="4" t="s">
        <v>29</v>
      </c>
      <c r="M862" s="4">
        <v>0.5</v>
      </c>
      <c r="N862" s="4">
        <v>0.6</v>
      </c>
      <c r="O862" s="4">
        <v>5386.12</v>
      </c>
      <c r="P862" s="4">
        <v>0</v>
      </c>
      <c r="Q862" s="6">
        <f t="shared" si="157"/>
        <v>1070.4410610693258</v>
      </c>
      <c r="R862" s="6">
        <f t="shared" si="150"/>
        <v>5553.8781984957313</v>
      </c>
      <c r="S862" s="4">
        <f t="shared" si="151"/>
        <v>54970</v>
      </c>
      <c r="T862" s="4">
        <f t="shared" si="152"/>
        <v>9021.4166666666661</v>
      </c>
      <c r="U862" s="4">
        <f t="shared" si="153"/>
        <v>4510.708333333333</v>
      </c>
      <c r="V862" s="4">
        <f t="shared" ca="1" si="154"/>
        <v>43</v>
      </c>
      <c r="W862" s="20">
        <f t="shared" ca="1" si="159"/>
        <v>46028.965625981007</v>
      </c>
      <c r="X862" s="4">
        <f t="shared" si="155"/>
        <v>-27595.88</v>
      </c>
      <c r="Y862" s="13">
        <f t="shared" si="156"/>
        <v>-0.83669516706082103</v>
      </c>
    </row>
    <row r="863" spans="1:25" x14ac:dyDescent="0.3">
      <c r="A863" s="12" t="s">
        <v>1768</v>
      </c>
      <c r="B863" s="7">
        <v>44567</v>
      </c>
      <c r="C863" s="4" t="s">
        <v>1769</v>
      </c>
      <c r="D863" s="4" t="s">
        <v>18</v>
      </c>
      <c r="E863" s="4">
        <v>34328</v>
      </c>
      <c r="F863" s="4">
        <v>14.5</v>
      </c>
      <c r="G863" s="4">
        <v>36</v>
      </c>
      <c r="H863" s="4" t="s">
        <v>81</v>
      </c>
      <c r="I863" s="4" t="s">
        <v>27</v>
      </c>
      <c r="J863" s="4" t="s">
        <v>32</v>
      </c>
      <c r="K863" s="4">
        <v>135299</v>
      </c>
      <c r="L863" s="4" t="s">
        <v>33</v>
      </c>
      <c r="M863" s="4">
        <v>0.46</v>
      </c>
      <c r="N863" s="4">
        <v>0.59</v>
      </c>
      <c r="O863" s="4">
        <v>7246.51</v>
      </c>
      <c r="P863" s="4">
        <v>14471.77</v>
      </c>
      <c r="Q863" s="6">
        <f t="shared" si="157"/>
        <v>1181.6033136569099</v>
      </c>
      <c r="R863" s="6">
        <f t="shared" si="150"/>
        <v>8209.7192916487547</v>
      </c>
      <c r="S863" s="4">
        <f t="shared" si="151"/>
        <v>58183.050847457627</v>
      </c>
      <c r="T863" s="4">
        <f t="shared" si="152"/>
        <v>11274.916666666666</v>
      </c>
      <c r="U863" s="4">
        <f t="shared" si="153"/>
        <v>5186.461666666667</v>
      </c>
      <c r="V863" s="4">
        <f t="shared" ca="1" si="154"/>
        <v>50</v>
      </c>
      <c r="W863" s="20">
        <v>0</v>
      </c>
      <c r="X863" s="4">
        <f t="shared" si="155"/>
        <v>-12609.720000000001</v>
      </c>
      <c r="Y863" s="13">
        <f t="shared" si="156"/>
        <v>-0.36733045910044282</v>
      </c>
    </row>
    <row r="864" spans="1:25" x14ac:dyDescent="0.3">
      <c r="A864" s="12" t="s">
        <v>1770</v>
      </c>
      <c r="B864" s="7">
        <v>45132</v>
      </c>
      <c r="C864" s="4" t="s">
        <v>1771</v>
      </c>
      <c r="D864" s="4" t="s">
        <v>40</v>
      </c>
      <c r="E864" s="4">
        <v>13329</v>
      </c>
      <c r="F864" s="4">
        <v>17.7</v>
      </c>
      <c r="G864" s="4">
        <v>36</v>
      </c>
      <c r="H864" s="4" t="s">
        <v>19</v>
      </c>
      <c r="I864" s="4" t="s">
        <v>73</v>
      </c>
      <c r="J864" s="4" t="s">
        <v>21</v>
      </c>
      <c r="K864" s="4">
        <v>107963</v>
      </c>
      <c r="L864" s="4" t="s">
        <v>29</v>
      </c>
      <c r="M864" s="4">
        <v>0.19</v>
      </c>
      <c r="N864" s="4">
        <v>0.84</v>
      </c>
      <c r="O864" s="4">
        <v>15688.23</v>
      </c>
      <c r="P864" s="4">
        <v>0</v>
      </c>
      <c r="Q864" s="6">
        <f t="shared" si="157"/>
        <v>479.87170987253478</v>
      </c>
      <c r="R864" s="6">
        <f t="shared" si="150"/>
        <v>3946.3815554112516</v>
      </c>
      <c r="S864" s="4">
        <f t="shared" si="151"/>
        <v>15867.857142857143</v>
      </c>
      <c r="T864" s="4">
        <f t="shared" si="152"/>
        <v>8996.9166666666661</v>
      </c>
      <c r="U864" s="4">
        <f t="shared" si="153"/>
        <v>1709.4141666666665</v>
      </c>
      <c r="V864" s="4">
        <f t="shared" ca="1" si="154"/>
        <v>31</v>
      </c>
      <c r="W864" s="20">
        <f t="shared" ref="W864:W872" ca="1" si="160">V864*Q864</f>
        <v>14876.023006048577</v>
      </c>
      <c r="X864" s="4">
        <f t="shared" si="155"/>
        <v>2359.2299999999996</v>
      </c>
      <c r="Y864" s="13">
        <f t="shared" si="156"/>
        <v>0.17699977492685121</v>
      </c>
    </row>
    <row r="865" spans="1:25" x14ac:dyDescent="0.3">
      <c r="A865" s="12" t="s">
        <v>1772</v>
      </c>
      <c r="B865" s="7">
        <v>44857</v>
      </c>
      <c r="C865" s="4" t="s">
        <v>1773</v>
      </c>
      <c r="D865" s="4" t="s">
        <v>46</v>
      </c>
      <c r="E865" s="4">
        <v>26169</v>
      </c>
      <c r="F865" s="4">
        <v>25</v>
      </c>
      <c r="G865" s="4">
        <v>36</v>
      </c>
      <c r="H865" s="4" t="s">
        <v>19</v>
      </c>
      <c r="I865" s="4" t="s">
        <v>84</v>
      </c>
      <c r="J865" s="4" t="s">
        <v>28</v>
      </c>
      <c r="K865" s="4">
        <v>142086</v>
      </c>
      <c r="L865" s="4" t="s">
        <v>29</v>
      </c>
      <c r="M865" s="4">
        <v>0.12</v>
      </c>
      <c r="N865" s="4">
        <v>0.61</v>
      </c>
      <c r="O865" s="4">
        <v>32711.25</v>
      </c>
      <c r="P865" s="4">
        <v>0</v>
      </c>
      <c r="Q865" s="6">
        <f t="shared" si="157"/>
        <v>1040.4748840099558</v>
      </c>
      <c r="R865" s="6">
        <f t="shared" si="150"/>
        <v>11288.09582435841</v>
      </c>
      <c r="S865" s="4">
        <f t="shared" si="151"/>
        <v>42900</v>
      </c>
      <c r="T865" s="4">
        <f t="shared" si="152"/>
        <v>11840.5</v>
      </c>
      <c r="U865" s="4">
        <f t="shared" si="153"/>
        <v>1420.86</v>
      </c>
      <c r="V865" s="4">
        <f t="shared" ca="1" si="154"/>
        <v>40</v>
      </c>
      <c r="W865" s="20">
        <f t="shared" ca="1" si="160"/>
        <v>41618.995360398229</v>
      </c>
      <c r="X865" s="4">
        <f t="shared" si="155"/>
        <v>6542.25</v>
      </c>
      <c r="Y865" s="13">
        <f t="shared" si="156"/>
        <v>0.25</v>
      </c>
    </row>
    <row r="866" spans="1:25" x14ac:dyDescent="0.3">
      <c r="A866" s="12" t="s">
        <v>1774</v>
      </c>
      <c r="B866" s="7">
        <v>45165</v>
      </c>
      <c r="C866" s="4" t="s">
        <v>1775</v>
      </c>
      <c r="D866" s="4" t="s">
        <v>56</v>
      </c>
      <c r="E866" s="4">
        <v>22932</v>
      </c>
      <c r="F866" s="4">
        <v>7.1</v>
      </c>
      <c r="G866" s="4">
        <v>60</v>
      </c>
      <c r="H866" s="4" t="s">
        <v>19</v>
      </c>
      <c r="I866" s="4" t="s">
        <v>20</v>
      </c>
      <c r="J866" s="4" t="s">
        <v>32</v>
      </c>
      <c r="K866" s="4">
        <v>50566</v>
      </c>
      <c r="L866" s="4" t="s">
        <v>29</v>
      </c>
      <c r="M866" s="4">
        <v>0.2</v>
      </c>
      <c r="N866" s="4">
        <v>0.9</v>
      </c>
      <c r="O866" s="4">
        <v>24560.17</v>
      </c>
      <c r="P866" s="4">
        <v>0</v>
      </c>
      <c r="Q866" s="6">
        <f t="shared" si="157"/>
        <v>455.16380005834617</v>
      </c>
      <c r="R866" s="6">
        <f t="shared" si="150"/>
        <v>4377.8280035007701</v>
      </c>
      <c r="S866" s="4">
        <f t="shared" si="151"/>
        <v>25480</v>
      </c>
      <c r="T866" s="4">
        <f t="shared" si="152"/>
        <v>4213.833333333333</v>
      </c>
      <c r="U866" s="4">
        <f t="shared" si="153"/>
        <v>842.76666666666665</v>
      </c>
      <c r="V866" s="4">
        <f t="shared" ca="1" si="154"/>
        <v>30</v>
      </c>
      <c r="W866" s="20">
        <f t="shared" ca="1" si="160"/>
        <v>13654.914001750385</v>
      </c>
      <c r="X866" s="4">
        <f t="shared" si="155"/>
        <v>1628.1699999999983</v>
      </c>
      <c r="Y866" s="13">
        <f t="shared" si="156"/>
        <v>7.0999912785626992E-2</v>
      </c>
    </row>
    <row r="867" spans="1:25" x14ac:dyDescent="0.3">
      <c r="A867" s="12" t="s">
        <v>1776</v>
      </c>
      <c r="B867" s="7">
        <v>44398</v>
      </c>
      <c r="C867" s="4" t="s">
        <v>1777</v>
      </c>
      <c r="D867" s="4" t="s">
        <v>18</v>
      </c>
      <c r="E867" s="4">
        <v>35594</v>
      </c>
      <c r="F867" s="4">
        <v>15</v>
      </c>
      <c r="G867" s="4">
        <v>60</v>
      </c>
      <c r="H867" s="4" t="s">
        <v>19</v>
      </c>
      <c r="I867" s="4" t="s">
        <v>57</v>
      </c>
      <c r="J867" s="4" t="s">
        <v>28</v>
      </c>
      <c r="K867" s="4">
        <v>97766</v>
      </c>
      <c r="L867" s="4" t="s">
        <v>33</v>
      </c>
      <c r="M867" s="4">
        <v>0.31</v>
      </c>
      <c r="N867" s="4">
        <v>0.76</v>
      </c>
      <c r="O867" s="4">
        <v>40933.1</v>
      </c>
      <c r="P867" s="4">
        <v>0</v>
      </c>
      <c r="Q867" s="6">
        <f t="shared" si="157"/>
        <v>846.77877149385267</v>
      </c>
      <c r="R867" s="6">
        <f t="shared" si="150"/>
        <v>15212.726289631159</v>
      </c>
      <c r="S867" s="4">
        <f t="shared" si="151"/>
        <v>46834.210526315786</v>
      </c>
      <c r="T867" s="4">
        <f t="shared" si="152"/>
        <v>8147.166666666667</v>
      </c>
      <c r="U867" s="4">
        <f t="shared" si="153"/>
        <v>2525.6216666666669</v>
      </c>
      <c r="V867" s="4">
        <f t="shared" ca="1" si="154"/>
        <v>55</v>
      </c>
      <c r="W867" s="20">
        <f t="shared" ca="1" si="160"/>
        <v>46572.8324321619</v>
      </c>
      <c r="X867" s="4">
        <f t="shared" si="155"/>
        <v>5339.0999999999985</v>
      </c>
      <c r="Y867" s="13">
        <f t="shared" si="156"/>
        <v>0.14999999999999997</v>
      </c>
    </row>
    <row r="868" spans="1:25" x14ac:dyDescent="0.3">
      <c r="A868" s="12" t="s">
        <v>1778</v>
      </c>
      <c r="B868" s="7">
        <v>44509</v>
      </c>
      <c r="C868" s="4" t="s">
        <v>1779</v>
      </c>
      <c r="D868" s="4" t="s">
        <v>53</v>
      </c>
      <c r="E868" s="4">
        <v>12421</v>
      </c>
      <c r="F868" s="4">
        <v>12.7</v>
      </c>
      <c r="G868" s="4">
        <v>60</v>
      </c>
      <c r="H868" s="4" t="s">
        <v>19</v>
      </c>
      <c r="I868" s="4" t="s">
        <v>73</v>
      </c>
      <c r="J868" s="4" t="s">
        <v>37</v>
      </c>
      <c r="K868" s="4">
        <v>36511</v>
      </c>
      <c r="L868" s="4" t="s">
        <v>33</v>
      </c>
      <c r="M868" s="4">
        <v>0.17</v>
      </c>
      <c r="N868" s="4">
        <v>0.66</v>
      </c>
      <c r="O868" s="4">
        <v>13998.47</v>
      </c>
      <c r="P868" s="4">
        <v>0</v>
      </c>
      <c r="Q868" s="6">
        <f t="shared" si="157"/>
        <v>280.71205591441509</v>
      </c>
      <c r="R868" s="6">
        <f t="shared" si="150"/>
        <v>4421.7233548649056</v>
      </c>
      <c r="S868" s="4">
        <f t="shared" si="151"/>
        <v>18819.696969696968</v>
      </c>
      <c r="T868" s="4">
        <f t="shared" si="152"/>
        <v>3042.5833333333335</v>
      </c>
      <c r="U868" s="4">
        <f t="shared" si="153"/>
        <v>517.23916666666673</v>
      </c>
      <c r="V868" s="4">
        <f t="shared" ca="1" si="154"/>
        <v>52</v>
      </c>
      <c r="W868" s="20">
        <f t="shared" ca="1" si="160"/>
        <v>14597.026907549585</v>
      </c>
      <c r="X868" s="4">
        <f t="shared" si="155"/>
        <v>1577.4699999999993</v>
      </c>
      <c r="Y868" s="13">
        <f t="shared" si="156"/>
        <v>0.12700024152644709</v>
      </c>
    </row>
    <row r="869" spans="1:25" x14ac:dyDescent="0.3">
      <c r="A869" s="12" t="s">
        <v>1780</v>
      </c>
      <c r="B869" s="7">
        <v>44313</v>
      </c>
      <c r="C869" s="4" t="s">
        <v>1781</v>
      </c>
      <c r="D869" s="4" t="s">
        <v>65</v>
      </c>
      <c r="E869" s="4">
        <v>8629</v>
      </c>
      <c r="F869" s="4">
        <v>22.3</v>
      </c>
      <c r="G869" s="4">
        <v>36</v>
      </c>
      <c r="H869" s="4" t="s">
        <v>26</v>
      </c>
      <c r="I869" s="4" t="s">
        <v>20</v>
      </c>
      <c r="J869" s="4" t="s">
        <v>28</v>
      </c>
      <c r="K869" s="4">
        <v>144816</v>
      </c>
      <c r="L869" s="4" t="s">
        <v>22</v>
      </c>
      <c r="M869" s="4">
        <v>0.17</v>
      </c>
      <c r="N869" s="4">
        <v>0.87</v>
      </c>
      <c r="O869" s="4">
        <v>510.03</v>
      </c>
      <c r="P869" s="4">
        <v>0</v>
      </c>
      <c r="Q869" s="6">
        <f t="shared" si="157"/>
        <v>330.88614048400092</v>
      </c>
      <c r="R869" s="6">
        <f t="shared" si="150"/>
        <v>3282.9010574240328</v>
      </c>
      <c r="S869" s="4">
        <f t="shared" si="151"/>
        <v>9918.3908045977005</v>
      </c>
      <c r="T869" s="4">
        <f t="shared" si="152"/>
        <v>12068</v>
      </c>
      <c r="U869" s="4">
        <f t="shared" si="153"/>
        <v>2051.56</v>
      </c>
      <c r="V869" s="4">
        <f t="shared" ca="1" si="154"/>
        <v>58</v>
      </c>
      <c r="W869" s="20">
        <f t="shared" ca="1" si="160"/>
        <v>19191.396148072054</v>
      </c>
      <c r="X869" s="4">
        <f t="shared" si="155"/>
        <v>-8118.97</v>
      </c>
      <c r="Y869" s="13">
        <f t="shared" si="156"/>
        <v>-0.94089349866728478</v>
      </c>
    </row>
    <row r="870" spans="1:25" x14ac:dyDescent="0.3">
      <c r="A870" s="12" t="s">
        <v>1782</v>
      </c>
      <c r="B870" s="7">
        <v>45133</v>
      </c>
      <c r="C870" s="4" t="s">
        <v>1783</v>
      </c>
      <c r="D870" s="4" t="s">
        <v>76</v>
      </c>
      <c r="E870" s="4">
        <v>9325</v>
      </c>
      <c r="F870" s="4">
        <v>14.5</v>
      </c>
      <c r="G870" s="4">
        <v>60</v>
      </c>
      <c r="H870" s="4" t="s">
        <v>19</v>
      </c>
      <c r="I870" s="4" t="s">
        <v>57</v>
      </c>
      <c r="J870" s="4" t="s">
        <v>32</v>
      </c>
      <c r="K870" s="4">
        <v>137765</v>
      </c>
      <c r="L870" s="4" t="s">
        <v>22</v>
      </c>
      <c r="M870" s="4">
        <v>0.28999999999999998</v>
      </c>
      <c r="N870" s="4">
        <v>0.72</v>
      </c>
      <c r="O870" s="4">
        <v>10677.12</v>
      </c>
      <c r="P870" s="4">
        <v>0</v>
      </c>
      <c r="Q870" s="6">
        <f t="shared" si="157"/>
        <v>219.40122107900149</v>
      </c>
      <c r="R870" s="6">
        <f t="shared" si="150"/>
        <v>3839.0732647400891</v>
      </c>
      <c r="S870" s="4">
        <f t="shared" si="151"/>
        <v>12951.388888888889</v>
      </c>
      <c r="T870" s="4">
        <f t="shared" si="152"/>
        <v>11480.416666666666</v>
      </c>
      <c r="U870" s="4">
        <f t="shared" si="153"/>
        <v>3329.3208333333328</v>
      </c>
      <c r="V870" s="4">
        <f t="shared" ca="1" si="154"/>
        <v>31</v>
      </c>
      <c r="W870" s="20">
        <f t="shared" ca="1" si="160"/>
        <v>6801.4378534490461</v>
      </c>
      <c r="X870" s="4">
        <f t="shared" si="155"/>
        <v>1352.1200000000008</v>
      </c>
      <c r="Y870" s="13">
        <f t="shared" si="156"/>
        <v>0.1449994638069706</v>
      </c>
    </row>
    <row r="871" spans="1:25" x14ac:dyDescent="0.3">
      <c r="A871" s="12" t="s">
        <v>1784</v>
      </c>
      <c r="B871" s="7">
        <v>44771</v>
      </c>
      <c r="C871" s="4" t="s">
        <v>1785</v>
      </c>
      <c r="D871" s="4" t="s">
        <v>18</v>
      </c>
      <c r="E871" s="4">
        <v>29495</v>
      </c>
      <c r="F871" s="4">
        <v>7.2</v>
      </c>
      <c r="G871" s="4">
        <v>36</v>
      </c>
      <c r="H871" s="4" t="s">
        <v>26</v>
      </c>
      <c r="I871" s="4" t="s">
        <v>57</v>
      </c>
      <c r="J871" s="4" t="s">
        <v>32</v>
      </c>
      <c r="K871" s="4">
        <v>148360</v>
      </c>
      <c r="L871" s="4" t="s">
        <v>33</v>
      </c>
      <c r="M871" s="4">
        <v>0.11</v>
      </c>
      <c r="N871" s="4">
        <v>0.91</v>
      </c>
      <c r="O871" s="4">
        <v>8429.58</v>
      </c>
      <c r="P871" s="4">
        <v>0</v>
      </c>
      <c r="Q871" s="6">
        <f t="shared" si="157"/>
        <v>913.41951115770757</v>
      </c>
      <c r="R871" s="6">
        <f t="shared" si="150"/>
        <v>3388.1024016774754</v>
      </c>
      <c r="S871" s="4">
        <f t="shared" si="151"/>
        <v>32412.087912087911</v>
      </c>
      <c r="T871" s="4">
        <f t="shared" si="152"/>
        <v>12363.333333333334</v>
      </c>
      <c r="U871" s="4">
        <f t="shared" si="153"/>
        <v>1359.9666666666667</v>
      </c>
      <c r="V871" s="4">
        <f t="shared" ca="1" si="154"/>
        <v>43</v>
      </c>
      <c r="W871" s="20">
        <f t="shared" ca="1" si="160"/>
        <v>39277.038979781428</v>
      </c>
      <c r="X871" s="4">
        <f t="shared" si="155"/>
        <v>-21065.42</v>
      </c>
      <c r="Y871" s="13">
        <f t="shared" si="156"/>
        <v>-0.71420308526868959</v>
      </c>
    </row>
    <row r="872" spans="1:25" x14ac:dyDescent="0.3">
      <c r="A872" s="12" t="s">
        <v>1786</v>
      </c>
      <c r="B872" s="7">
        <v>44440</v>
      </c>
      <c r="C872" s="4" t="s">
        <v>1787</v>
      </c>
      <c r="D872" s="4" t="s">
        <v>76</v>
      </c>
      <c r="E872" s="4">
        <v>32750</v>
      </c>
      <c r="F872" s="4">
        <v>17.7</v>
      </c>
      <c r="G872" s="4">
        <v>36</v>
      </c>
      <c r="H872" s="4" t="s">
        <v>19</v>
      </c>
      <c r="I872" s="4" t="s">
        <v>20</v>
      </c>
      <c r="J872" s="4" t="s">
        <v>47</v>
      </c>
      <c r="K872" s="4">
        <v>56177</v>
      </c>
      <c r="L872" s="4" t="s">
        <v>33</v>
      </c>
      <c r="M872" s="4">
        <v>0.15</v>
      </c>
      <c r="N872" s="4">
        <v>0.92</v>
      </c>
      <c r="O872" s="4">
        <v>38546.75</v>
      </c>
      <c r="P872" s="4">
        <v>0</v>
      </c>
      <c r="Q872" s="6">
        <f t="shared" si="157"/>
        <v>1179.0680845018765</v>
      </c>
      <c r="R872" s="6">
        <f t="shared" si="150"/>
        <v>9696.4510420675506</v>
      </c>
      <c r="S872" s="4">
        <f t="shared" si="151"/>
        <v>35597.82608695652</v>
      </c>
      <c r="T872" s="4">
        <f t="shared" si="152"/>
        <v>4681.416666666667</v>
      </c>
      <c r="U872" s="4">
        <f t="shared" si="153"/>
        <v>702.21249999999998</v>
      </c>
      <c r="V872" s="4">
        <f t="shared" ca="1" si="154"/>
        <v>54</v>
      </c>
      <c r="W872" s="20">
        <f t="shared" ca="1" si="160"/>
        <v>63669.676563101326</v>
      </c>
      <c r="X872" s="4">
        <f t="shared" si="155"/>
        <v>5796.75</v>
      </c>
      <c r="Y872" s="13">
        <f t="shared" si="156"/>
        <v>0.17699999999999999</v>
      </c>
    </row>
    <row r="873" spans="1:25" x14ac:dyDescent="0.3">
      <c r="A873" s="12" t="s">
        <v>1788</v>
      </c>
      <c r="B873" s="7">
        <v>44733</v>
      </c>
      <c r="C873" s="4" t="s">
        <v>1789</v>
      </c>
      <c r="D873" s="4" t="s">
        <v>18</v>
      </c>
      <c r="E873" s="4">
        <v>30619</v>
      </c>
      <c r="F873" s="4">
        <v>20.399999999999999</v>
      </c>
      <c r="G873" s="4">
        <v>36</v>
      </c>
      <c r="H873" s="4" t="s">
        <v>81</v>
      </c>
      <c r="I873" s="4" t="s">
        <v>20</v>
      </c>
      <c r="J873" s="4" t="s">
        <v>32</v>
      </c>
      <c r="K873" s="4">
        <v>34765</v>
      </c>
      <c r="L873" s="4" t="s">
        <v>33</v>
      </c>
      <c r="M873" s="4">
        <v>0.27</v>
      </c>
      <c r="N873" s="4">
        <v>0.56999999999999995</v>
      </c>
      <c r="O873" s="4">
        <v>7701.21</v>
      </c>
      <c r="P873" s="4">
        <v>8440.1</v>
      </c>
      <c r="Q873" s="6">
        <f t="shared" si="157"/>
        <v>1144.1618363194841</v>
      </c>
      <c r="R873" s="6">
        <f t="shared" si="150"/>
        <v>10570.826107501431</v>
      </c>
      <c r="S873" s="4">
        <f t="shared" si="151"/>
        <v>53717.543859649129</v>
      </c>
      <c r="T873" s="4">
        <f t="shared" si="152"/>
        <v>2897.0833333333335</v>
      </c>
      <c r="U873" s="4">
        <f t="shared" si="153"/>
        <v>782.21250000000009</v>
      </c>
      <c r="V873" s="4">
        <f t="shared" ca="1" si="154"/>
        <v>44</v>
      </c>
      <c r="W873" s="20">
        <v>0</v>
      </c>
      <c r="X873" s="4">
        <f t="shared" si="155"/>
        <v>-14477.689999999999</v>
      </c>
      <c r="Y873" s="13">
        <f t="shared" si="156"/>
        <v>-0.47283353473333545</v>
      </c>
    </row>
    <row r="874" spans="1:25" x14ac:dyDescent="0.3">
      <c r="A874" s="12" t="s">
        <v>1790</v>
      </c>
      <c r="B874" s="7">
        <v>44271</v>
      </c>
      <c r="C874" s="4" t="s">
        <v>1791</v>
      </c>
      <c r="D874" s="4" t="s">
        <v>50</v>
      </c>
      <c r="E874" s="4">
        <v>9264</v>
      </c>
      <c r="F874" s="4">
        <v>5.0999999999999996</v>
      </c>
      <c r="G874" s="4">
        <v>36</v>
      </c>
      <c r="H874" s="4" t="s">
        <v>26</v>
      </c>
      <c r="I874" s="4" t="s">
        <v>27</v>
      </c>
      <c r="J874" s="4" t="s">
        <v>28</v>
      </c>
      <c r="K874" s="4">
        <v>50354</v>
      </c>
      <c r="L874" s="4" t="s">
        <v>33</v>
      </c>
      <c r="M874" s="4">
        <v>0.13</v>
      </c>
      <c r="N874" s="4">
        <v>0.5</v>
      </c>
      <c r="O874" s="4">
        <v>2652.86</v>
      </c>
      <c r="P874" s="4">
        <v>0</v>
      </c>
      <c r="Q874" s="6">
        <f t="shared" si="157"/>
        <v>278.0665149227417</v>
      </c>
      <c r="R874" s="6">
        <f t="shared" si="150"/>
        <v>746.39453721870086</v>
      </c>
      <c r="S874" s="4">
        <f t="shared" si="151"/>
        <v>18528</v>
      </c>
      <c r="T874" s="4">
        <f t="shared" si="152"/>
        <v>4196.166666666667</v>
      </c>
      <c r="U874" s="4">
        <f t="shared" si="153"/>
        <v>545.50166666666678</v>
      </c>
      <c r="V874" s="4">
        <f t="shared" ca="1" si="154"/>
        <v>60</v>
      </c>
      <c r="W874" s="20">
        <f ca="1">V874*Q874</f>
        <v>16683.990895364503</v>
      </c>
      <c r="X874" s="4">
        <f t="shared" si="155"/>
        <v>-6611.1399999999994</v>
      </c>
      <c r="Y874" s="13">
        <f t="shared" si="156"/>
        <v>-0.71363773747841097</v>
      </c>
    </row>
    <row r="875" spans="1:25" x14ac:dyDescent="0.3">
      <c r="A875" s="12" t="s">
        <v>1792</v>
      </c>
      <c r="B875" s="7">
        <v>44582</v>
      </c>
      <c r="C875" s="4" t="s">
        <v>1793</v>
      </c>
      <c r="D875" s="4" t="s">
        <v>76</v>
      </c>
      <c r="E875" s="4">
        <v>13686</v>
      </c>
      <c r="F875" s="4">
        <v>22.2</v>
      </c>
      <c r="G875" s="4">
        <v>60</v>
      </c>
      <c r="H875" s="4" t="s">
        <v>60</v>
      </c>
      <c r="I875" s="4" t="s">
        <v>20</v>
      </c>
      <c r="J875" s="4" t="s">
        <v>47</v>
      </c>
      <c r="K875" s="4">
        <v>53929</v>
      </c>
      <c r="L875" s="4" t="s">
        <v>29</v>
      </c>
      <c r="M875" s="4">
        <v>0.26</v>
      </c>
      <c r="N875" s="4">
        <v>0.94</v>
      </c>
      <c r="O875" s="4">
        <v>0</v>
      </c>
      <c r="P875" s="4">
        <v>0</v>
      </c>
      <c r="Q875" s="6">
        <f t="shared" si="157"/>
        <v>379.55035561365895</v>
      </c>
      <c r="R875" s="6">
        <f t="shared" si="150"/>
        <v>9087.0213368195364</v>
      </c>
      <c r="S875" s="4">
        <f t="shared" si="151"/>
        <v>14559.574468085108</v>
      </c>
      <c r="T875" s="4">
        <f t="shared" si="152"/>
        <v>4494.083333333333</v>
      </c>
      <c r="U875" s="4">
        <f t="shared" si="153"/>
        <v>1168.4616666666666</v>
      </c>
      <c r="V875" s="4">
        <f t="shared" ca="1" si="154"/>
        <v>49</v>
      </c>
      <c r="W875" s="20">
        <f ca="1">V875*Q875</f>
        <v>18597.967425069288</v>
      </c>
      <c r="X875" s="4">
        <f t="shared" si="155"/>
        <v>-13686</v>
      </c>
      <c r="Y875" s="13">
        <f t="shared" si="156"/>
        <v>-1</v>
      </c>
    </row>
    <row r="876" spans="1:25" x14ac:dyDescent="0.3">
      <c r="A876" s="12" t="s">
        <v>1794</v>
      </c>
      <c r="B876" s="7">
        <v>44671</v>
      </c>
      <c r="C876" s="4" t="s">
        <v>1795</v>
      </c>
      <c r="D876" s="4" t="s">
        <v>18</v>
      </c>
      <c r="E876" s="4">
        <v>25226</v>
      </c>
      <c r="F876" s="4">
        <v>8.6999999999999993</v>
      </c>
      <c r="G876" s="4">
        <v>36</v>
      </c>
      <c r="H876" s="4" t="s">
        <v>81</v>
      </c>
      <c r="I876" s="4" t="s">
        <v>36</v>
      </c>
      <c r="J876" s="4" t="s">
        <v>32</v>
      </c>
      <c r="K876" s="4">
        <v>58820</v>
      </c>
      <c r="L876" s="4" t="s">
        <v>29</v>
      </c>
      <c r="M876" s="4">
        <v>0.28999999999999998</v>
      </c>
      <c r="N876" s="4">
        <v>0.91</v>
      </c>
      <c r="O876" s="4">
        <v>9893.8700000000008</v>
      </c>
      <c r="P876" s="4">
        <v>7297.15</v>
      </c>
      <c r="Q876" s="6">
        <f t="shared" si="157"/>
        <v>798.6625462816462</v>
      </c>
      <c r="R876" s="6">
        <f t="shared" si="150"/>
        <v>3525.8516661392641</v>
      </c>
      <c r="S876" s="4">
        <f t="shared" si="151"/>
        <v>27720.879120879119</v>
      </c>
      <c r="T876" s="4">
        <f t="shared" si="152"/>
        <v>4901.666666666667</v>
      </c>
      <c r="U876" s="4">
        <f t="shared" si="153"/>
        <v>1421.4833333333333</v>
      </c>
      <c r="V876" s="4">
        <f t="shared" ca="1" si="154"/>
        <v>46</v>
      </c>
      <c r="W876" s="20">
        <v>0</v>
      </c>
      <c r="X876" s="4">
        <f t="shared" si="155"/>
        <v>-8034.98</v>
      </c>
      <c r="Y876" s="13">
        <f t="shared" si="156"/>
        <v>-0.3185197811781495</v>
      </c>
    </row>
    <row r="877" spans="1:25" x14ac:dyDescent="0.3">
      <c r="A877" s="12" t="s">
        <v>1796</v>
      </c>
      <c r="B877" s="7">
        <v>44614</v>
      </c>
      <c r="C877" s="4" t="s">
        <v>1797</v>
      </c>
      <c r="D877" s="4" t="s">
        <v>72</v>
      </c>
      <c r="E877" s="4">
        <v>7721</v>
      </c>
      <c r="F877" s="4">
        <v>16</v>
      </c>
      <c r="G877" s="4">
        <v>60</v>
      </c>
      <c r="H877" s="4" t="s">
        <v>81</v>
      </c>
      <c r="I877" s="4" t="s">
        <v>20</v>
      </c>
      <c r="J877" s="4" t="s">
        <v>32</v>
      </c>
      <c r="K877" s="4">
        <v>141576</v>
      </c>
      <c r="L877" s="4" t="s">
        <v>29</v>
      </c>
      <c r="M877" s="4">
        <v>0.28000000000000003</v>
      </c>
      <c r="N877" s="4">
        <v>0.52</v>
      </c>
      <c r="O877" s="4">
        <v>2883.3</v>
      </c>
      <c r="P877" s="4">
        <v>822.57</v>
      </c>
      <c r="Q877" s="6">
        <f t="shared" si="157"/>
        <v>187.75971899540886</v>
      </c>
      <c r="R877" s="6">
        <f t="shared" si="150"/>
        <v>3544.5831397245311</v>
      </c>
      <c r="S877" s="4">
        <f t="shared" si="151"/>
        <v>14848.076923076922</v>
      </c>
      <c r="T877" s="4">
        <f t="shared" si="152"/>
        <v>11798</v>
      </c>
      <c r="U877" s="4">
        <f t="shared" si="153"/>
        <v>3303.4400000000005</v>
      </c>
      <c r="V877" s="4">
        <f t="shared" ca="1" si="154"/>
        <v>48</v>
      </c>
      <c r="W877" s="20">
        <v>0</v>
      </c>
      <c r="X877" s="4">
        <f t="shared" si="155"/>
        <v>-4015.1299999999997</v>
      </c>
      <c r="Y877" s="13">
        <f t="shared" si="156"/>
        <v>-0.52002719854941071</v>
      </c>
    </row>
    <row r="878" spans="1:25" x14ac:dyDescent="0.3">
      <c r="A878" s="12" t="s">
        <v>1798</v>
      </c>
      <c r="B878" s="7">
        <v>44543</v>
      </c>
      <c r="C878" s="4" t="s">
        <v>1799</v>
      </c>
      <c r="D878" s="4" t="s">
        <v>76</v>
      </c>
      <c r="E878" s="4">
        <v>21609</v>
      </c>
      <c r="F878" s="4">
        <v>13.3</v>
      </c>
      <c r="G878" s="4">
        <v>36</v>
      </c>
      <c r="H878" s="4" t="s">
        <v>81</v>
      </c>
      <c r="I878" s="4" t="s">
        <v>84</v>
      </c>
      <c r="J878" s="4" t="s">
        <v>37</v>
      </c>
      <c r="K878" s="4">
        <v>59523</v>
      </c>
      <c r="L878" s="4" t="s">
        <v>33</v>
      </c>
      <c r="M878" s="4">
        <v>0.45</v>
      </c>
      <c r="N878" s="4">
        <v>0.87</v>
      </c>
      <c r="O878" s="4">
        <v>3209.24</v>
      </c>
      <c r="P878" s="4">
        <v>5044.0600000000004</v>
      </c>
      <c r="Q878" s="6">
        <f t="shared" si="157"/>
        <v>731.2190042078787</v>
      </c>
      <c r="R878" s="6">
        <f t="shared" si="150"/>
        <v>4714.8841514836313</v>
      </c>
      <c r="S878" s="4">
        <f t="shared" si="151"/>
        <v>24837.931034482757</v>
      </c>
      <c r="T878" s="4">
        <f t="shared" si="152"/>
        <v>4960.25</v>
      </c>
      <c r="U878" s="4">
        <f t="shared" si="153"/>
        <v>2232.1125000000002</v>
      </c>
      <c r="V878" s="4">
        <f t="shared" ca="1" si="154"/>
        <v>51</v>
      </c>
      <c r="W878" s="20">
        <v>0</v>
      </c>
      <c r="X878" s="4">
        <f t="shared" si="155"/>
        <v>-13355.7</v>
      </c>
      <c r="Y878" s="13">
        <f t="shared" si="156"/>
        <v>-0.61806191864500903</v>
      </c>
    </row>
    <row r="879" spans="1:25" x14ac:dyDescent="0.3">
      <c r="A879" s="12" t="s">
        <v>1800</v>
      </c>
      <c r="B879" s="7">
        <v>44836</v>
      </c>
      <c r="C879" s="4" t="s">
        <v>1801</v>
      </c>
      <c r="D879" s="4" t="s">
        <v>18</v>
      </c>
      <c r="E879" s="4">
        <v>8373</v>
      </c>
      <c r="F879" s="4">
        <v>19.399999999999999</v>
      </c>
      <c r="G879" s="4">
        <v>60</v>
      </c>
      <c r="H879" s="4" t="s">
        <v>26</v>
      </c>
      <c r="I879" s="4" t="s">
        <v>36</v>
      </c>
      <c r="J879" s="4" t="s">
        <v>47</v>
      </c>
      <c r="K879" s="4">
        <v>101088</v>
      </c>
      <c r="L879" s="4" t="s">
        <v>29</v>
      </c>
      <c r="M879" s="4">
        <v>0.31</v>
      </c>
      <c r="N879" s="4">
        <v>0.71</v>
      </c>
      <c r="O879" s="4">
        <v>1808.54</v>
      </c>
      <c r="P879" s="4">
        <v>0</v>
      </c>
      <c r="Q879" s="6">
        <f t="shared" si="157"/>
        <v>219.0472479990934</v>
      </c>
      <c r="R879" s="6">
        <f t="shared" si="150"/>
        <v>4769.8348799456035</v>
      </c>
      <c r="S879" s="4">
        <f t="shared" si="151"/>
        <v>11792.957746478874</v>
      </c>
      <c r="T879" s="4">
        <f t="shared" si="152"/>
        <v>8424</v>
      </c>
      <c r="U879" s="4">
        <f t="shared" si="153"/>
        <v>2611.44</v>
      </c>
      <c r="V879" s="4">
        <f t="shared" ca="1" si="154"/>
        <v>41</v>
      </c>
      <c r="W879" s="20">
        <f t="shared" ref="W879:W884" ca="1" si="161">V879*Q879</f>
        <v>8980.9371679628293</v>
      </c>
      <c r="X879" s="4">
        <f t="shared" si="155"/>
        <v>-6564.46</v>
      </c>
      <c r="Y879" s="13">
        <f t="shared" si="156"/>
        <v>-0.78400334408216887</v>
      </c>
    </row>
    <row r="880" spans="1:25" x14ac:dyDescent="0.3">
      <c r="A880" s="12" t="s">
        <v>1802</v>
      </c>
      <c r="B880" s="7">
        <v>45135</v>
      </c>
      <c r="C880" s="4" t="s">
        <v>1803</v>
      </c>
      <c r="D880" s="4" t="s">
        <v>56</v>
      </c>
      <c r="E880" s="4">
        <v>39675</v>
      </c>
      <c r="F880" s="4">
        <v>12.4</v>
      </c>
      <c r="G880" s="4">
        <v>60</v>
      </c>
      <c r="H880" s="4" t="s">
        <v>19</v>
      </c>
      <c r="I880" s="4" t="s">
        <v>36</v>
      </c>
      <c r="J880" s="4" t="s">
        <v>37</v>
      </c>
      <c r="K880" s="4">
        <v>96163</v>
      </c>
      <c r="L880" s="4" t="s">
        <v>29</v>
      </c>
      <c r="M880" s="4">
        <v>0.28999999999999998</v>
      </c>
      <c r="N880" s="4">
        <v>0.62</v>
      </c>
      <c r="O880" s="4">
        <v>44594.7</v>
      </c>
      <c r="P880" s="4">
        <v>0</v>
      </c>
      <c r="Q880" s="6">
        <f t="shared" si="157"/>
        <v>890.58902505911601</v>
      </c>
      <c r="R880" s="6">
        <f t="shared" si="150"/>
        <v>13760.341503546959</v>
      </c>
      <c r="S880" s="4">
        <f t="shared" si="151"/>
        <v>63991.93548387097</v>
      </c>
      <c r="T880" s="4">
        <f t="shared" si="152"/>
        <v>8013.583333333333</v>
      </c>
      <c r="U880" s="4">
        <f t="shared" si="153"/>
        <v>2323.9391666666666</v>
      </c>
      <c r="V880" s="4">
        <f t="shared" ca="1" si="154"/>
        <v>31</v>
      </c>
      <c r="W880" s="20">
        <f t="shared" ca="1" si="161"/>
        <v>27608.259776832598</v>
      </c>
      <c r="X880" s="4">
        <f t="shared" si="155"/>
        <v>4919.6999999999971</v>
      </c>
      <c r="Y880" s="13">
        <f t="shared" si="156"/>
        <v>0.12399999999999993</v>
      </c>
    </row>
    <row r="881" spans="1:25" x14ac:dyDescent="0.3">
      <c r="A881" s="12" t="s">
        <v>1804</v>
      </c>
      <c r="B881" s="7">
        <v>45151</v>
      </c>
      <c r="C881" s="4" t="s">
        <v>1805</v>
      </c>
      <c r="D881" s="4" t="s">
        <v>65</v>
      </c>
      <c r="E881" s="4">
        <v>29937</v>
      </c>
      <c r="F881" s="4">
        <v>22.4</v>
      </c>
      <c r="G881" s="4">
        <v>60</v>
      </c>
      <c r="H881" s="4" t="s">
        <v>19</v>
      </c>
      <c r="I881" s="4" t="s">
        <v>84</v>
      </c>
      <c r="J881" s="4" t="s">
        <v>37</v>
      </c>
      <c r="K881" s="4">
        <v>107525</v>
      </c>
      <c r="L881" s="4" t="s">
        <v>22</v>
      </c>
      <c r="M881" s="4">
        <v>0.26</v>
      </c>
      <c r="N881" s="4">
        <v>0.9</v>
      </c>
      <c r="O881" s="4">
        <v>36642.89</v>
      </c>
      <c r="P881" s="4">
        <v>0</v>
      </c>
      <c r="Q881" s="6">
        <f t="shared" si="157"/>
        <v>833.65021388822004</v>
      </c>
      <c r="R881" s="6">
        <f t="shared" si="150"/>
        <v>20082.0128332932</v>
      </c>
      <c r="S881" s="4">
        <f t="shared" si="151"/>
        <v>33263.333333333336</v>
      </c>
      <c r="T881" s="4">
        <f t="shared" si="152"/>
        <v>8960.4166666666661</v>
      </c>
      <c r="U881" s="4">
        <f t="shared" si="153"/>
        <v>2329.708333333333</v>
      </c>
      <c r="V881" s="4">
        <f t="shared" ca="1" si="154"/>
        <v>31</v>
      </c>
      <c r="W881" s="20">
        <f t="shared" ca="1" si="161"/>
        <v>25843.156630534821</v>
      </c>
      <c r="X881" s="4">
        <f t="shared" si="155"/>
        <v>6705.8899999999994</v>
      </c>
      <c r="Y881" s="13">
        <f t="shared" si="156"/>
        <v>0.22400006680696127</v>
      </c>
    </row>
    <row r="882" spans="1:25" x14ac:dyDescent="0.3">
      <c r="A882" s="12" t="s">
        <v>1806</v>
      </c>
      <c r="B882" s="7">
        <v>45072</v>
      </c>
      <c r="C882" s="4" t="s">
        <v>1807</v>
      </c>
      <c r="D882" s="4" t="s">
        <v>56</v>
      </c>
      <c r="E882" s="4">
        <v>6656</v>
      </c>
      <c r="F882" s="4">
        <v>19.600000000000001</v>
      </c>
      <c r="G882" s="4">
        <v>60</v>
      </c>
      <c r="H882" s="4" t="s">
        <v>19</v>
      </c>
      <c r="I882" s="4" t="s">
        <v>57</v>
      </c>
      <c r="J882" s="4" t="s">
        <v>37</v>
      </c>
      <c r="K882" s="4">
        <v>43780</v>
      </c>
      <c r="L882" s="4" t="s">
        <v>22</v>
      </c>
      <c r="M882" s="4">
        <v>0.43</v>
      </c>
      <c r="N882" s="4">
        <v>0.59</v>
      </c>
      <c r="O882" s="4">
        <v>7960.58</v>
      </c>
      <c r="P882" s="4">
        <v>0</v>
      </c>
      <c r="Q882" s="6">
        <f t="shared" si="157"/>
        <v>174.86516574861648</v>
      </c>
      <c r="R882" s="6">
        <f t="shared" si="150"/>
        <v>3835.909944916988</v>
      </c>
      <c r="S882" s="4">
        <f t="shared" si="151"/>
        <v>11281.355932203391</v>
      </c>
      <c r="T882" s="4">
        <f t="shared" si="152"/>
        <v>3648.3333333333335</v>
      </c>
      <c r="U882" s="4">
        <f t="shared" si="153"/>
        <v>1568.7833333333333</v>
      </c>
      <c r="V882" s="4">
        <f t="shared" ca="1" si="154"/>
        <v>33</v>
      </c>
      <c r="W882" s="20">
        <f t="shared" ca="1" si="161"/>
        <v>5770.5504697043434</v>
      </c>
      <c r="X882" s="4">
        <f t="shared" si="155"/>
        <v>1304.58</v>
      </c>
      <c r="Y882" s="13">
        <f t="shared" si="156"/>
        <v>0.19600060096153846</v>
      </c>
    </row>
    <row r="883" spans="1:25" x14ac:dyDescent="0.3">
      <c r="A883" s="12" t="s">
        <v>1808</v>
      </c>
      <c r="B883" s="7">
        <v>44959</v>
      </c>
      <c r="C883" s="4" t="s">
        <v>1809</v>
      </c>
      <c r="D883" s="4" t="s">
        <v>40</v>
      </c>
      <c r="E883" s="4">
        <v>9984</v>
      </c>
      <c r="F883" s="4">
        <v>18</v>
      </c>
      <c r="G883" s="4">
        <v>60</v>
      </c>
      <c r="H883" s="4" t="s">
        <v>26</v>
      </c>
      <c r="I883" s="4" t="s">
        <v>57</v>
      </c>
      <c r="J883" s="4" t="s">
        <v>21</v>
      </c>
      <c r="K883" s="4">
        <v>36589</v>
      </c>
      <c r="L883" s="4" t="s">
        <v>29</v>
      </c>
      <c r="M883" s="4">
        <v>0.46</v>
      </c>
      <c r="N883" s="4">
        <v>0.93</v>
      </c>
      <c r="O883" s="4">
        <v>2403.9499999999998</v>
      </c>
      <c r="P883" s="4">
        <v>0</v>
      </c>
      <c r="Q883" s="6">
        <f t="shared" si="157"/>
        <v>253.5279794322571</v>
      </c>
      <c r="R883" s="6">
        <f t="shared" si="150"/>
        <v>5227.6787659354268</v>
      </c>
      <c r="S883" s="4">
        <f t="shared" si="151"/>
        <v>10735.483870967741</v>
      </c>
      <c r="T883" s="4">
        <f t="shared" si="152"/>
        <v>3049.0833333333335</v>
      </c>
      <c r="U883" s="4">
        <f t="shared" si="153"/>
        <v>1402.5783333333334</v>
      </c>
      <c r="V883" s="4">
        <f t="shared" ca="1" si="154"/>
        <v>37</v>
      </c>
      <c r="W883" s="20">
        <f t="shared" ca="1" si="161"/>
        <v>9380.5352389935124</v>
      </c>
      <c r="X883" s="4">
        <f t="shared" si="155"/>
        <v>-7580.05</v>
      </c>
      <c r="Y883" s="13">
        <f t="shared" si="156"/>
        <v>-0.75921975160256416</v>
      </c>
    </row>
    <row r="884" spans="1:25" x14ac:dyDescent="0.3">
      <c r="A884" s="12" t="s">
        <v>1810</v>
      </c>
      <c r="B884" s="7">
        <v>44860</v>
      </c>
      <c r="C884" s="4" t="s">
        <v>1811</v>
      </c>
      <c r="D884" s="4" t="s">
        <v>18</v>
      </c>
      <c r="E884" s="4">
        <v>30984</v>
      </c>
      <c r="F884" s="4">
        <v>20.9</v>
      </c>
      <c r="G884" s="4">
        <v>60</v>
      </c>
      <c r="H884" s="4" t="s">
        <v>19</v>
      </c>
      <c r="I884" s="4" t="s">
        <v>57</v>
      </c>
      <c r="J884" s="4" t="s">
        <v>37</v>
      </c>
      <c r="K884" s="4">
        <v>64812</v>
      </c>
      <c r="L884" s="4" t="s">
        <v>29</v>
      </c>
      <c r="M884" s="4">
        <v>0.44</v>
      </c>
      <c r="N884" s="4">
        <v>0.59</v>
      </c>
      <c r="O884" s="4">
        <v>37459.660000000003</v>
      </c>
      <c r="P884" s="4">
        <v>0</v>
      </c>
      <c r="Q884" s="6">
        <f t="shared" si="157"/>
        <v>836.47931273456845</v>
      </c>
      <c r="R884" s="6">
        <f t="shared" si="150"/>
        <v>19204.758764074104</v>
      </c>
      <c r="S884" s="4">
        <f t="shared" si="151"/>
        <v>52515.254237288136</v>
      </c>
      <c r="T884" s="4">
        <f t="shared" si="152"/>
        <v>5401</v>
      </c>
      <c r="U884" s="4">
        <f t="shared" si="153"/>
        <v>2376.44</v>
      </c>
      <c r="V884" s="4">
        <f t="shared" ca="1" si="154"/>
        <v>40</v>
      </c>
      <c r="W884" s="20">
        <f t="shared" ca="1" si="161"/>
        <v>33459.172509382741</v>
      </c>
      <c r="X884" s="4">
        <f t="shared" si="155"/>
        <v>6475.6600000000035</v>
      </c>
      <c r="Y884" s="13">
        <f t="shared" si="156"/>
        <v>0.20900012909888988</v>
      </c>
    </row>
    <row r="885" spans="1:25" x14ac:dyDescent="0.3">
      <c r="A885" s="12" t="s">
        <v>1812</v>
      </c>
      <c r="B885" s="7">
        <v>44221</v>
      </c>
      <c r="C885" s="4" t="s">
        <v>1813</v>
      </c>
      <c r="D885" s="4" t="s">
        <v>25</v>
      </c>
      <c r="E885" s="4">
        <v>9286</v>
      </c>
      <c r="F885" s="4">
        <v>20.100000000000001</v>
      </c>
      <c r="G885" s="4">
        <v>36</v>
      </c>
      <c r="H885" s="4" t="s">
        <v>81</v>
      </c>
      <c r="I885" s="4" t="s">
        <v>20</v>
      </c>
      <c r="J885" s="4" t="s">
        <v>28</v>
      </c>
      <c r="K885" s="4">
        <v>123664</v>
      </c>
      <c r="L885" s="4" t="s">
        <v>29</v>
      </c>
      <c r="M885" s="4">
        <v>0.37</v>
      </c>
      <c r="N885" s="4">
        <v>0.78</v>
      </c>
      <c r="O885" s="4">
        <v>1932.97</v>
      </c>
      <c r="P885" s="4">
        <v>2167.4899999999998</v>
      </c>
      <c r="Q885" s="6">
        <f t="shared" si="157"/>
        <v>345.57436361691083</v>
      </c>
      <c r="R885" s="6">
        <f t="shared" si="150"/>
        <v>3154.6770902087901</v>
      </c>
      <c r="S885" s="4">
        <f t="shared" si="151"/>
        <v>11905.128205128205</v>
      </c>
      <c r="T885" s="4">
        <f t="shared" si="152"/>
        <v>10305.333333333334</v>
      </c>
      <c r="U885" s="4">
        <f t="shared" si="153"/>
        <v>3812.9733333333334</v>
      </c>
      <c r="V885" s="4">
        <f t="shared" ca="1" si="154"/>
        <v>61</v>
      </c>
      <c r="W885" s="20">
        <v>0</v>
      </c>
      <c r="X885" s="4">
        <f t="shared" si="155"/>
        <v>-5185.54</v>
      </c>
      <c r="Y885" s="13">
        <f t="shared" si="156"/>
        <v>-0.55842558690501831</v>
      </c>
    </row>
    <row r="886" spans="1:25" x14ac:dyDescent="0.3">
      <c r="A886" s="12" t="s">
        <v>1814</v>
      </c>
      <c r="B886" s="7">
        <v>44906</v>
      </c>
      <c r="C886" s="4" t="s">
        <v>1815</v>
      </c>
      <c r="D886" s="4" t="s">
        <v>53</v>
      </c>
      <c r="E886" s="4">
        <v>6901</v>
      </c>
      <c r="F886" s="4">
        <v>5.7</v>
      </c>
      <c r="G886" s="4">
        <v>60</v>
      </c>
      <c r="H886" s="4" t="s">
        <v>60</v>
      </c>
      <c r="I886" s="4" t="s">
        <v>20</v>
      </c>
      <c r="J886" s="4" t="s">
        <v>32</v>
      </c>
      <c r="K886" s="4">
        <v>75939</v>
      </c>
      <c r="L886" s="4" t="s">
        <v>33</v>
      </c>
      <c r="M886" s="4">
        <v>0.15</v>
      </c>
      <c r="N886" s="4">
        <v>0.6</v>
      </c>
      <c r="O886" s="4">
        <v>0</v>
      </c>
      <c r="P886" s="4">
        <v>0</v>
      </c>
      <c r="Q886" s="6">
        <f t="shared" si="157"/>
        <v>132.45512197855845</v>
      </c>
      <c r="R886" s="6">
        <f t="shared" si="150"/>
        <v>1046.3073187135069</v>
      </c>
      <c r="S886" s="4">
        <f t="shared" si="151"/>
        <v>11501.666666666668</v>
      </c>
      <c r="T886" s="4">
        <f t="shared" si="152"/>
        <v>6328.25</v>
      </c>
      <c r="U886" s="4">
        <f t="shared" si="153"/>
        <v>949.23749999999995</v>
      </c>
      <c r="V886" s="4">
        <f t="shared" ca="1" si="154"/>
        <v>39</v>
      </c>
      <c r="W886" s="20">
        <f t="shared" ref="W886:W894" ca="1" si="162">V886*Q886</f>
        <v>5165.7497571637796</v>
      </c>
      <c r="X886" s="4">
        <f t="shared" si="155"/>
        <v>-6901</v>
      </c>
      <c r="Y886" s="13">
        <f t="shared" si="156"/>
        <v>-1</v>
      </c>
    </row>
    <row r="887" spans="1:25" x14ac:dyDescent="0.3">
      <c r="A887" s="12" t="s">
        <v>1816</v>
      </c>
      <c r="B887" s="7">
        <v>44373</v>
      </c>
      <c r="C887" s="4" t="s">
        <v>1817</v>
      </c>
      <c r="D887" s="4" t="s">
        <v>56</v>
      </c>
      <c r="E887" s="4">
        <v>32552</v>
      </c>
      <c r="F887" s="4">
        <v>12.9</v>
      </c>
      <c r="G887" s="4">
        <v>36</v>
      </c>
      <c r="H887" s="4" t="s">
        <v>19</v>
      </c>
      <c r="I887" s="4" t="s">
        <v>84</v>
      </c>
      <c r="J887" s="4" t="s">
        <v>21</v>
      </c>
      <c r="K887" s="4">
        <v>81493</v>
      </c>
      <c r="L887" s="4" t="s">
        <v>22</v>
      </c>
      <c r="M887" s="4">
        <v>0.21</v>
      </c>
      <c r="N887" s="4">
        <v>0.75</v>
      </c>
      <c r="O887" s="4">
        <v>36751.21</v>
      </c>
      <c r="P887" s="4">
        <v>0</v>
      </c>
      <c r="Q887" s="6">
        <f t="shared" si="157"/>
        <v>1095.2382752497729</v>
      </c>
      <c r="R887" s="6">
        <f t="shared" si="150"/>
        <v>6876.5779089918215</v>
      </c>
      <c r="S887" s="4">
        <f t="shared" si="151"/>
        <v>43402.666666666664</v>
      </c>
      <c r="T887" s="4">
        <f t="shared" si="152"/>
        <v>6791.083333333333</v>
      </c>
      <c r="U887" s="4">
        <f t="shared" si="153"/>
        <v>1426.1274999999998</v>
      </c>
      <c r="V887" s="4">
        <f t="shared" ca="1" si="154"/>
        <v>56</v>
      </c>
      <c r="W887" s="20">
        <f t="shared" ca="1" si="162"/>
        <v>61333.343413987284</v>
      </c>
      <c r="X887" s="4">
        <f t="shared" si="155"/>
        <v>4199.2099999999991</v>
      </c>
      <c r="Y887" s="13">
        <f t="shared" si="156"/>
        <v>0.12900006144015727</v>
      </c>
    </row>
    <row r="888" spans="1:25" x14ac:dyDescent="0.3">
      <c r="A888" s="12" t="s">
        <v>1818</v>
      </c>
      <c r="B888" s="7">
        <v>44481</v>
      </c>
      <c r="C888" s="4" t="s">
        <v>1819</v>
      </c>
      <c r="D888" s="4" t="s">
        <v>76</v>
      </c>
      <c r="E888" s="4">
        <v>26709</v>
      </c>
      <c r="F888" s="4">
        <v>23.6</v>
      </c>
      <c r="G888" s="4">
        <v>60</v>
      </c>
      <c r="H888" s="4" t="s">
        <v>19</v>
      </c>
      <c r="I888" s="4" t="s">
        <v>73</v>
      </c>
      <c r="J888" s="4" t="s">
        <v>37</v>
      </c>
      <c r="K888" s="4">
        <v>134188</v>
      </c>
      <c r="L888" s="4" t="s">
        <v>22</v>
      </c>
      <c r="M888" s="4">
        <v>0.12</v>
      </c>
      <c r="N888" s="4">
        <v>0.81</v>
      </c>
      <c r="O888" s="4">
        <v>33012.32</v>
      </c>
      <c r="P888" s="4">
        <v>0</v>
      </c>
      <c r="Q888" s="6">
        <f t="shared" si="157"/>
        <v>762.17497570596561</v>
      </c>
      <c r="R888" s="6">
        <f t="shared" si="150"/>
        <v>19021.498542357935</v>
      </c>
      <c r="S888" s="4">
        <f t="shared" si="151"/>
        <v>32974.074074074073</v>
      </c>
      <c r="T888" s="4">
        <f t="shared" si="152"/>
        <v>11182.333333333334</v>
      </c>
      <c r="U888" s="4">
        <f t="shared" si="153"/>
        <v>1341.88</v>
      </c>
      <c r="V888" s="4">
        <f t="shared" ca="1" si="154"/>
        <v>53</v>
      </c>
      <c r="W888" s="20">
        <f t="shared" ca="1" si="162"/>
        <v>40395.273712416179</v>
      </c>
      <c r="X888" s="4">
        <f t="shared" si="155"/>
        <v>6303.32</v>
      </c>
      <c r="Y888" s="13">
        <f t="shared" si="156"/>
        <v>0.23599985023774755</v>
      </c>
    </row>
    <row r="889" spans="1:25" x14ac:dyDescent="0.3">
      <c r="A889" s="12" t="s">
        <v>1820</v>
      </c>
      <c r="B889" s="7">
        <v>44259</v>
      </c>
      <c r="C889" s="4" t="s">
        <v>1821</v>
      </c>
      <c r="D889" s="4" t="s">
        <v>50</v>
      </c>
      <c r="E889" s="4">
        <v>32055</v>
      </c>
      <c r="F889" s="4">
        <v>7.5</v>
      </c>
      <c r="G889" s="4">
        <v>36</v>
      </c>
      <c r="H889" s="4" t="s">
        <v>60</v>
      </c>
      <c r="I889" s="4" t="s">
        <v>73</v>
      </c>
      <c r="J889" s="4" t="s">
        <v>32</v>
      </c>
      <c r="K889" s="4">
        <v>123326</v>
      </c>
      <c r="L889" s="4" t="s">
        <v>22</v>
      </c>
      <c r="M889" s="4">
        <v>0.47</v>
      </c>
      <c r="N889" s="4">
        <v>0.59</v>
      </c>
      <c r="O889" s="4">
        <v>0</v>
      </c>
      <c r="P889" s="4">
        <v>0</v>
      </c>
      <c r="Q889" s="6">
        <f t="shared" si="157"/>
        <v>997.10982313984198</v>
      </c>
      <c r="R889" s="6">
        <f t="shared" si="150"/>
        <v>3840.9536330343108</v>
      </c>
      <c r="S889" s="4">
        <f t="shared" si="151"/>
        <v>54330.508474576272</v>
      </c>
      <c r="T889" s="4">
        <f t="shared" si="152"/>
        <v>10277.166666666666</v>
      </c>
      <c r="U889" s="4">
        <f t="shared" si="153"/>
        <v>4830.2683333333325</v>
      </c>
      <c r="V889" s="4">
        <f t="shared" ca="1" si="154"/>
        <v>60</v>
      </c>
      <c r="W889" s="20">
        <f t="shared" ca="1" si="162"/>
        <v>59826.589388390516</v>
      </c>
      <c r="X889" s="4">
        <f t="shared" si="155"/>
        <v>-32055</v>
      </c>
      <c r="Y889" s="13">
        <f t="shared" si="156"/>
        <v>-1</v>
      </c>
    </row>
    <row r="890" spans="1:25" x14ac:dyDescent="0.3">
      <c r="A890" s="12" t="s">
        <v>1822</v>
      </c>
      <c r="B890" s="7">
        <v>45199</v>
      </c>
      <c r="C890" s="4" t="s">
        <v>1823</v>
      </c>
      <c r="D890" s="4" t="s">
        <v>53</v>
      </c>
      <c r="E890" s="4">
        <v>38685</v>
      </c>
      <c r="F890" s="4">
        <v>19.7</v>
      </c>
      <c r="G890" s="4">
        <v>60</v>
      </c>
      <c r="H890" s="4" t="s">
        <v>19</v>
      </c>
      <c r="I890" s="4" t="s">
        <v>36</v>
      </c>
      <c r="J890" s="4" t="s">
        <v>47</v>
      </c>
      <c r="K890" s="4">
        <v>70953</v>
      </c>
      <c r="L890" s="4" t="s">
        <v>29</v>
      </c>
      <c r="M890" s="4">
        <v>0.36</v>
      </c>
      <c r="N890" s="4">
        <v>0.73</v>
      </c>
      <c r="O890" s="4">
        <v>46305.94</v>
      </c>
      <c r="P890" s="4">
        <v>0</v>
      </c>
      <c r="Q890" s="6">
        <f t="shared" si="157"/>
        <v>1018.4691192617358</v>
      </c>
      <c r="R890" s="6">
        <f t="shared" si="150"/>
        <v>22423.147155704151</v>
      </c>
      <c r="S890" s="4">
        <f t="shared" si="151"/>
        <v>52993.150684931505</v>
      </c>
      <c r="T890" s="4">
        <f t="shared" si="152"/>
        <v>5912.75</v>
      </c>
      <c r="U890" s="4">
        <f t="shared" si="153"/>
        <v>2128.59</v>
      </c>
      <c r="V890" s="4">
        <f t="shared" ca="1" si="154"/>
        <v>29</v>
      </c>
      <c r="W890" s="20">
        <f t="shared" ca="1" si="162"/>
        <v>29535.60445859034</v>
      </c>
      <c r="X890" s="4">
        <f t="shared" si="155"/>
        <v>7620.9400000000023</v>
      </c>
      <c r="Y890" s="13">
        <f t="shared" si="156"/>
        <v>0.19699987075093711</v>
      </c>
    </row>
    <row r="891" spans="1:25" x14ac:dyDescent="0.3">
      <c r="A891" s="12" t="s">
        <v>1824</v>
      </c>
      <c r="B891" s="7">
        <v>44858</v>
      </c>
      <c r="C891" s="4" t="s">
        <v>1825</v>
      </c>
      <c r="D891" s="4" t="s">
        <v>25</v>
      </c>
      <c r="E891" s="4">
        <v>9429</v>
      </c>
      <c r="F891" s="4">
        <v>24.5</v>
      </c>
      <c r="G891" s="4">
        <v>60</v>
      </c>
      <c r="H891" s="4" t="s">
        <v>26</v>
      </c>
      <c r="I891" s="4" t="s">
        <v>27</v>
      </c>
      <c r="J891" s="4" t="s">
        <v>47</v>
      </c>
      <c r="K891" s="4">
        <v>95785</v>
      </c>
      <c r="L891" s="4" t="s">
        <v>33</v>
      </c>
      <c r="M891" s="4">
        <v>0.4</v>
      </c>
      <c r="N891" s="4">
        <v>0.71</v>
      </c>
      <c r="O891" s="4">
        <v>3859.51</v>
      </c>
      <c r="P891" s="4">
        <v>0</v>
      </c>
      <c r="Q891" s="6">
        <f t="shared" si="157"/>
        <v>273.99652243245311</v>
      </c>
      <c r="R891" s="6">
        <f t="shared" si="150"/>
        <v>7010.7913459471856</v>
      </c>
      <c r="S891" s="4">
        <f t="shared" si="151"/>
        <v>13280.281690140846</v>
      </c>
      <c r="T891" s="4">
        <f t="shared" si="152"/>
        <v>7982.083333333333</v>
      </c>
      <c r="U891" s="4">
        <f t="shared" si="153"/>
        <v>3192.8333333333335</v>
      </c>
      <c r="V891" s="4">
        <f t="shared" ca="1" si="154"/>
        <v>40</v>
      </c>
      <c r="W891" s="20">
        <f t="shared" ca="1" si="162"/>
        <v>10959.860897298124</v>
      </c>
      <c r="X891" s="4">
        <f t="shared" si="155"/>
        <v>-5569.49</v>
      </c>
      <c r="Y891" s="13">
        <f t="shared" si="156"/>
        <v>-0.59067663591048891</v>
      </c>
    </row>
    <row r="892" spans="1:25" x14ac:dyDescent="0.3">
      <c r="A892" s="12" t="s">
        <v>1826</v>
      </c>
      <c r="B892" s="7">
        <v>44862</v>
      </c>
      <c r="C892" s="4" t="s">
        <v>1827</v>
      </c>
      <c r="D892" s="4" t="s">
        <v>46</v>
      </c>
      <c r="E892" s="4">
        <v>15716</v>
      </c>
      <c r="F892" s="4">
        <v>6</v>
      </c>
      <c r="G892" s="4">
        <v>36</v>
      </c>
      <c r="H892" s="4" t="s">
        <v>19</v>
      </c>
      <c r="I892" s="4" t="s">
        <v>27</v>
      </c>
      <c r="J892" s="4" t="s">
        <v>32</v>
      </c>
      <c r="K892" s="4">
        <v>49309</v>
      </c>
      <c r="L892" s="4" t="s">
        <v>22</v>
      </c>
      <c r="M892" s="4">
        <v>0.22</v>
      </c>
      <c r="N892" s="4">
        <v>0.53</v>
      </c>
      <c r="O892" s="4">
        <v>16658.96</v>
      </c>
      <c r="P892" s="4">
        <v>0</v>
      </c>
      <c r="Q892" s="6">
        <f t="shared" si="157"/>
        <v>478.11116898864015</v>
      </c>
      <c r="R892" s="6">
        <f t="shared" si="150"/>
        <v>1496.0020835910436</v>
      </c>
      <c r="S892" s="4">
        <f t="shared" si="151"/>
        <v>29652.830188679243</v>
      </c>
      <c r="T892" s="4">
        <f t="shared" si="152"/>
        <v>4109.083333333333</v>
      </c>
      <c r="U892" s="4">
        <f t="shared" si="153"/>
        <v>903.99833333333322</v>
      </c>
      <c r="V892" s="4">
        <f t="shared" ca="1" si="154"/>
        <v>40</v>
      </c>
      <c r="W892" s="20">
        <f t="shared" ca="1" si="162"/>
        <v>19124.446759545604</v>
      </c>
      <c r="X892" s="4">
        <f t="shared" si="155"/>
        <v>942.95999999999913</v>
      </c>
      <c r="Y892" s="13">
        <f t="shared" si="156"/>
        <v>5.9999999999999942E-2</v>
      </c>
    </row>
    <row r="893" spans="1:25" x14ac:dyDescent="0.3">
      <c r="A893" s="12" t="s">
        <v>1828</v>
      </c>
      <c r="B893" s="7">
        <v>44352</v>
      </c>
      <c r="C893" s="4" t="s">
        <v>1829</v>
      </c>
      <c r="D893" s="4" t="s">
        <v>18</v>
      </c>
      <c r="E893" s="4">
        <v>12138</v>
      </c>
      <c r="F893" s="4">
        <v>18.600000000000001</v>
      </c>
      <c r="G893" s="4">
        <v>60</v>
      </c>
      <c r="H893" s="4" t="s">
        <v>26</v>
      </c>
      <c r="I893" s="4" t="s">
        <v>84</v>
      </c>
      <c r="J893" s="4" t="s">
        <v>28</v>
      </c>
      <c r="K893" s="4">
        <v>84195</v>
      </c>
      <c r="L893" s="4" t="s">
        <v>22</v>
      </c>
      <c r="M893" s="4">
        <v>0.44</v>
      </c>
      <c r="N893" s="4">
        <v>0.87</v>
      </c>
      <c r="O893" s="4">
        <v>3469.25</v>
      </c>
      <c r="P893" s="4">
        <v>0</v>
      </c>
      <c r="Q893" s="6">
        <f t="shared" si="157"/>
        <v>312.20092757607051</v>
      </c>
      <c r="R893" s="6">
        <f t="shared" si="150"/>
        <v>6594.0556545642321</v>
      </c>
      <c r="S893" s="4">
        <f t="shared" si="151"/>
        <v>13951.724137931034</v>
      </c>
      <c r="T893" s="4">
        <f t="shared" si="152"/>
        <v>7016.25</v>
      </c>
      <c r="U893" s="4">
        <f t="shared" si="153"/>
        <v>3087.15</v>
      </c>
      <c r="V893" s="4">
        <f t="shared" ca="1" si="154"/>
        <v>57</v>
      </c>
      <c r="W893" s="20">
        <f t="shared" ca="1" si="162"/>
        <v>17795.45287183602</v>
      </c>
      <c r="X893" s="4">
        <f t="shared" si="155"/>
        <v>-8668.75</v>
      </c>
      <c r="Y893" s="13">
        <f t="shared" si="156"/>
        <v>-0.71418273191629589</v>
      </c>
    </row>
    <row r="894" spans="1:25" x14ac:dyDescent="0.3">
      <c r="A894" s="12" t="s">
        <v>1830</v>
      </c>
      <c r="B894" s="7">
        <v>45269</v>
      </c>
      <c r="C894" s="4" t="s">
        <v>1831</v>
      </c>
      <c r="D894" s="4" t="s">
        <v>50</v>
      </c>
      <c r="E894" s="4">
        <v>36298</v>
      </c>
      <c r="F894" s="4">
        <v>14.4</v>
      </c>
      <c r="G894" s="4">
        <v>60</v>
      </c>
      <c r="H894" s="4" t="s">
        <v>19</v>
      </c>
      <c r="I894" s="4" t="s">
        <v>20</v>
      </c>
      <c r="J894" s="4" t="s">
        <v>32</v>
      </c>
      <c r="K894" s="4">
        <v>145662</v>
      </c>
      <c r="L894" s="4" t="s">
        <v>33</v>
      </c>
      <c r="M894" s="4">
        <v>0.2</v>
      </c>
      <c r="N894" s="4">
        <v>0.65</v>
      </c>
      <c r="O894" s="4">
        <v>41524.910000000003</v>
      </c>
      <c r="P894" s="4">
        <v>0</v>
      </c>
      <c r="Q894" s="6">
        <f t="shared" si="157"/>
        <v>852.13712276378214</v>
      </c>
      <c r="R894" s="6">
        <f t="shared" si="150"/>
        <v>14830.227365826926</v>
      </c>
      <c r="S894" s="4">
        <f t="shared" si="151"/>
        <v>55843.076923076922</v>
      </c>
      <c r="T894" s="4">
        <f t="shared" si="152"/>
        <v>12138.5</v>
      </c>
      <c r="U894" s="4">
        <f t="shared" si="153"/>
        <v>2427.7000000000003</v>
      </c>
      <c r="V894" s="4">
        <f t="shared" ca="1" si="154"/>
        <v>27</v>
      </c>
      <c r="W894" s="20">
        <f t="shared" ca="1" si="162"/>
        <v>23007.702314622118</v>
      </c>
      <c r="X894" s="4">
        <f t="shared" si="155"/>
        <v>5226.9100000000035</v>
      </c>
      <c r="Y894" s="13">
        <f t="shared" si="156"/>
        <v>0.14399994490054557</v>
      </c>
    </row>
    <row r="895" spans="1:25" x14ac:dyDescent="0.3">
      <c r="A895" s="12" t="s">
        <v>1832</v>
      </c>
      <c r="B895" s="7">
        <v>45163</v>
      </c>
      <c r="C895" s="4" t="s">
        <v>1833</v>
      </c>
      <c r="D895" s="4" t="s">
        <v>18</v>
      </c>
      <c r="E895" s="4">
        <v>24429</v>
      </c>
      <c r="F895" s="4">
        <v>16.600000000000001</v>
      </c>
      <c r="G895" s="4">
        <v>60</v>
      </c>
      <c r="H895" s="4" t="s">
        <v>81</v>
      </c>
      <c r="I895" s="4" t="s">
        <v>57</v>
      </c>
      <c r="J895" s="4" t="s">
        <v>32</v>
      </c>
      <c r="K895" s="4">
        <v>55901</v>
      </c>
      <c r="L895" s="4" t="s">
        <v>29</v>
      </c>
      <c r="M895" s="4">
        <v>0.1</v>
      </c>
      <c r="N895" s="4">
        <v>0.76</v>
      </c>
      <c r="O895" s="4">
        <v>6635.65</v>
      </c>
      <c r="P895" s="4">
        <v>6328.17</v>
      </c>
      <c r="Q895" s="6">
        <f t="shared" si="157"/>
        <v>601.88182438795093</v>
      </c>
      <c r="R895" s="6">
        <f t="shared" si="150"/>
        <v>11683.909463277058</v>
      </c>
      <c r="S895" s="4">
        <f t="shared" si="151"/>
        <v>32143.42105263158</v>
      </c>
      <c r="T895" s="4">
        <f t="shared" si="152"/>
        <v>4658.416666666667</v>
      </c>
      <c r="U895" s="4">
        <f t="shared" si="153"/>
        <v>465.8416666666667</v>
      </c>
      <c r="V895" s="4">
        <f t="shared" ca="1" si="154"/>
        <v>30</v>
      </c>
      <c r="W895" s="20">
        <v>0</v>
      </c>
      <c r="X895" s="4">
        <f t="shared" si="155"/>
        <v>-11465.18</v>
      </c>
      <c r="Y895" s="13">
        <f t="shared" si="156"/>
        <v>-0.46932662000081871</v>
      </c>
    </row>
    <row r="896" spans="1:25" x14ac:dyDescent="0.3">
      <c r="A896" s="12" t="s">
        <v>1834</v>
      </c>
      <c r="B896" s="7">
        <v>45045</v>
      </c>
      <c r="C896" s="4" t="s">
        <v>1835</v>
      </c>
      <c r="D896" s="4" t="s">
        <v>40</v>
      </c>
      <c r="E896" s="4">
        <v>6772</v>
      </c>
      <c r="F896" s="4">
        <v>6.7</v>
      </c>
      <c r="G896" s="4">
        <v>36</v>
      </c>
      <c r="H896" s="4" t="s">
        <v>26</v>
      </c>
      <c r="I896" s="4" t="s">
        <v>41</v>
      </c>
      <c r="J896" s="4" t="s">
        <v>21</v>
      </c>
      <c r="K896" s="4">
        <v>53576</v>
      </c>
      <c r="L896" s="4" t="s">
        <v>29</v>
      </c>
      <c r="M896" s="4">
        <v>0.25</v>
      </c>
      <c r="N896" s="4">
        <v>0.73</v>
      </c>
      <c r="O896" s="4">
        <v>2938.07</v>
      </c>
      <c r="P896" s="4">
        <v>0</v>
      </c>
      <c r="Q896" s="6">
        <f t="shared" si="157"/>
        <v>208.17207309484951</v>
      </c>
      <c r="R896" s="6">
        <f t="shared" si="150"/>
        <v>722.19463141458255</v>
      </c>
      <c r="S896" s="4">
        <f t="shared" si="151"/>
        <v>9276.7123287671238</v>
      </c>
      <c r="T896" s="4">
        <f t="shared" si="152"/>
        <v>4464.666666666667</v>
      </c>
      <c r="U896" s="4">
        <f t="shared" si="153"/>
        <v>1116.1666666666667</v>
      </c>
      <c r="V896" s="4">
        <f t="shared" ca="1" si="154"/>
        <v>34</v>
      </c>
      <c r="W896" s="20">
        <f t="shared" ref="W896:W910" ca="1" si="163">V896*Q896</f>
        <v>7077.8504852248834</v>
      </c>
      <c r="X896" s="4">
        <f t="shared" si="155"/>
        <v>-3833.93</v>
      </c>
      <c r="Y896" s="13">
        <f t="shared" si="156"/>
        <v>-0.56614441819255756</v>
      </c>
    </row>
    <row r="897" spans="1:25" x14ac:dyDescent="0.3">
      <c r="A897" s="12" t="s">
        <v>1836</v>
      </c>
      <c r="B897" s="7">
        <v>44885</v>
      </c>
      <c r="C897" s="4" t="s">
        <v>1837</v>
      </c>
      <c r="D897" s="4" t="s">
        <v>25</v>
      </c>
      <c r="E897" s="4">
        <v>36732</v>
      </c>
      <c r="F897" s="4">
        <v>5.9</v>
      </c>
      <c r="G897" s="4">
        <v>60</v>
      </c>
      <c r="H897" s="4" t="s">
        <v>19</v>
      </c>
      <c r="I897" s="4" t="s">
        <v>36</v>
      </c>
      <c r="J897" s="4" t="s">
        <v>47</v>
      </c>
      <c r="K897" s="4">
        <v>61508</v>
      </c>
      <c r="L897" s="4" t="s">
        <v>22</v>
      </c>
      <c r="M897" s="4">
        <v>0.33</v>
      </c>
      <c r="N897" s="4">
        <v>0.73</v>
      </c>
      <c r="O897" s="4">
        <v>38899.19</v>
      </c>
      <c r="P897" s="4">
        <v>0</v>
      </c>
      <c r="Q897" s="6">
        <f t="shared" si="157"/>
        <v>708.42572908675629</v>
      </c>
      <c r="R897" s="6">
        <f t="shared" si="150"/>
        <v>5773.5437452053739</v>
      </c>
      <c r="S897" s="4">
        <f t="shared" si="151"/>
        <v>50317.808219178085</v>
      </c>
      <c r="T897" s="4">
        <f t="shared" si="152"/>
        <v>5125.666666666667</v>
      </c>
      <c r="U897" s="4">
        <f t="shared" si="153"/>
        <v>1691.4700000000003</v>
      </c>
      <c r="V897" s="4">
        <f t="shared" ca="1" si="154"/>
        <v>39</v>
      </c>
      <c r="W897" s="20">
        <f t="shared" ca="1" si="163"/>
        <v>27628.603434383494</v>
      </c>
      <c r="X897" s="4">
        <f t="shared" si="155"/>
        <v>2167.1900000000023</v>
      </c>
      <c r="Y897" s="13">
        <f t="shared" si="156"/>
        <v>5.9000054448437395E-2</v>
      </c>
    </row>
    <row r="898" spans="1:25" x14ac:dyDescent="0.3">
      <c r="A898" s="12" t="s">
        <v>1838</v>
      </c>
      <c r="B898" s="7">
        <v>44344</v>
      </c>
      <c r="C898" s="4" t="s">
        <v>1839</v>
      </c>
      <c r="D898" s="4" t="s">
        <v>18</v>
      </c>
      <c r="E898" s="4">
        <v>18347</v>
      </c>
      <c r="F898" s="4">
        <v>18.3</v>
      </c>
      <c r="G898" s="4">
        <v>36</v>
      </c>
      <c r="H898" s="4" t="s">
        <v>19</v>
      </c>
      <c r="I898" s="4" t="s">
        <v>36</v>
      </c>
      <c r="J898" s="4" t="s">
        <v>47</v>
      </c>
      <c r="K898" s="4">
        <v>104711</v>
      </c>
      <c r="L898" s="4" t="s">
        <v>22</v>
      </c>
      <c r="M898" s="4">
        <v>0.28999999999999998</v>
      </c>
      <c r="N898" s="4">
        <v>0.55000000000000004</v>
      </c>
      <c r="O898" s="4">
        <v>21704.5</v>
      </c>
      <c r="P898" s="4">
        <v>0</v>
      </c>
      <c r="Q898" s="6">
        <f t="shared" si="157"/>
        <v>666.05239305127759</v>
      </c>
      <c r="R898" s="6">
        <f t="shared" ref="R898:R961" si="164">(Q898*G898)-E898</f>
        <v>5630.8861498459919</v>
      </c>
      <c r="S898" s="4">
        <f t="shared" ref="S898:S961" si="165">E898 / N898</f>
        <v>33358.181818181816</v>
      </c>
      <c r="T898" s="4">
        <f t="shared" ref="T898:T961" si="166">K898/12</f>
        <v>8725.9166666666661</v>
      </c>
      <c r="U898" s="4">
        <f t="shared" ref="U898:U961" si="167">M898*T898</f>
        <v>2530.5158333333329</v>
      </c>
      <c r="V898" s="4">
        <f t="shared" ref="V898:V961" ca="1" si="168">DATEDIF(B898, TODAY(), "m")</f>
        <v>57</v>
      </c>
      <c r="W898" s="20">
        <f t="shared" ca="1" si="163"/>
        <v>37964.98640392282</v>
      </c>
      <c r="X898" s="4">
        <f t="shared" ref="X898:X961" si="169">(O898 + P898) - E898</f>
        <v>3357.5</v>
      </c>
      <c r="Y898" s="13">
        <f t="shared" ref="Y898:Y961" si="170">(X898/E898)</f>
        <v>0.18299994549517631</v>
      </c>
    </row>
    <row r="899" spans="1:25" x14ac:dyDescent="0.3">
      <c r="A899" s="12" t="s">
        <v>1840</v>
      </c>
      <c r="B899" s="7">
        <v>44538</v>
      </c>
      <c r="C899" s="4" t="s">
        <v>1841</v>
      </c>
      <c r="D899" s="4" t="s">
        <v>76</v>
      </c>
      <c r="E899" s="4">
        <v>17920</v>
      </c>
      <c r="F899" s="4">
        <v>21.5</v>
      </c>
      <c r="G899" s="4">
        <v>60</v>
      </c>
      <c r="H899" s="4" t="s">
        <v>19</v>
      </c>
      <c r="I899" s="4" t="s">
        <v>73</v>
      </c>
      <c r="J899" s="4" t="s">
        <v>37</v>
      </c>
      <c r="K899" s="4">
        <v>55464</v>
      </c>
      <c r="L899" s="4" t="s">
        <v>33</v>
      </c>
      <c r="M899" s="4">
        <v>0.44</v>
      </c>
      <c r="N899" s="4">
        <v>0.69</v>
      </c>
      <c r="O899" s="4">
        <v>21772.799999999999</v>
      </c>
      <c r="P899" s="4">
        <v>0</v>
      </c>
      <c r="Q899" s="6">
        <f t="shared" ref="Q899:Q962" si="171">PMT(F899/100/12, G899, -E899)</f>
        <v>489.8500219859269</v>
      </c>
      <c r="R899" s="6">
        <f t="shared" si="164"/>
        <v>11471.001319155614</v>
      </c>
      <c r="S899" s="4">
        <f t="shared" si="165"/>
        <v>25971.014492753624</v>
      </c>
      <c r="T899" s="4">
        <f t="shared" si="166"/>
        <v>4622</v>
      </c>
      <c r="U899" s="4">
        <f t="shared" si="167"/>
        <v>2033.68</v>
      </c>
      <c r="V899" s="4">
        <f t="shared" ca="1" si="168"/>
        <v>51</v>
      </c>
      <c r="W899" s="20">
        <f t="shared" ca="1" si="163"/>
        <v>24982.35112128227</v>
      </c>
      <c r="X899" s="4">
        <f t="shared" si="169"/>
        <v>3852.7999999999993</v>
      </c>
      <c r="Y899" s="13">
        <f t="shared" si="170"/>
        <v>0.21499999999999997</v>
      </c>
    </row>
    <row r="900" spans="1:25" x14ac:dyDescent="0.3">
      <c r="A900" s="12" t="s">
        <v>1842</v>
      </c>
      <c r="B900" s="7">
        <v>44672</v>
      </c>
      <c r="C900" s="4" t="s">
        <v>1843</v>
      </c>
      <c r="D900" s="4" t="s">
        <v>40</v>
      </c>
      <c r="E900" s="4">
        <v>32822</v>
      </c>
      <c r="F900" s="4">
        <v>20.6</v>
      </c>
      <c r="G900" s="4">
        <v>60</v>
      </c>
      <c r="H900" s="4" t="s">
        <v>60</v>
      </c>
      <c r="I900" s="4" t="s">
        <v>84</v>
      </c>
      <c r="J900" s="4" t="s">
        <v>32</v>
      </c>
      <c r="K900" s="4">
        <v>90281</v>
      </c>
      <c r="L900" s="4" t="s">
        <v>22</v>
      </c>
      <c r="M900" s="4">
        <v>0.14000000000000001</v>
      </c>
      <c r="N900" s="4">
        <v>0.7</v>
      </c>
      <c r="O900" s="4">
        <v>0</v>
      </c>
      <c r="P900" s="4">
        <v>0</v>
      </c>
      <c r="Q900" s="6">
        <f t="shared" si="171"/>
        <v>880.57606881491733</v>
      </c>
      <c r="R900" s="6">
        <f t="shared" si="164"/>
        <v>20012.564128895043</v>
      </c>
      <c r="S900" s="4">
        <f t="shared" si="165"/>
        <v>46888.571428571435</v>
      </c>
      <c r="T900" s="4">
        <f t="shared" si="166"/>
        <v>7523.416666666667</v>
      </c>
      <c r="U900" s="4">
        <f t="shared" si="167"/>
        <v>1053.2783333333334</v>
      </c>
      <c r="V900" s="4">
        <f t="shared" ca="1" si="168"/>
        <v>46</v>
      </c>
      <c r="W900" s="20">
        <f t="shared" ca="1" si="163"/>
        <v>40506.499165486195</v>
      </c>
      <c r="X900" s="4">
        <f t="shared" si="169"/>
        <v>-32822</v>
      </c>
      <c r="Y900" s="13">
        <f t="shared" si="170"/>
        <v>-1</v>
      </c>
    </row>
    <row r="901" spans="1:25" x14ac:dyDescent="0.3">
      <c r="A901" s="12" t="s">
        <v>1844</v>
      </c>
      <c r="B901" s="7">
        <v>45283</v>
      </c>
      <c r="C901" s="4" t="s">
        <v>1845</v>
      </c>
      <c r="D901" s="4" t="s">
        <v>72</v>
      </c>
      <c r="E901" s="4">
        <v>24563</v>
      </c>
      <c r="F901" s="4">
        <v>15.9</v>
      </c>
      <c r="G901" s="4">
        <v>36</v>
      </c>
      <c r="H901" s="4" t="s">
        <v>26</v>
      </c>
      <c r="I901" s="4" t="s">
        <v>20</v>
      </c>
      <c r="J901" s="4" t="s">
        <v>32</v>
      </c>
      <c r="K901" s="4">
        <v>46260</v>
      </c>
      <c r="L901" s="4" t="s">
        <v>33</v>
      </c>
      <c r="M901" s="4">
        <v>0.32</v>
      </c>
      <c r="N901" s="4">
        <v>0.83</v>
      </c>
      <c r="O901" s="4">
        <v>10136.36</v>
      </c>
      <c r="P901" s="4">
        <v>0</v>
      </c>
      <c r="Q901" s="6">
        <f t="shared" si="171"/>
        <v>862.35001185559247</v>
      </c>
      <c r="R901" s="6">
        <f t="shared" si="164"/>
        <v>6481.6004268013276</v>
      </c>
      <c r="S901" s="4">
        <f t="shared" si="165"/>
        <v>29593.975903614461</v>
      </c>
      <c r="T901" s="4">
        <f t="shared" si="166"/>
        <v>3855</v>
      </c>
      <c r="U901" s="4">
        <f t="shared" si="167"/>
        <v>1233.6000000000001</v>
      </c>
      <c r="V901" s="4">
        <f t="shared" ca="1" si="168"/>
        <v>26</v>
      </c>
      <c r="W901" s="20">
        <f t="shared" ca="1" si="163"/>
        <v>22421.100308245404</v>
      </c>
      <c r="X901" s="4">
        <f t="shared" si="169"/>
        <v>-14426.64</v>
      </c>
      <c r="Y901" s="13">
        <f t="shared" si="170"/>
        <v>-0.58733216626633555</v>
      </c>
    </row>
    <row r="902" spans="1:25" x14ac:dyDescent="0.3">
      <c r="A902" s="12" t="s">
        <v>1846</v>
      </c>
      <c r="B902" s="7">
        <v>44757</v>
      </c>
      <c r="C902" s="4" t="s">
        <v>1847</v>
      </c>
      <c r="D902" s="4" t="s">
        <v>46</v>
      </c>
      <c r="E902" s="4">
        <v>8967</v>
      </c>
      <c r="F902" s="4">
        <v>7</v>
      </c>
      <c r="G902" s="4">
        <v>60</v>
      </c>
      <c r="H902" s="4" t="s">
        <v>19</v>
      </c>
      <c r="I902" s="4" t="s">
        <v>20</v>
      </c>
      <c r="J902" s="4" t="s">
        <v>28</v>
      </c>
      <c r="K902" s="4">
        <v>65440</v>
      </c>
      <c r="L902" s="4" t="s">
        <v>22</v>
      </c>
      <c r="M902" s="4">
        <v>0.31</v>
      </c>
      <c r="N902" s="4">
        <v>0.88</v>
      </c>
      <c r="O902" s="4">
        <v>9594.69</v>
      </c>
      <c r="P902" s="4">
        <v>0</v>
      </c>
      <c r="Q902" s="6">
        <f t="shared" si="171"/>
        <v>177.55734731131429</v>
      </c>
      <c r="R902" s="6">
        <f t="shared" si="164"/>
        <v>1686.4408386788564</v>
      </c>
      <c r="S902" s="4">
        <f t="shared" si="165"/>
        <v>10189.772727272728</v>
      </c>
      <c r="T902" s="4">
        <f t="shared" si="166"/>
        <v>5453.333333333333</v>
      </c>
      <c r="U902" s="4">
        <f t="shared" si="167"/>
        <v>1690.5333333333333</v>
      </c>
      <c r="V902" s="4">
        <f t="shared" ca="1" si="168"/>
        <v>44</v>
      </c>
      <c r="W902" s="20">
        <f t="shared" ca="1" si="163"/>
        <v>7812.5232816978287</v>
      </c>
      <c r="X902" s="4">
        <f t="shared" si="169"/>
        <v>627.69000000000051</v>
      </c>
      <c r="Y902" s="13">
        <f t="shared" si="170"/>
        <v>7.0000000000000062E-2</v>
      </c>
    </row>
    <row r="903" spans="1:25" x14ac:dyDescent="0.3">
      <c r="A903" s="12" t="s">
        <v>1848</v>
      </c>
      <c r="B903" s="7">
        <v>44523</v>
      </c>
      <c r="C903" s="4" t="s">
        <v>1849</v>
      </c>
      <c r="D903" s="4" t="s">
        <v>25</v>
      </c>
      <c r="E903" s="4">
        <v>12871</v>
      </c>
      <c r="F903" s="4">
        <v>18.8</v>
      </c>
      <c r="G903" s="4">
        <v>60</v>
      </c>
      <c r="H903" s="4" t="s">
        <v>19</v>
      </c>
      <c r="I903" s="4" t="s">
        <v>57</v>
      </c>
      <c r="J903" s="4" t="s">
        <v>47</v>
      </c>
      <c r="K903" s="4">
        <v>125082</v>
      </c>
      <c r="L903" s="4" t="s">
        <v>22</v>
      </c>
      <c r="M903" s="4">
        <v>0.21</v>
      </c>
      <c r="N903" s="4">
        <v>0.75</v>
      </c>
      <c r="O903" s="4">
        <v>15290.75</v>
      </c>
      <c r="P903" s="4">
        <v>0</v>
      </c>
      <c r="Q903" s="6">
        <f t="shared" si="171"/>
        <v>332.46600831285139</v>
      </c>
      <c r="R903" s="6">
        <f t="shared" si="164"/>
        <v>7076.9604987710845</v>
      </c>
      <c r="S903" s="4">
        <f t="shared" si="165"/>
        <v>17161.333333333332</v>
      </c>
      <c r="T903" s="4">
        <f t="shared" si="166"/>
        <v>10423.5</v>
      </c>
      <c r="U903" s="4">
        <f t="shared" si="167"/>
        <v>2188.9349999999999</v>
      </c>
      <c r="V903" s="4">
        <f t="shared" ca="1" si="168"/>
        <v>51</v>
      </c>
      <c r="W903" s="20">
        <f t="shared" ca="1" si="163"/>
        <v>16955.766423955421</v>
      </c>
      <c r="X903" s="4">
        <f t="shared" si="169"/>
        <v>2419.75</v>
      </c>
      <c r="Y903" s="13">
        <f t="shared" si="170"/>
        <v>0.18800015538808174</v>
      </c>
    </row>
    <row r="904" spans="1:25" x14ac:dyDescent="0.3">
      <c r="A904" s="12" t="s">
        <v>1850</v>
      </c>
      <c r="B904" s="7">
        <v>45186</v>
      </c>
      <c r="C904" s="4" t="s">
        <v>1851</v>
      </c>
      <c r="D904" s="4" t="s">
        <v>65</v>
      </c>
      <c r="E904" s="4">
        <v>29763</v>
      </c>
      <c r="F904" s="4">
        <v>9.8000000000000007</v>
      </c>
      <c r="G904" s="4">
        <v>36</v>
      </c>
      <c r="H904" s="4" t="s">
        <v>19</v>
      </c>
      <c r="I904" s="4" t="s">
        <v>73</v>
      </c>
      <c r="J904" s="4" t="s">
        <v>28</v>
      </c>
      <c r="K904" s="4">
        <v>135583</v>
      </c>
      <c r="L904" s="4" t="s">
        <v>22</v>
      </c>
      <c r="M904" s="4">
        <v>0.43</v>
      </c>
      <c r="N904" s="4">
        <v>0.54</v>
      </c>
      <c r="O904" s="4">
        <v>32679.77</v>
      </c>
      <c r="P904" s="4">
        <v>0</v>
      </c>
      <c r="Q904" s="6">
        <f t="shared" si="171"/>
        <v>957.57600726016938</v>
      </c>
      <c r="R904" s="6">
        <f t="shared" si="164"/>
        <v>4709.7362613660953</v>
      </c>
      <c r="S904" s="4">
        <f t="shared" si="165"/>
        <v>55116.666666666664</v>
      </c>
      <c r="T904" s="4">
        <f t="shared" si="166"/>
        <v>11298.583333333334</v>
      </c>
      <c r="U904" s="4">
        <f t="shared" si="167"/>
        <v>4858.3908333333338</v>
      </c>
      <c r="V904" s="4">
        <f t="shared" ca="1" si="168"/>
        <v>30</v>
      </c>
      <c r="W904" s="20">
        <f t="shared" ca="1" si="163"/>
        <v>28727.280217805081</v>
      </c>
      <c r="X904" s="4">
        <f t="shared" si="169"/>
        <v>2916.7700000000004</v>
      </c>
      <c r="Y904" s="13">
        <f t="shared" si="170"/>
        <v>9.7999865604945752E-2</v>
      </c>
    </row>
    <row r="905" spans="1:25" x14ac:dyDescent="0.3">
      <c r="A905" s="12" t="s">
        <v>1852</v>
      </c>
      <c r="B905" s="7">
        <v>44411</v>
      </c>
      <c r="C905" s="4" t="s">
        <v>1853</v>
      </c>
      <c r="D905" s="4" t="s">
        <v>50</v>
      </c>
      <c r="E905" s="4">
        <v>12916</v>
      </c>
      <c r="F905" s="4">
        <v>23.2</v>
      </c>
      <c r="G905" s="4">
        <v>60</v>
      </c>
      <c r="H905" s="4" t="s">
        <v>26</v>
      </c>
      <c r="I905" s="4" t="s">
        <v>57</v>
      </c>
      <c r="J905" s="4" t="s">
        <v>21</v>
      </c>
      <c r="K905" s="4">
        <v>86683</v>
      </c>
      <c r="L905" s="4" t="s">
        <v>29</v>
      </c>
      <c r="M905" s="4">
        <v>0.4</v>
      </c>
      <c r="N905" s="4">
        <v>0.61</v>
      </c>
      <c r="O905" s="4">
        <v>1414.24</v>
      </c>
      <c r="P905" s="4">
        <v>0</v>
      </c>
      <c r="Q905" s="6">
        <f t="shared" si="171"/>
        <v>365.59380558293196</v>
      </c>
      <c r="R905" s="6">
        <f t="shared" si="164"/>
        <v>9019.6283349759178</v>
      </c>
      <c r="S905" s="4">
        <f t="shared" si="165"/>
        <v>21173.77049180328</v>
      </c>
      <c r="T905" s="4">
        <f t="shared" si="166"/>
        <v>7223.583333333333</v>
      </c>
      <c r="U905" s="4">
        <f t="shared" si="167"/>
        <v>2889.4333333333334</v>
      </c>
      <c r="V905" s="4">
        <f t="shared" ca="1" si="168"/>
        <v>55</v>
      </c>
      <c r="W905" s="20">
        <f t="shared" ca="1" si="163"/>
        <v>20107.659307061258</v>
      </c>
      <c r="X905" s="4">
        <f t="shared" si="169"/>
        <v>-11501.76</v>
      </c>
      <c r="Y905" s="13">
        <f t="shared" si="170"/>
        <v>-0.89050480024775469</v>
      </c>
    </row>
    <row r="906" spans="1:25" x14ac:dyDescent="0.3">
      <c r="A906" s="12" t="s">
        <v>1854</v>
      </c>
      <c r="B906" s="7">
        <v>44631</v>
      </c>
      <c r="C906" s="4" t="s">
        <v>1855</v>
      </c>
      <c r="D906" s="4" t="s">
        <v>56</v>
      </c>
      <c r="E906" s="4">
        <v>9734</v>
      </c>
      <c r="F906" s="4">
        <v>21.8</v>
      </c>
      <c r="G906" s="4">
        <v>36</v>
      </c>
      <c r="H906" s="4" t="s">
        <v>26</v>
      </c>
      <c r="I906" s="4" t="s">
        <v>57</v>
      </c>
      <c r="J906" s="4" t="s">
        <v>37</v>
      </c>
      <c r="K906" s="4">
        <v>71430</v>
      </c>
      <c r="L906" s="4" t="s">
        <v>33</v>
      </c>
      <c r="M906" s="4">
        <v>0.39</v>
      </c>
      <c r="N906" s="4">
        <v>0.56999999999999995</v>
      </c>
      <c r="O906" s="4">
        <v>3613.86</v>
      </c>
      <c r="P906" s="4">
        <v>0</v>
      </c>
      <c r="Q906" s="6">
        <f t="shared" si="171"/>
        <v>370.73948857255294</v>
      </c>
      <c r="R906" s="6">
        <f t="shared" si="164"/>
        <v>3612.6215886119062</v>
      </c>
      <c r="S906" s="4">
        <f t="shared" si="165"/>
        <v>17077.192982456141</v>
      </c>
      <c r="T906" s="4">
        <f t="shared" si="166"/>
        <v>5952.5</v>
      </c>
      <c r="U906" s="4">
        <f t="shared" si="167"/>
        <v>2321.4749999999999</v>
      </c>
      <c r="V906" s="4">
        <f t="shared" ca="1" si="168"/>
        <v>48</v>
      </c>
      <c r="W906" s="20">
        <f t="shared" ca="1" si="163"/>
        <v>17795.49545148254</v>
      </c>
      <c r="X906" s="4">
        <f t="shared" si="169"/>
        <v>-6120.1399999999994</v>
      </c>
      <c r="Y906" s="13">
        <f t="shared" si="170"/>
        <v>-0.6287384425724265</v>
      </c>
    </row>
    <row r="907" spans="1:25" x14ac:dyDescent="0.3">
      <c r="A907" s="12" t="s">
        <v>1856</v>
      </c>
      <c r="B907" s="7">
        <v>45148</v>
      </c>
      <c r="C907" s="4" t="s">
        <v>1857</v>
      </c>
      <c r="D907" s="4" t="s">
        <v>18</v>
      </c>
      <c r="E907" s="4">
        <v>34613</v>
      </c>
      <c r="F907" s="4">
        <v>19.2</v>
      </c>
      <c r="G907" s="4">
        <v>36</v>
      </c>
      <c r="H907" s="4" t="s">
        <v>19</v>
      </c>
      <c r="I907" s="4" t="s">
        <v>20</v>
      </c>
      <c r="J907" s="4" t="s">
        <v>28</v>
      </c>
      <c r="K907" s="4">
        <v>31987</v>
      </c>
      <c r="L907" s="4" t="s">
        <v>33</v>
      </c>
      <c r="M907" s="4">
        <v>0.45</v>
      </c>
      <c r="N907" s="4">
        <v>0.56000000000000005</v>
      </c>
      <c r="O907" s="4">
        <v>41258.699999999997</v>
      </c>
      <c r="P907" s="4">
        <v>0</v>
      </c>
      <c r="Q907" s="6">
        <f t="shared" si="171"/>
        <v>1272.2775920798274</v>
      </c>
      <c r="R907" s="6">
        <f t="shared" si="164"/>
        <v>11188.993314873784</v>
      </c>
      <c r="S907" s="4">
        <f t="shared" si="165"/>
        <v>61808.928571428565</v>
      </c>
      <c r="T907" s="4">
        <f t="shared" si="166"/>
        <v>2665.5833333333335</v>
      </c>
      <c r="U907" s="4">
        <f t="shared" si="167"/>
        <v>1199.5125</v>
      </c>
      <c r="V907" s="4">
        <f t="shared" ca="1" si="168"/>
        <v>31</v>
      </c>
      <c r="W907" s="20">
        <f t="shared" ca="1" si="163"/>
        <v>39440.605354474646</v>
      </c>
      <c r="X907" s="4">
        <f t="shared" si="169"/>
        <v>6645.6999999999971</v>
      </c>
      <c r="Y907" s="13">
        <f t="shared" si="170"/>
        <v>0.19200011556351651</v>
      </c>
    </row>
    <row r="908" spans="1:25" x14ac:dyDescent="0.3">
      <c r="A908" s="12" t="s">
        <v>1858</v>
      </c>
      <c r="B908" s="7">
        <v>44919</v>
      </c>
      <c r="C908" s="4" t="s">
        <v>1859</v>
      </c>
      <c r="D908" s="4" t="s">
        <v>50</v>
      </c>
      <c r="E908" s="4">
        <v>29179</v>
      </c>
      <c r="F908" s="4">
        <v>24</v>
      </c>
      <c r="G908" s="4">
        <v>36</v>
      </c>
      <c r="H908" s="4" t="s">
        <v>26</v>
      </c>
      <c r="I908" s="4" t="s">
        <v>73</v>
      </c>
      <c r="J908" s="4" t="s">
        <v>47</v>
      </c>
      <c r="K908" s="4">
        <v>144778</v>
      </c>
      <c r="L908" s="4" t="s">
        <v>29</v>
      </c>
      <c r="M908" s="4">
        <v>0.39</v>
      </c>
      <c r="N908" s="4">
        <v>0.66</v>
      </c>
      <c r="O908" s="4">
        <v>7176.47</v>
      </c>
      <c r="P908" s="4">
        <v>0</v>
      </c>
      <c r="Q908" s="6">
        <f t="shared" si="171"/>
        <v>1144.7754059511522</v>
      </c>
      <c r="R908" s="6">
        <f t="shared" si="164"/>
        <v>12032.914614241476</v>
      </c>
      <c r="S908" s="4">
        <f t="shared" si="165"/>
        <v>44210.606060606056</v>
      </c>
      <c r="T908" s="4">
        <f t="shared" si="166"/>
        <v>12064.833333333334</v>
      </c>
      <c r="U908" s="4">
        <f t="shared" si="167"/>
        <v>4705.2850000000008</v>
      </c>
      <c r="V908" s="4">
        <f t="shared" ca="1" si="168"/>
        <v>38</v>
      </c>
      <c r="W908" s="20">
        <f t="shared" ca="1" si="163"/>
        <v>43501.465426143783</v>
      </c>
      <c r="X908" s="4">
        <f t="shared" si="169"/>
        <v>-22002.53</v>
      </c>
      <c r="Y908" s="13">
        <f t="shared" si="170"/>
        <v>-0.7540536001919188</v>
      </c>
    </row>
    <row r="909" spans="1:25" x14ac:dyDescent="0.3">
      <c r="A909" s="12" t="s">
        <v>1860</v>
      </c>
      <c r="B909" s="7">
        <v>44228</v>
      </c>
      <c r="C909" s="4" t="s">
        <v>1861</v>
      </c>
      <c r="D909" s="4" t="s">
        <v>50</v>
      </c>
      <c r="E909" s="4">
        <v>36262</v>
      </c>
      <c r="F909" s="4">
        <v>5.6</v>
      </c>
      <c r="G909" s="4">
        <v>60</v>
      </c>
      <c r="H909" s="4" t="s">
        <v>26</v>
      </c>
      <c r="I909" s="4" t="s">
        <v>84</v>
      </c>
      <c r="J909" s="4" t="s">
        <v>21</v>
      </c>
      <c r="K909" s="4">
        <v>55105</v>
      </c>
      <c r="L909" s="4" t="s">
        <v>29</v>
      </c>
      <c r="M909" s="4">
        <v>0.19</v>
      </c>
      <c r="N909" s="4">
        <v>0.6</v>
      </c>
      <c r="O909" s="4">
        <v>6621.15</v>
      </c>
      <c r="P909" s="4">
        <v>0</v>
      </c>
      <c r="Q909" s="6">
        <f t="shared" si="171"/>
        <v>694.32132485527961</v>
      </c>
      <c r="R909" s="6">
        <f t="shared" si="164"/>
        <v>5397.2794913167745</v>
      </c>
      <c r="S909" s="4">
        <f t="shared" si="165"/>
        <v>60436.666666666672</v>
      </c>
      <c r="T909" s="4">
        <f t="shared" si="166"/>
        <v>4592.083333333333</v>
      </c>
      <c r="U909" s="4">
        <f t="shared" si="167"/>
        <v>872.49583333333328</v>
      </c>
      <c r="V909" s="4">
        <f t="shared" ca="1" si="168"/>
        <v>61</v>
      </c>
      <c r="W909" s="20">
        <f t="shared" ca="1" si="163"/>
        <v>42353.600816172053</v>
      </c>
      <c r="X909" s="4">
        <f t="shared" si="169"/>
        <v>-29640.85</v>
      </c>
      <c r="Y909" s="13">
        <f t="shared" si="170"/>
        <v>-0.81740803044509402</v>
      </c>
    </row>
    <row r="910" spans="1:25" x14ac:dyDescent="0.3">
      <c r="A910" s="12" t="s">
        <v>1862</v>
      </c>
      <c r="B910" s="7">
        <v>44866</v>
      </c>
      <c r="C910" s="4" t="s">
        <v>1863</v>
      </c>
      <c r="D910" s="4" t="s">
        <v>65</v>
      </c>
      <c r="E910" s="4">
        <v>13677</v>
      </c>
      <c r="F910" s="4">
        <v>19.7</v>
      </c>
      <c r="G910" s="4">
        <v>36</v>
      </c>
      <c r="H910" s="4" t="s">
        <v>60</v>
      </c>
      <c r="I910" s="4" t="s">
        <v>27</v>
      </c>
      <c r="J910" s="4" t="s">
        <v>32</v>
      </c>
      <c r="K910" s="4">
        <v>108484</v>
      </c>
      <c r="L910" s="4" t="s">
        <v>29</v>
      </c>
      <c r="M910" s="4">
        <v>0.38</v>
      </c>
      <c r="N910" s="4">
        <v>0.6</v>
      </c>
      <c r="O910" s="4">
        <v>0</v>
      </c>
      <c r="P910" s="4">
        <v>0</v>
      </c>
      <c r="Q910" s="6">
        <f t="shared" si="171"/>
        <v>506.19810463150992</v>
      </c>
      <c r="R910" s="6">
        <f t="shared" si="164"/>
        <v>4546.1317667343574</v>
      </c>
      <c r="S910" s="4">
        <f t="shared" si="165"/>
        <v>22795</v>
      </c>
      <c r="T910" s="4">
        <f t="shared" si="166"/>
        <v>9040.3333333333339</v>
      </c>
      <c r="U910" s="4">
        <f t="shared" si="167"/>
        <v>3435.3266666666668</v>
      </c>
      <c r="V910" s="4">
        <f t="shared" ca="1" si="168"/>
        <v>40</v>
      </c>
      <c r="W910" s="20">
        <f t="shared" ca="1" si="163"/>
        <v>20247.924185260395</v>
      </c>
      <c r="X910" s="4">
        <f t="shared" si="169"/>
        <v>-13677</v>
      </c>
      <c r="Y910" s="13">
        <f t="shared" si="170"/>
        <v>-1</v>
      </c>
    </row>
    <row r="911" spans="1:25" x14ac:dyDescent="0.3">
      <c r="A911" s="12" t="s">
        <v>1864</v>
      </c>
      <c r="B911" s="7">
        <v>44481</v>
      </c>
      <c r="C911" s="4" t="s">
        <v>1865</v>
      </c>
      <c r="D911" s="4" t="s">
        <v>65</v>
      </c>
      <c r="E911" s="4">
        <v>19268</v>
      </c>
      <c r="F911" s="4">
        <v>11.6</v>
      </c>
      <c r="G911" s="4">
        <v>36</v>
      </c>
      <c r="H911" s="4" t="s">
        <v>81</v>
      </c>
      <c r="I911" s="4" t="s">
        <v>20</v>
      </c>
      <c r="J911" s="4" t="s">
        <v>21</v>
      </c>
      <c r="K911" s="4">
        <v>148747</v>
      </c>
      <c r="L911" s="4" t="s">
        <v>33</v>
      </c>
      <c r="M911" s="4">
        <v>0.22</v>
      </c>
      <c r="N911" s="4">
        <v>0.52</v>
      </c>
      <c r="O911" s="4">
        <v>2215.9299999999998</v>
      </c>
      <c r="P911" s="4">
        <v>9626.5400000000009</v>
      </c>
      <c r="Q911" s="6">
        <f t="shared" si="171"/>
        <v>636.29845575853244</v>
      </c>
      <c r="R911" s="6">
        <f t="shared" si="164"/>
        <v>3638.7444073071674</v>
      </c>
      <c r="S911" s="4">
        <f t="shared" si="165"/>
        <v>37053.846153846156</v>
      </c>
      <c r="T911" s="4">
        <f t="shared" si="166"/>
        <v>12395.583333333334</v>
      </c>
      <c r="U911" s="4">
        <f t="shared" si="167"/>
        <v>2727.0283333333336</v>
      </c>
      <c r="V911" s="4">
        <f t="shared" ca="1" si="168"/>
        <v>53</v>
      </c>
      <c r="W911" s="20">
        <v>0</v>
      </c>
      <c r="X911" s="4">
        <f t="shared" si="169"/>
        <v>-7425.5299999999988</v>
      </c>
      <c r="Y911" s="13">
        <f t="shared" si="170"/>
        <v>-0.38538146149055424</v>
      </c>
    </row>
    <row r="912" spans="1:25" x14ac:dyDescent="0.3">
      <c r="A912" s="12" t="s">
        <v>1866</v>
      </c>
      <c r="B912" s="7">
        <v>44625</v>
      </c>
      <c r="C912" s="4" t="s">
        <v>1867</v>
      </c>
      <c r="D912" s="4" t="s">
        <v>40</v>
      </c>
      <c r="E912" s="4">
        <v>13330</v>
      </c>
      <c r="F912" s="4">
        <v>23.1</v>
      </c>
      <c r="G912" s="4">
        <v>60</v>
      </c>
      <c r="H912" s="4" t="s">
        <v>26</v>
      </c>
      <c r="I912" s="4" t="s">
        <v>73</v>
      </c>
      <c r="J912" s="4" t="s">
        <v>28</v>
      </c>
      <c r="K912" s="4">
        <v>43026</v>
      </c>
      <c r="L912" s="4" t="s">
        <v>22</v>
      </c>
      <c r="M912" s="4">
        <v>0.2</v>
      </c>
      <c r="N912" s="4">
        <v>0.51</v>
      </c>
      <c r="O912" s="4">
        <v>3589.27</v>
      </c>
      <c r="P912" s="4">
        <v>0</v>
      </c>
      <c r="Q912" s="6">
        <f t="shared" si="171"/>
        <v>376.54523544410131</v>
      </c>
      <c r="R912" s="6">
        <f t="shared" si="164"/>
        <v>9262.7141266460785</v>
      </c>
      <c r="S912" s="4">
        <f t="shared" si="165"/>
        <v>26137.254901960783</v>
      </c>
      <c r="T912" s="4">
        <f t="shared" si="166"/>
        <v>3585.5</v>
      </c>
      <c r="U912" s="4">
        <f t="shared" si="167"/>
        <v>717.1</v>
      </c>
      <c r="V912" s="4">
        <f t="shared" ca="1" si="168"/>
        <v>48</v>
      </c>
      <c r="W912" s="20">
        <f t="shared" ref="W912:W927" ca="1" si="172">V912*Q912</f>
        <v>18074.171301316863</v>
      </c>
      <c r="X912" s="4">
        <f t="shared" si="169"/>
        <v>-9740.73</v>
      </c>
      <c r="Y912" s="13">
        <f t="shared" si="170"/>
        <v>-0.73073743435858962</v>
      </c>
    </row>
    <row r="913" spans="1:25" x14ac:dyDescent="0.3">
      <c r="A913" s="12" t="s">
        <v>1868</v>
      </c>
      <c r="B913" s="7">
        <v>44482</v>
      </c>
      <c r="C913" s="4" t="s">
        <v>1869</v>
      </c>
      <c r="D913" s="4" t="s">
        <v>25</v>
      </c>
      <c r="E913" s="4">
        <v>21733</v>
      </c>
      <c r="F913" s="4">
        <v>10.3</v>
      </c>
      <c r="G913" s="4">
        <v>36</v>
      </c>
      <c r="H913" s="4" t="s">
        <v>26</v>
      </c>
      <c r="I913" s="4" t="s">
        <v>27</v>
      </c>
      <c r="J913" s="4" t="s">
        <v>47</v>
      </c>
      <c r="K913" s="4">
        <v>98309</v>
      </c>
      <c r="L913" s="4" t="s">
        <v>29</v>
      </c>
      <c r="M913" s="4">
        <v>0.13</v>
      </c>
      <c r="N913" s="4">
        <v>0.55000000000000004</v>
      </c>
      <c r="O913" s="4">
        <v>4562.7700000000004</v>
      </c>
      <c r="P913" s="4">
        <v>0</v>
      </c>
      <c r="Q913" s="6">
        <f t="shared" si="171"/>
        <v>704.32781952989671</v>
      </c>
      <c r="R913" s="6">
        <f t="shared" si="164"/>
        <v>3622.8015030762836</v>
      </c>
      <c r="S913" s="4">
        <f t="shared" si="165"/>
        <v>39514.545454545449</v>
      </c>
      <c r="T913" s="4">
        <f t="shared" si="166"/>
        <v>8192.4166666666661</v>
      </c>
      <c r="U913" s="4">
        <f t="shared" si="167"/>
        <v>1065.0141666666666</v>
      </c>
      <c r="V913" s="4">
        <f t="shared" ca="1" si="168"/>
        <v>53</v>
      </c>
      <c r="W913" s="20">
        <f t="shared" ca="1" si="172"/>
        <v>37329.374435084523</v>
      </c>
      <c r="X913" s="4">
        <f t="shared" si="169"/>
        <v>-17170.23</v>
      </c>
      <c r="Y913" s="13">
        <f t="shared" si="170"/>
        <v>-0.79005337505176454</v>
      </c>
    </row>
    <row r="914" spans="1:25" x14ac:dyDescent="0.3">
      <c r="A914" s="12" t="s">
        <v>1870</v>
      </c>
      <c r="B914" s="7">
        <v>45239</v>
      </c>
      <c r="C914" s="4" t="s">
        <v>1871</v>
      </c>
      <c r="D914" s="4" t="s">
        <v>76</v>
      </c>
      <c r="E914" s="4">
        <v>38947</v>
      </c>
      <c r="F914" s="4">
        <v>19.5</v>
      </c>
      <c r="G914" s="4">
        <v>60</v>
      </c>
      <c r="H914" s="4" t="s">
        <v>19</v>
      </c>
      <c r="I914" s="4" t="s">
        <v>73</v>
      </c>
      <c r="J914" s="4" t="s">
        <v>28</v>
      </c>
      <c r="K914" s="4">
        <v>75927</v>
      </c>
      <c r="L914" s="4" t="s">
        <v>29</v>
      </c>
      <c r="M914" s="4">
        <v>0.4</v>
      </c>
      <c r="N914" s="4">
        <v>0.57999999999999996</v>
      </c>
      <c r="O914" s="4">
        <v>46541.66</v>
      </c>
      <c r="P914" s="4">
        <v>0</v>
      </c>
      <c r="Q914" s="6">
        <f t="shared" si="171"/>
        <v>1021.0518972845982</v>
      </c>
      <c r="R914" s="6">
        <f t="shared" si="164"/>
        <v>22316.113837075893</v>
      </c>
      <c r="S914" s="4">
        <f t="shared" si="165"/>
        <v>67150</v>
      </c>
      <c r="T914" s="4">
        <f t="shared" si="166"/>
        <v>6327.25</v>
      </c>
      <c r="U914" s="4">
        <f t="shared" si="167"/>
        <v>2530.9</v>
      </c>
      <c r="V914" s="4">
        <f t="shared" ca="1" si="168"/>
        <v>28</v>
      </c>
      <c r="W914" s="20">
        <f t="shared" ca="1" si="172"/>
        <v>28589.453123968749</v>
      </c>
      <c r="X914" s="4">
        <f t="shared" si="169"/>
        <v>7594.6600000000035</v>
      </c>
      <c r="Y914" s="13">
        <f t="shared" si="170"/>
        <v>0.1949998716204073</v>
      </c>
    </row>
    <row r="915" spans="1:25" x14ac:dyDescent="0.3">
      <c r="A915" s="12" t="s">
        <v>1872</v>
      </c>
      <c r="B915" s="7">
        <v>44214</v>
      </c>
      <c r="C915" s="4" t="s">
        <v>1873</v>
      </c>
      <c r="D915" s="4" t="s">
        <v>46</v>
      </c>
      <c r="E915" s="4">
        <v>28286</v>
      </c>
      <c r="F915" s="4">
        <v>22.6</v>
      </c>
      <c r="G915" s="4">
        <v>60</v>
      </c>
      <c r="H915" s="4" t="s">
        <v>26</v>
      </c>
      <c r="I915" s="4" t="s">
        <v>57</v>
      </c>
      <c r="J915" s="4" t="s">
        <v>32</v>
      </c>
      <c r="K915" s="4">
        <v>105414</v>
      </c>
      <c r="L915" s="4" t="s">
        <v>29</v>
      </c>
      <c r="M915" s="4">
        <v>0.38</v>
      </c>
      <c r="N915" s="4">
        <v>0.69</v>
      </c>
      <c r="O915" s="4">
        <v>4615.7299999999996</v>
      </c>
      <c r="P915" s="4">
        <v>0</v>
      </c>
      <c r="Q915" s="6">
        <f t="shared" si="171"/>
        <v>790.90855606343825</v>
      </c>
      <c r="R915" s="6">
        <f t="shared" si="164"/>
        <v>19168.513363806298</v>
      </c>
      <c r="S915" s="4">
        <f t="shared" si="165"/>
        <v>40994.202898550728</v>
      </c>
      <c r="T915" s="4">
        <f t="shared" si="166"/>
        <v>8784.5</v>
      </c>
      <c r="U915" s="4">
        <f t="shared" si="167"/>
        <v>3338.11</v>
      </c>
      <c r="V915" s="4">
        <f t="shared" ca="1" si="168"/>
        <v>62</v>
      </c>
      <c r="W915" s="20">
        <f t="shared" ca="1" si="172"/>
        <v>49036.330475933173</v>
      </c>
      <c r="X915" s="4">
        <f t="shared" si="169"/>
        <v>-23670.27</v>
      </c>
      <c r="Y915" s="13">
        <f t="shared" si="170"/>
        <v>-0.83681927455278227</v>
      </c>
    </row>
    <row r="916" spans="1:25" x14ac:dyDescent="0.3">
      <c r="A916" s="12" t="s">
        <v>1874</v>
      </c>
      <c r="B916" s="7">
        <v>44965</v>
      </c>
      <c r="C916" s="4" t="s">
        <v>1875</v>
      </c>
      <c r="D916" s="4" t="s">
        <v>65</v>
      </c>
      <c r="E916" s="4">
        <v>7610</v>
      </c>
      <c r="F916" s="4">
        <v>5.8</v>
      </c>
      <c r="G916" s="4">
        <v>60</v>
      </c>
      <c r="H916" s="4" t="s">
        <v>19</v>
      </c>
      <c r="I916" s="4" t="s">
        <v>73</v>
      </c>
      <c r="J916" s="4" t="s">
        <v>32</v>
      </c>
      <c r="K916" s="4">
        <v>87535</v>
      </c>
      <c r="L916" s="4" t="s">
        <v>22</v>
      </c>
      <c r="M916" s="4">
        <v>0.19</v>
      </c>
      <c r="N916" s="4">
        <v>0.73</v>
      </c>
      <c r="O916" s="4">
        <v>8051.38</v>
      </c>
      <c r="P916" s="4">
        <v>0</v>
      </c>
      <c r="Q916" s="6">
        <f t="shared" si="171"/>
        <v>146.41594877377955</v>
      </c>
      <c r="R916" s="6">
        <f t="shared" si="164"/>
        <v>1174.956926426772</v>
      </c>
      <c r="S916" s="4">
        <f t="shared" si="165"/>
        <v>10424.657534246575</v>
      </c>
      <c r="T916" s="4">
        <f t="shared" si="166"/>
        <v>7294.583333333333</v>
      </c>
      <c r="U916" s="4">
        <f t="shared" si="167"/>
        <v>1385.9708333333333</v>
      </c>
      <c r="V916" s="4">
        <f t="shared" ca="1" si="168"/>
        <v>37</v>
      </c>
      <c r="W916" s="20">
        <f t="shared" ca="1" si="172"/>
        <v>5417.3901046298433</v>
      </c>
      <c r="X916" s="4">
        <f t="shared" si="169"/>
        <v>441.38000000000011</v>
      </c>
      <c r="Y916" s="13">
        <f t="shared" si="170"/>
        <v>5.8000000000000017E-2</v>
      </c>
    </row>
    <row r="917" spans="1:25" x14ac:dyDescent="0.3">
      <c r="A917" s="12" t="s">
        <v>1876</v>
      </c>
      <c r="B917" s="7">
        <v>44786</v>
      </c>
      <c r="C917" s="4" t="s">
        <v>1877</v>
      </c>
      <c r="D917" s="4" t="s">
        <v>65</v>
      </c>
      <c r="E917" s="4">
        <v>7430</v>
      </c>
      <c r="F917" s="4">
        <v>13</v>
      </c>
      <c r="G917" s="4">
        <v>60</v>
      </c>
      <c r="H917" s="4" t="s">
        <v>19</v>
      </c>
      <c r="I917" s="4" t="s">
        <v>41</v>
      </c>
      <c r="J917" s="4" t="s">
        <v>47</v>
      </c>
      <c r="K917" s="4">
        <v>72946</v>
      </c>
      <c r="L917" s="4" t="s">
        <v>22</v>
      </c>
      <c r="M917" s="4">
        <v>0.4</v>
      </c>
      <c r="N917" s="4">
        <v>0.56000000000000005</v>
      </c>
      <c r="O917" s="4">
        <v>8395.9</v>
      </c>
      <c r="P917" s="4">
        <v>0</v>
      </c>
      <c r="Q917" s="6">
        <f t="shared" si="171"/>
        <v>169.05533271858448</v>
      </c>
      <c r="R917" s="6">
        <f t="shared" si="164"/>
        <v>2713.3199631150692</v>
      </c>
      <c r="S917" s="4">
        <f t="shared" si="165"/>
        <v>13267.857142857141</v>
      </c>
      <c r="T917" s="4">
        <f t="shared" si="166"/>
        <v>6078.833333333333</v>
      </c>
      <c r="U917" s="4">
        <f t="shared" si="167"/>
        <v>2431.5333333333333</v>
      </c>
      <c r="V917" s="4">
        <f t="shared" ca="1" si="168"/>
        <v>43</v>
      </c>
      <c r="W917" s="20">
        <f t="shared" ca="1" si="172"/>
        <v>7269.3793068991326</v>
      </c>
      <c r="X917" s="4">
        <f t="shared" si="169"/>
        <v>965.89999999999964</v>
      </c>
      <c r="Y917" s="13">
        <f t="shared" si="170"/>
        <v>0.12999999999999995</v>
      </c>
    </row>
    <row r="918" spans="1:25" x14ac:dyDescent="0.3">
      <c r="A918" s="12" t="s">
        <v>1878</v>
      </c>
      <c r="B918" s="7">
        <v>45206</v>
      </c>
      <c r="C918" s="4" t="s">
        <v>1879</v>
      </c>
      <c r="D918" s="4" t="s">
        <v>56</v>
      </c>
      <c r="E918" s="4">
        <v>14828</v>
      </c>
      <c r="F918" s="4">
        <v>20.2</v>
      </c>
      <c r="G918" s="4">
        <v>36</v>
      </c>
      <c r="H918" s="4" t="s">
        <v>19</v>
      </c>
      <c r="I918" s="4" t="s">
        <v>20</v>
      </c>
      <c r="J918" s="4" t="s">
        <v>37</v>
      </c>
      <c r="K918" s="4">
        <v>86561</v>
      </c>
      <c r="L918" s="4" t="s">
        <v>29</v>
      </c>
      <c r="M918" s="4">
        <v>0.47</v>
      </c>
      <c r="N918" s="4">
        <v>0.69</v>
      </c>
      <c r="O918" s="4">
        <v>17823.259999999998</v>
      </c>
      <c r="P918" s="4">
        <v>0</v>
      </c>
      <c r="Q918" s="6">
        <f t="shared" si="171"/>
        <v>552.57382890717008</v>
      </c>
      <c r="R918" s="6">
        <f t="shared" si="164"/>
        <v>5064.6578406581248</v>
      </c>
      <c r="S918" s="4">
        <f t="shared" si="165"/>
        <v>21489.855072463768</v>
      </c>
      <c r="T918" s="4">
        <f t="shared" si="166"/>
        <v>7213.416666666667</v>
      </c>
      <c r="U918" s="4">
        <f t="shared" si="167"/>
        <v>3390.3058333333333</v>
      </c>
      <c r="V918" s="4">
        <f t="shared" ca="1" si="168"/>
        <v>29</v>
      </c>
      <c r="W918" s="20">
        <f t="shared" ca="1" si="172"/>
        <v>16024.641038307933</v>
      </c>
      <c r="X918" s="4">
        <f t="shared" si="169"/>
        <v>2995.2599999999984</v>
      </c>
      <c r="Y918" s="13">
        <f t="shared" si="170"/>
        <v>0.20200026975991356</v>
      </c>
    </row>
    <row r="919" spans="1:25" x14ac:dyDescent="0.3">
      <c r="A919" s="12" t="s">
        <v>1880</v>
      </c>
      <c r="B919" s="7">
        <v>44390</v>
      </c>
      <c r="C919" s="4" t="s">
        <v>1881</v>
      </c>
      <c r="D919" s="4" t="s">
        <v>72</v>
      </c>
      <c r="E919" s="4">
        <v>32497</v>
      </c>
      <c r="F919" s="4">
        <v>14.1</v>
      </c>
      <c r="G919" s="4">
        <v>36</v>
      </c>
      <c r="H919" s="4" t="s">
        <v>26</v>
      </c>
      <c r="I919" s="4" t="s">
        <v>57</v>
      </c>
      <c r="J919" s="4" t="s">
        <v>21</v>
      </c>
      <c r="K919" s="4">
        <v>40377</v>
      </c>
      <c r="L919" s="4" t="s">
        <v>22</v>
      </c>
      <c r="M919" s="4">
        <v>0.14000000000000001</v>
      </c>
      <c r="N919" s="4">
        <v>0.65</v>
      </c>
      <c r="O919" s="4">
        <v>11783.49</v>
      </c>
      <c r="P919" s="4">
        <v>0</v>
      </c>
      <c r="Q919" s="6">
        <f t="shared" si="171"/>
        <v>1112.2494366979784</v>
      </c>
      <c r="R919" s="6">
        <f t="shared" si="164"/>
        <v>7543.9797211272235</v>
      </c>
      <c r="S919" s="4">
        <f t="shared" si="165"/>
        <v>49995.384615384617</v>
      </c>
      <c r="T919" s="4">
        <f t="shared" si="166"/>
        <v>3364.75</v>
      </c>
      <c r="U919" s="4">
        <f t="shared" si="167"/>
        <v>471.06500000000005</v>
      </c>
      <c r="V919" s="4">
        <f t="shared" ca="1" si="168"/>
        <v>56</v>
      </c>
      <c r="W919" s="20">
        <f t="shared" ca="1" si="172"/>
        <v>62285.96845508679</v>
      </c>
      <c r="X919" s="4">
        <f t="shared" si="169"/>
        <v>-20713.510000000002</v>
      </c>
      <c r="Y919" s="13">
        <f t="shared" si="170"/>
        <v>-0.63739760593285544</v>
      </c>
    </row>
    <row r="920" spans="1:25" x14ac:dyDescent="0.3">
      <c r="A920" s="12" t="s">
        <v>1882</v>
      </c>
      <c r="B920" s="7">
        <v>44698</v>
      </c>
      <c r="C920" s="4" t="s">
        <v>1883</v>
      </c>
      <c r="D920" s="4" t="s">
        <v>65</v>
      </c>
      <c r="E920" s="4">
        <v>37618</v>
      </c>
      <c r="F920" s="4">
        <v>10.3</v>
      </c>
      <c r="G920" s="4">
        <v>36</v>
      </c>
      <c r="H920" s="4" t="s">
        <v>19</v>
      </c>
      <c r="I920" s="4" t="s">
        <v>57</v>
      </c>
      <c r="J920" s="4" t="s">
        <v>21</v>
      </c>
      <c r="K920" s="4">
        <v>83592</v>
      </c>
      <c r="L920" s="4" t="s">
        <v>29</v>
      </c>
      <c r="M920" s="4">
        <v>0.19</v>
      </c>
      <c r="N920" s="4">
        <v>0.57999999999999996</v>
      </c>
      <c r="O920" s="4">
        <v>41492.65</v>
      </c>
      <c r="P920" s="4">
        <v>0</v>
      </c>
      <c r="Q920" s="6">
        <f t="shared" si="171"/>
        <v>1219.1323754233495</v>
      </c>
      <c r="R920" s="6">
        <f t="shared" si="164"/>
        <v>6270.7655152405787</v>
      </c>
      <c r="S920" s="4">
        <f t="shared" si="165"/>
        <v>64858.620689655174</v>
      </c>
      <c r="T920" s="4">
        <f t="shared" si="166"/>
        <v>6966</v>
      </c>
      <c r="U920" s="4">
        <f t="shared" si="167"/>
        <v>1323.54</v>
      </c>
      <c r="V920" s="4">
        <f t="shared" ca="1" si="168"/>
        <v>46</v>
      </c>
      <c r="W920" s="20">
        <f t="shared" ca="1" si="172"/>
        <v>56080.089269474076</v>
      </c>
      <c r="X920" s="4">
        <f t="shared" si="169"/>
        <v>3874.6500000000015</v>
      </c>
      <c r="Y920" s="13">
        <f t="shared" si="170"/>
        <v>0.10299989366792497</v>
      </c>
    </row>
    <row r="921" spans="1:25" x14ac:dyDescent="0.3">
      <c r="A921" s="12" t="s">
        <v>1884</v>
      </c>
      <c r="B921" s="7">
        <v>45184</v>
      </c>
      <c r="C921" s="4" t="s">
        <v>1885</v>
      </c>
      <c r="D921" s="4" t="s">
        <v>72</v>
      </c>
      <c r="E921" s="4">
        <v>27526</v>
      </c>
      <c r="F921" s="4">
        <v>9.4</v>
      </c>
      <c r="G921" s="4">
        <v>36</v>
      </c>
      <c r="H921" s="4" t="s">
        <v>19</v>
      </c>
      <c r="I921" s="4" t="s">
        <v>73</v>
      </c>
      <c r="J921" s="4" t="s">
        <v>32</v>
      </c>
      <c r="K921" s="4">
        <v>37347</v>
      </c>
      <c r="L921" s="4" t="s">
        <v>22</v>
      </c>
      <c r="M921" s="4">
        <v>0.4</v>
      </c>
      <c r="N921" s="4">
        <v>0.5</v>
      </c>
      <c r="O921" s="4">
        <v>30113.439999999999</v>
      </c>
      <c r="P921" s="4">
        <v>0</v>
      </c>
      <c r="Q921" s="6">
        <f t="shared" si="171"/>
        <v>880.45281963650018</v>
      </c>
      <c r="R921" s="6">
        <f t="shared" si="164"/>
        <v>4170.3015069140056</v>
      </c>
      <c r="S921" s="4">
        <f t="shared" si="165"/>
        <v>55052</v>
      </c>
      <c r="T921" s="4">
        <f t="shared" si="166"/>
        <v>3112.25</v>
      </c>
      <c r="U921" s="4">
        <f t="shared" si="167"/>
        <v>1244.9000000000001</v>
      </c>
      <c r="V921" s="4">
        <f t="shared" ca="1" si="168"/>
        <v>30</v>
      </c>
      <c r="W921" s="20">
        <f t="shared" ca="1" si="172"/>
        <v>26413.584589095004</v>
      </c>
      <c r="X921" s="4">
        <f t="shared" si="169"/>
        <v>2587.4399999999987</v>
      </c>
      <c r="Y921" s="13">
        <f t="shared" si="170"/>
        <v>9.399985468284526E-2</v>
      </c>
    </row>
    <row r="922" spans="1:25" x14ac:dyDescent="0.3">
      <c r="A922" s="12" t="s">
        <v>1886</v>
      </c>
      <c r="B922" s="7">
        <v>44310</v>
      </c>
      <c r="C922" s="4" t="s">
        <v>1887</v>
      </c>
      <c r="D922" s="4" t="s">
        <v>40</v>
      </c>
      <c r="E922" s="4">
        <v>31158</v>
      </c>
      <c r="F922" s="4">
        <v>7.6</v>
      </c>
      <c r="G922" s="4">
        <v>36</v>
      </c>
      <c r="H922" s="4" t="s">
        <v>19</v>
      </c>
      <c r="I922" s="4" t="s">
        <v>20</v>
      </c>
      <c r="J922" s="4" t="s">
        <v>28</v>
      </c>
      <c r="K922" s="4">
        <v>63776</v>
      </c>
      <c r="L922" s="4" t="s">
        <v>33</v>
      </c>
      <c r="M922" s="4">
        <v>0.21</v>
      </c>
      <c r="N922" s="4">
        <v>0.71</v>
      </c>
      <c r="O922" s="4">
        <v>33526.01</v>
      </c>
      <c r="P922" s="4">
        <v>0</v>
      </c>
      <c r="Q922" s="6">
        <f t="shared" si="171"/>
        <v>970.63917522775841</v>
      </c>
      <c r="R922" s="6">
        <f t="shared" si="164"/>
        <v>3785.0103081993002</v>
      </c>
      <c r="S922" s="4">
        <f t="shared" si="165"/>
        <v>43884.507042253521</v>
      </c>
      <c r="T922" s="4">
        <f t="shared" si="166"/>
        <v>5314.666666666667</v>
      </c>
      <c r="U922" s="4">
        <f t="shared" si="167"/>
        <v>1116.08</v>
      </c>
      <c r="V922" s="4">
        <f t="shared" ca="1" si="168"/>
        <v>58</v>
      </c>
      <c r="W922" s="20">
        <f t="shared" ca="1" si="172"/>
        <v>56297.072163209989</v>
      </c>
      <c r="X922" s="4">
        <f t="shared" si="169"/>
        <v>2368.010000000002</v>
      </c>
      <c r="Y922" s="13">
        <f t="shared" si="170"/>
        <v>7.6000064188972399E-2</v>
      </c>
    </row>
    <row r="923" spans="1:25" x14ac:dyDescent="0.3">
      <c r="A923" s="12" t="s">
        <v>1888</v>
      </c>
      <c r="B923" s="7">
        <v>45143</v>
      </c>
      <c r="C923" s="4" t="s">
        <v>1889</v>
      </c>
      <c r="D923" s="4" t="s">
        <v>76</v>
      </c>
      <c r="E923" s="4">
        <v>26032</v>
      </c>
      <c r="F923" s="4">
        <v>22.1</v>
      </c>
      <c r="G923" s="4">
        <v>60</v>
      </c>
      <c r="H923" s="4" t="s">
        <v>19</v>
      </c>
      <c r="I923" s="4" t="s">
        <v>20</v>
      </c>
      <c r="J923" s="4" t="s">
        <v>28</v>
      </c>
      <c r="K923" s="4">
        <v>33783</v>
      </c>
      <c r="L923" s="4" t="s">
        <v>33</v>
      </c>
      <c r="M923" s="4">
        <v>0.35</v>
      </c>
      <c r="N923" s="4">
        <v>0.81</v>
      </c>
      <c r="O923" s="4">
        <v>31785.07</v>
      </c>
      <c r="P923" s="4">
        <v>0</v>
      </c>
      <c r="Q923" s="6">
        <f t="shared" si="171"/>
        <v>720.45639419425686</v>
      </c>
      <c r="R923" s="6">
        <f t="shared" si="164"/>
        <v>17195.383651655415</v>
      </c>
      <c r="S923" s="4">
        <f t="shared" si="165"/>
        <v>32138.271604938269</v>
      </c>
      <c r="T923" s="4">
        <f t="shared" si="166"/>
        <v>2815.25</v>
      </c>
      <c r="U923" s="4">
        <f t="shared" si="167"/>
        <v>985.33749999999998</v>
      </c>
      <c r="V923" s="4">
        <f t="shared" ca="1" si="168"/>
        <v>31</v>
      </c>
      <c r="W923" s="20">
        <f t="shared" ca="1" si="172"/>
        <v>22334.148220021962</v>
      </c>
      <c r="X923" s="4">
        <f t="shared" si="169"/>
        <v>5753.07</v>
      </c>
      <c r="Y923" s="13">
        <f t="shared" si="170"/>
        <v>0.22099992317148123</v>
      </c>
    </row>
    <row r="924" spans="1:25" x14ac:dyDescent="0.3">
      <c r="A924" s="12" t="s">
        <v>1890</v>
      </c>
      <c r="B924" s="7">
        <v>45027</v>
      </c>
      <c r="C924" s="4" t="s">
        <v>1891</v>
      </c>
      <c r="D924" s="4" t="s">
        <v>50</v>
      </c>
      <c r="E924" s="4">
        <v>38846</v>
      </c>
      <c r="F924" s="4">
        <v>16.5</v>
      </c>
      <c r="G924" s="4">
        <v>36</v>
      </c>
      <c r="H924" s="4" t="s">
        <v>19</v>
      </c>
      <c r="I924" s="4" t="s">
        <v>57</v>
      </c>
      <c r="J924" s="4" t="s">
        <v>37</v>
      </c>
      <c r="K924" s="4">
        <v>85798</v>
      </c>
      <c r="L924" s="4" t="s">
        <v>22</v>
      </c>
      <c r="M924" s="4">
        <v>0.13</v>
      </c>
      <c r="N924" s="4">
        <v>0.6</v>
      </c>
      <c r="O924" s="4">
        <v>45255.59</v>
      </c>
      <c r="P924" s="4">
        <v>0</v>
      </c>
      <c r="Q924" s="6">
        <f t="shared" si="171"/>
        <v>1375.3186445381923</v>
      </c>
      <c r="R924" s="6">
        <f t="shared" si="164"/>
        <v>10665.471203374924</v>
      </c>
      <c r="S924" s="4">
        <f t="shared" si="165"/>
        <v>64743.333333333336</v>
      </c>
      <c r="T924" s="4">
        <f t="shared" si="166"/>
        <v>7149.833333333333</v>
      </c>
      <c r="U924" s="4">
        <f t="shared" si="167"/>
        <v>929.47833333333335</v>
      </c>
      <c r="V924" s="4">
        <f t="shared" ca="1" si="168"/>
        <v>35</v>
      </c>
      <c r="W924" s="20">
        <f t="shared" ca="1" si="172"/>
        <v>48136.152558836729</v>
      </c>
      <c r="X924" s="4">
        <f t="shared" si="169"/>
        <v>6409.5899999999965</v>
      </c>
      <c r="Y924" s="13">
        <f t="shared" si="170"/>
        <v>0.1649999999999999</v>
      </c>
    </row>
    <row r="925" spans="1:25" x14ac:dyDescent="0.3">
      <c r="A925" s="12" t="s">
        <v>1892</v>
      </c>
      <c r="B925" s="7">
        <v>45121</v>
      </c>
      <c r="C925" s="4" t="s">
        <v>1893</v>
      </c>
      <c r="D925" s="4" t="s">
        <v>65</v>
      </c>
      <c r="E925" s="4">
        <v>30794</v>
      </c>
      <c r="F925" s="4">
        <v>6.5</v>
      </c>
      <c r="G925" s="4">
        <v>36</v>
      </c>
      <c r="H925" s="4" t="s">
        <v>26</v>
      </c>
      <c r="I925" s="4" t="s">
        <v>36</v>
      </c>
      <c r="J925" s="4" t="s">
        <v>28</v>
      </c>
      <c r="K925" s="4">
        <v>34298</v>
      </c>
      <c r="L925" s="4" t="s">
        <v>33</v>
      </c>
      <c r="M925" s="4">
        <v>0.28000000000000003</v>
      </c>
      <c r="N925" s="4">
        <v>0.56000000000000005</v>
      </c>
      <c r="O925" s="4">
        <v>12202.69</v>
      </c>
      <c r="P925" s="4">
        <v>0</v>
      </c>
      <c r="Q925" s="6">
        <f t="shared" si="171"/>
        <v>943.80539457924237</v>
      </c>
      <c r="R925" s="6">
        <f t="shared" si="164"/>
        <v>3182.9942048527228</v>
      </c>
      <c r="S925" s="4">
        <f t="shared" si="165"/>
        <v>54989.28571428571</v>
      </c>
      <c r="T925" s="4">
        <f t="shared" si="166"/>
        <v>2858.1666666666665</v>
      </c>
      <c r="U925" s="4">
        <f t="shared" si="167"/>
        <v>800.28666666666675</v>
      </c>
      <c r="V925" s="4">
        <f t="shared" ca="1" si="168"/>
        <v>32</v>
      </c>
      <c r="W925" s="20">
        <f t="shared" ca="1" si="172"/>
        <v>30201.772626535756</v>
      </c>
      <c r="X925" s="4">
        <f t="shared" si="169"/>
        <v>-18591.309999999998</v>
      </c>
      <c r="Y925" s="13">
        <f t="shared" si="170"/>
        <v>-0.60373157108527631</v>
      </c>
    </row>
    <row r="926" spans="1:25" x14ac:dyDescent="0.3">
      <c r="A926" s="12" t="s">
        <v>1894</v>
      </c>
      <c r="B926" s="7">
        <v>44251</v>
      </c>
      <c r="C926" s="4" t="s">
        <v>1895</v>
      </c>
      <c r="D926" s="4" t="s">
        <v>18</v>
      </c>
      <c r="E926" s="4">
        <v>6448</v>
      </c>
      <c r="F926" s="4">
        <v>12.7</v>
      </c>
      <c r="G926" s="4">
        <v>36</v>
      </c>
      <c r="H926" s="4" t="s">
        <v>26</v>
      </c>
      <c r="I926" s="4" t="s">
        <v>27</v>
      </c>
      <c r="J926" s="4" t="s">
        <v>21</v>
      </c>
      <c r="K926" s="4">
        <v>100204</v>
      </c>
      <c r="L926" s="4" t="s">
        <v>33</v>
      </c>
      <c r="M926" s="4">
        <v>0.4</v>
      </c>
      <c r="N926" s="4">
        <v>0.9</v>
      </c>
      <c r="O926" s="4">
        <v>1032.68</v>
      </c>
      <c r="P926" s="4">
        <v>0</v>
      </c>
      <c r="Q926" s="6">
        <f t="shared" si="171"/>
        <v>216.32804625797988</v>
      </c>
      <c r="R926" s="6">
        <f t="shared" si="164"/>
        <v>1339.8096652872755</v>
      </c>
      <c r="S926" s="4">
        <f t="shared" si="165"/>
        <v>7164.4444444444443</v>
      </c>
      <c r="T926" s="4">
        <f t="shared" si="166"/>
        <v>8350.3333333333339</v>
      </c>
      <c r="U926" s="4">
        <f t="shared" si="167"/>
        <v>3340.1333333333337</v>
      </c>
      <c r="V926" s="4">
        <f t="shared" ca="1" si="168"/>
        <v>60</v>
      </c>
      <c r="W926" s="20">
        <f t="shared" ca="1" si="172"/>
        <v>12979.682775478792</v>
      </c>
      <c r="X926" s="4">
        <f t="shared" si="169"/>
        <v>-5415.32</v>
      </c>
      <c r="Y926" s="13">
        <f t="shared" si="170"/>
        <v>-0.83984491315136467</v>
      </c>
    </row>
    <row r="927" spans="1:25" x14ac:dyDescent="0.3">
      <c r="A927" s="12" t="s">
        <v>1896</v>
      </c>
      <c r="B927" s="7">
        <v>44996</v>
      </c>
      <c r="C927" s="4" t="s">
        <v>1897</v>
      </c>
      <c r="D927" s="4" t="s">
        <v>72</v>
      </c>
      <c r="E927" s="4">
        <v>29861</v>
      </c>
      <c r="F927" s="4">
        <v>12.4</v>
      </c>
      <c r="G927" s="4">
        <v>60</v>
      </c>
      <c r="H927" s="4" t="s">
        <v>19</v>
      </c>
      <c r="I927" s="4" t="s">
        <v>27</v>
      </c>
      <c r="J927" s="4" t="s">
        <v>28</v>
      </c>
      <c r="K927" s="4">
        <v>116207</v>
      </c>
      <c r="L927" s="4" t="s">
        <v>33</v>
      </c>
      <c r="M927" s="4">
        <v>0.37</v>
      </c>
      <c r="N927" s="4">
        <v>0.62</v>
      </c>
      <c r="O927" s="4">
        <v>33563.760000000002</v>
      </c>
      <c r="P927" s="4">
        <v>0</v>
      </c>
      <c r="Q927" s="6">
        <f t="shared" si="171"/>
        <v>670.29310339736014</v>
      </c>
      <c r="R927" s="6">
        <f t="shared" si="164"/>
        <v>10356.586203841609</v>
      </c>
      <c r="S927" s="4">
        <f t="shared" si="165"/>
        <v>48162.903225806454</v>
      </c>
      <c r="T927" s="4">
        <f t="shared" si="166"/>
        <v>9683.9166666666661</v>
      </c>
      <c r="U927" s="4">
        <f t="shared" si="167"/>
        <v>3583.0491666666662</v>
      </c>
      <c r="V927" s="4">
        <f t="shared" ca="1" si="168"/>
        <v>36</v>
      </c>
      <c r="W927" s="20">
        <f t="shared" ca="1" si="172"/>
        <v>24130.551722304965</v>
      </c>
      <c r="X927" s="4">
        <f t="shared" si="169"/>
        <v>3702.760000000002</v>
      </c>
      <c r="Y927" s="13">
        <f t="shared" si="170"/>
        <v>0.12399986604601326</v>
      </c>
    </row>
    <row r="928" spans="1:25" x14ac:dyDescent="0.3">
      <c r="A928" s="12" t="s">
        <v>1898</v>
      </c>
      <c r="B928" s="7">
        <v>44974</v>
      </c>
      <c r="C928" s="4" t="s">
        <v>1899</v>
      </c>
      <c r="D928" s="4" t="s">
        <v>56</v>
      </c>
      <c r="E928" s="4">
        <v>29141</v>
      </c>
      <c r="F928" s="4">
        <v>8.6</v>
      </c>
      <c r="G928" s="4">
        <v>60</v>
      </c>
      <c r="H928" s="4" t="s">
        <v>81</v>
      </c>
      <c r="I928" s="4" t="s">
        <v>84</v>
      </c>
      <c r="J928" s="4" t="s">
        <v>37</v>
      </c>
      <c r="K928" s="4">
        <v>130356</v>
      </c>
      <c r="L928" s="4" t="s">
        <v>29</v>
      </c>
      <c r="M928" s="4">
        <v>0.43</v>
      </c>
      <c r="N928" s="4">
        <v>0.6</v>
      </c>
      <c r="O928" s="4">
        <v>3346.38</v>
      </c>
      <c r="P928" s="4">
        <v>13855.54</v>
      </c>
      <c r="Q928" s="6">
        <f t="shared" si="171"/>
        <v>599.27770918804276</v>
      </c>
      <c r="R928" s="6">
        <f t="shared" si="164"/>
        <v>6815.6625512825631</v>
      </c>
      <c r="S928" s="4">
        <f t="shared" si="165"/>
        <v>48568.333333333336</v>
      </c>
      <c r="T928" s="4">
        <f t="shared" si="166"/>
        <v>10863</v>
      </c>
      <c r="U928" s="4">
        <f t="shared" si="167"/>
        <v>4671.09</v>
      </c>
      <c r="V928" s="4">
        <f t="shared" ca="1" si="168"/>
        <v>37</v>
      </c>
      <c r="W928" s="20">
        <v>0</v>
      </c>
      <c r="X928" s="4">
        <f t="shared" si="169"/>
        <v>-11939.079999999998</v>
      </c>
      <c r="Y928" s="13">
        <f t="shared" si="170"/>
        <v>-0.40970042208572111</v>
      </c>
    </row>
    <row r="929" spans="1:25" x14ac:dyDescent="0.3">
      <c r="A929" s="12" t="s">
        <v>1900</v>
      </c>
      <c r="B929" s="7">
        <v>44358</v>
      </c>
      <c r="C929" s="4" t="s">
        <v>1901</v>
      </c>
      <c r="D929" s="4" t="s">
        <v>46</v>
      </c>
      <c r="E929" s="4">
        <v>10074</v>
      </c>
      <c r="F929" s="4">
        <v>13.7</v>
      </c>
      <c r="G929" s="4">
        <v>36</v>
      </c>
      <c r="H929" s="4" t="s">
        <v>26</v>
      </c>
      <c r="I929" s="4" t="s">
        <v>20</v>
      </c>
      <c r="J929" s="4" t="s">
        <v>21</v>
      </c>
      <c r="K929" s="4">
        <v>85161</v>
      </c>
      <c r="L929" s="4" t="s">
        <v>22</v>
      </c>
      <c r="M929" s="4">
        <v>0.45</v>
      </c>
      <c r="N929" s="4">
        <v>0.89</v>
      </c>
      <c r="O929" s="4">
        <v>4351.3500000000004</v>
      </c>
      <c r="P929" s="4">
        <v>0</v>
      </c>
      <c r="Q929" s="6">
        <f t="shared" si="171"/>
        <v>342.83941118402754</v>
      </c>
      <c r="R929" s="6">
        <f t="shared" si="164"/>
        <v>2268.2188026249914</v>
      </c>
      <c r="S929" s="4">
        <f t="shared" si="165"/>
        <v>11319.101123595505</v>
      </c>
      <c r="T929" s="4">
        <f t="shared" si="166"/>
        <v>7096.75</v>
      </c>
      <c r="U929" s="4">
        <f t="shared" si="167"/>
        <v>3193.5374999999999</v>
      </c>
      <c r="V929" s="4">
        <f t="shared" ca="1" si="168"/>
        <v>57</v>
      </c>
      <c r="W929" s="20">
        <f t="shared" ref="W929:W934" ca="1" si="173">V929*Q929</f>
        <v>19541.84643748957</v>
      </c>
      <c r="X929" s="4">
        <f t="shared" si="169"/>
        <v>-5722.65</v>
      </c>
      <c r="Y929" s="13">
        <f t="shared" si="170"/>
        <v>-0.56806134603930902</v>
      </c>
    </row>
    <row r="930" spans="1:25" x14ac:dyDescent="0.3">
      <c r="A930" s="12" t="s">
        <v>1902</v>
      </c>
      <c r="B930" s="7">
        <v>44283</v>
      </c>
      <c r="C930" s="4" t="s">
        <v>1903</v>
      </c>
      <c r="D930" s="4" t="s">
        <v>56</v>
      </c>
      <c r="E930" s="4">
        <v>7406</v>
      </c>
      <c r="F930" s="4">
        <v>11.6</v>
      </c>
      <c r="G930" s="4">
        <v>60</v>
      </c>
      <c r="H930" s="4" t="s">
        <v>19</v>
      </c>
      <c r="I930" s="4" t="s">
        <v>84</v>
      </c>
      <c r="J930" s="4" t="s">
        <v>28</v>
      </c>
      <c r="K930" s="4">
        <v>90652</v>
      </c>
      <c r="L930" s="4" t="s">
        <v>22</v>
      </c>
      <c r="M930" s="4">
        <v>0.41</v>
      </c>
      <c r="N930" s="4">
        <v>0.87</v>
      </c>
      <c r="O930" s="4">
        <v>8265.1</v>
      </c>
      <c r="P930" s="4">
        <v>0</v>
      </c>
      <c r="Q930" s="6">
        <f t="shared" si="171"/>
        <v>163.24929628438079</v>
      </c>
      <c r="R930" s="6">
        <f t="shared" si="164"/>
        <v>2388.9577770628475</v>
      </c>
      <c r="S930" s="4">
        <f t="shared" si="165"/>
        <v>8512.6436781609191</v>
      </c>
      <c r="T930" s="4">
        <f t="shared" si="166"/>
        <v>7554.333333333333</v>
      </c>
      <c r="U930" s="4">
        <f t="shared" si="167"/>
        <v>3097.2766666666662</v>
      </c>
      <c r="V930" s="4">
        <f t="shared" ca="1" si="168"/>
        <v>59</v>
      </c>
      <c r="W930" s="20">
        <f t="shared" ca="1" si="173"/>
        <v>9631.7084807784668</v>
      </c>
      <c r="X930" s="4">
        <f t="shared" si="169"/>
        <v>859.10000000000036</v>
      </c>
      <c r="Y930" s="13">
        <f t="shared" si="170"/>
        <v>0.11600054010261955</v>
      </c>
    </row>
    <row r="931" spans="1:25" x14ac:dyDescent="0.3">
      <c r="A931" s="12" t="s">
        <v>1904</v>
      </c>
      <c r="B931" s="7">
        <v>44251</v>
      </c>
      <c r="C931" s="4" t="s">
        <v>1905</v>
      </c>
      <c r="D931" s="4" t="s">
        <v>65</v>
      </c>
      <c r="E931" s="4">
        <v>32823</v>
      </c>
      <c r="F931" s="4">
        <v>11.8</v>
      </c>
      <c r="G931" s="4">
        <v>36</v>
      </c>
      <c r="H931" s="4" t="s">
        <v>26</v>
      </c>
      <c r="I931" s="4" t="s">
        <v>73</v>
      </c>
      <c r="J931" s="4" t="s">
        <v>21</v>
      </c>
      <c r="K931" s="4">
        <v>64484</v>
      </c>
      <c r="L931" s="4" t="s">
        <v>22</v>
      </c>
      <c r="M931" s="4">
        <v>0.37</v>
      </c>
      <c r="N931" s="4">
        <v>0.7</v>
      </c>
      <c r="O931" s="4">
        <v>1788.26</v>
      </c>
      <c r="P931" s="4">
        <v>0</v>
      </c>
      <c r="Q931" s="6">
        <f t="shared" si="171"/>
        <v>1087.0605675944721</v>
      </c>
      <c r="R931" s="6">
        <f t="shared" si="164"/>
        <v>6311.1804334009939</v>
      </c>
      <c r="S931" s="4">
        <f t="shared" si="165"/>
        <v>46890</v>
      </c>
      <c r="T931" s="4">
        <f t="shared" si="166"/>
        <v>5373.666666666667</v>
      </c>
      <c r="U931" s="4">
        <f t="shared" si="167"/>
        <v>1988.2566666666667</v>
      </c>
      <c r="V931" s="4">
        <f t="shared" ca="1" si="168"/>
        <v>60</v>
      </c>
      <c r="W931" s="20">
        <f t="shared" ca="1" si="173"/>
        <v>65223.634055668328</v>
      </c>
      <c r="X931" s="4">
        <f t="shared" si="169"/>
        <v>-31034.74</v>
      </c>
      <c r="Y931" s="13">
        <f t="shared" si="170"/>
        <v>-0.94551808183286112</v>
      </c>
    </row>
    <row r="932" spans="1:25" x14ac:dyDescent="0.3">
      <c r="A932" s="12" t="s">
        <v>1906</v>
      </c>
      <c r="B932" s="7">
        <v>45228</v>
      </c>
      <c r="C932" s="4" t="s">
        <v>1907</v>
      </c>
      <c r="D932" s="4" t="s">
        <v>25</v>
      </c>
      <c r="E932" s="4">
        <v>24291</v>
      </c>
      <c r="F932" s="4">
        <v>19.8</v>
      </c>
      <c r="G932" s="4">
        <v>36</v>
      </c>
      <c r="H932" s="4" t="s">
        <v>60</v>
      </c>
      <c r="I932" s="4" t="s">
        <v>57</v>
      </c>
      <c r="J932" s="4" t="s">
        <v>32</v>
      </c>
      <c r="K932" s="4">
        <v>128614</v>
      </c>
      <c r="L932" s="4" t="s">
        <v>33</v>
      </c>
      <c r="M932" s="4">
        <v>0.11</v>
      </c>
      <c r="N932" s="4">
        <v>0.72</v>
      </c>
      <c r="O932" s="4">
        <v>0</v>
      </c>
      <c r="P932" s="4">
        <v>0</v>
      </c>
      <c r="Q932" s="6">
        <f t="shared" si="171"/>
        <v>900.26712593635909</v>
      </c>
      <c r="R932" s="6">
        <f t="shared" si="164"/>
        <v>8118.616533708926</v>
      </c>
      <c r="S932" s="4">
        <f t="shared" si="165"/>
        <v>33737.5</v>
      </c>
      <c r="T932" s="4">
        <f t="shared" si="166"/>
        <v>10717.833333333334</v>
      </c>
      <c r="U932" s="4">
        <f t="shared" si="167"/>
        <v>1178.9616666666668</v>
      </c>
      <c r="V932" s="4">
        <f t="shared" ca="1" si="168"/>
        <v>28</v>
      </c>
      <c r="W932" s="20">
        <f t="shared" ca="1" si="173"/>
        <v>25207.479526218056</v>
      </c>
      <c r="X932" s="4">
        <f t="shared" si="169"/>
        <v>-24291</v>
      </c>
      <c r="Y932" s="13">
        <f t="shared" si="170"/>
        <v>-1</v>
      </c>
    </row>
    <row r="933" spans="1:25" x14ac:dyDescent="0.3">
      <c r="A933" s="12" t="s">
        <v>1908</v>
      </c>
      <c r="B933" s="7">
        <v>45029</v>
      </c>
      <c r="C933" s="4" t="s">
        <v>1909</v>
      </c>
      <c r="D933" s="4" t="s">
        <v>50</v>
      </c>
      <c r="E933" s="4">
        <v>33003</v>
      </c>
      <c r="F933" s="4">
        <v>9.5</v>
      </c>
      <c r="G933" s="4">
        <v>60</v>
      </c>
      <c r="H933" s="4" t="s">
        <v>19</v>
      </c>
      <c r="I933" s="4" t="s">
        <v>84</v>
      </c>
      <c r="J933" s="4" t="s">
        <v>32</v>
      </c>
      <c r="K933" s="4">
        <v>142695</v>
      </c>
      <c r="L933" s="4" t="s">
        <v>29</v>
      </c>
      <c r="M933" s="4">
        <v>0.31</v>
      </c>
      <c r="N933" s="4">
        <v>0.6</v>
      </c>
      <c r="O933" s="4">
        <v>36138.28</v>
      </c>
      <c r="P933" s="4">
        <v>0</v>
      </c>
      <c r="Q933" s="6">
        <f t="shared" si="171"/>
        <v>693.12442880454091</v>
      </c>
      <c r="R933" s="6">
        <f t="shared" si="164"/>
        <v>8584.4657282724511</v>
      </c>
      <c r="S933" s="4">
        <f t="shared" si="165"/>
        <v>55005</v>
      </c>
      <c r="T933" s="4">
        <f t="shared" si="166"/>
        <v>11891.25</v>
      </c>
      <c r="U933" s="4">
        <f t="shared" si="167"/>
        <v>3686.2874999999999</v>
      </c>
      <c r="V933" s="4">
        <f t="shared" ca="1" si="168"/>
        <v>35</v>
      </c>
      <c r="W933" s="20">
        <f t="shared" ca="1" si="173"/>
        <v>24259.355008158931</v>
      </c>
      <c r="X933" s="4">
        <f t="shared" si="169"/>
        <v>3135.2799999999988</v>
      </c>
      <c r="Y933" s="13">
        <f t="shared" si="170"/>
        <v>9.4999848498621309E-2</v>
      </c>
    </row>
    <row r="934" spans="1:25" x14ac:dyDescent="0.3">
      <c r="A934" s="12" t="s">
        <v>1910</v>
      </c>
      <c r="B934" s="7">
        <v>44509</v>
      </c>
      <c r="C934" s="4" t="s">
        <v>1911</v>
      </c>
      <c r="D934" s="4" t="s">
        <v>76</v>
      </c>
      <c r="E934" s="4">
        <v>35406</v>
      </c>
      <c r="F934" s="4">
        <v>17.8</v>
      </c>
      <c r="G934" s="4">
        <v>60</v>
      </c>
      <c r="H934" s="4" t="s">
        <v>19</v>
      </c>
      <c r="I934" s="4" t="s">
        <v>84</v>
      </c>
      <c r="J934" s="4" t="s">
        <v>32</v>
      </c>
      <c r="K934" s="4">
        <v>50922</v>
      </c>
      <c r="L934" s="4" t="s">
        <v>22</v>
      </c>
      <c r="M934" s="4">
        <v>0.12</v>
      </c>
      <c r="N934" s="4">
        <v>0.54</v>
      </c>
      <c r="O934" s="4">
        <v>41708.269999999997</v>
      </c>
      <c r="P934" s="4">
        <v>0</v>
      </c>
      <c r="Q934" s="6">
        <f t="shared" si="171"/>
        <v>895.23197701214292</v>
      </c>
      <c r="R934" s="6">
        <f t="shared" si="164"/>
        <v>18307.918620728575</v>
      </c>
      <c r="S934" s="4">
        <f t="shared" si="165"/>
        <v>65566.666666666657</v>
      </c>
      <c r="T934" s="4">
        <f t="shared" si="166"/>
        <v>4243.5</v>
      </c>
      <c r="U934" s="4">
        <f t="shared" si="167"/>
        <v>509.21999999999997</v>
      </c>
      <c r="V934" s="4">
        <f t="shared" ca="1" si="168"/>
        <v>52</v>
      </c>
      <c r="W934" s="20">
        <f t="shared" ca="1" si="173"/>
        <v>46552.06280463143</v>
      </c>
      <c r="X934" s="4">
        <f t="shared" si="169"/>
        <v>6302.2699999999968</v>
      </c>
      <c r="Y934" s="13">
        <f t="shared" si="170"/>
        <v>0.17800005648760089</v>
      </c>
    </row>
    <row r="935" spans="1:25" x14ac:dyDescent="0.3">
      <c r="A935" s="12" t="s">
        <v>1912</v>
      </c>
      <c r="B935" s="7">
        <v>44955</v>
      </c>
      <c r="C935" s="4" t="s">
        <v>1913</v>
      </c>
      <c r="D935" s="4" t="s">
        <v>18</v>
      </c>
      <c r="E935" s="4">
        <v>24312</v>
      </c>
      <c r="F935" s="4">
        <v>16.399999999999999</v>
      </c>
      <c r="G935" s="4">
        <v>36</v>
      </c>
      <c r="H935" s="4" t="s">
        <v>81</v>
      </c>
      <c r="I935" s="4" t="s">
        <v>84</v>
      </c>
      <c r="J935" s="4" t="s">
        <v>28</v>
      </c>
      <c r="K935" s="4">
        <v>64028</v>
      </c>
      <c r="L935" s="4" t="s">
        <v>33</v>
      </c>
      <c r="M935" s="4">
        <v>0.42</v>
      </c>
      <c r="N935" s="4">
        <v>0.76</v>
      </c>
      <c r="O935" s="4">
        <v>9266.1200000000008</v>
      </c>
      <c r="P935" s="4">
        <v>2516.62</v>
      </c>
      <c r="Q935" s="6">
        <f t="shared" si="171"/>
        <v>859.5466985477151</v>
      </c>
      <c r="R935" s="6">
        <f t="shared" si="164"/>
        <v>6631.6811477177434</v>
      </c>
      <c r="S935" s="4">
        <f t="shared" si="165"/>
        <v>31989.473684210527</v>
      </c>
      <c r="T935" s="4">
        <f t="shared" si="166"/>
        <v>5335.666666666667</v>
      </c>
      <c r="U935" s="4">
        <f t="shared" si="167"/>
        <v>2240.98</v>
      </c>
      <c r="V935" s="4">
        <f t="shared" ca="1" si="168"/>
        <v>37</v>
      </c>
      <c r="W935" s="20">
        <v>0</v>
      </c>
      <c r="X935" s="4">
        <f t="shared" si="169"/>
        <v>-12529.259999999998</v>
      </c>
      <c r="Y935" s="13">
        <f t="shared" si="170"/>
        <v>-0.51535291214215195</v>
      </c>
    </row>
    <row r="936" spans="1:25" x14ac:dyDescent="0.3">
      <c r="A936" s="12" t="s">
        <v>1914</v>
      </c>
      <c r="B936" s="7">
        <v>44639</v>
      </c>
      <c r="C936" s="4" t="s">
        <v>1915</v>
      </c>
      <c r="D936" s="4" t="s">
        <v>25</v>
      </c>
      <c r="E936" s="4">
        <v>2382</v>
      </c>
      <c r="F936" s="4">
        <v>16.399999999999999</v>
      </c>
      <c r="G936" s="4">
        <v>36</v>
      </c>
      <c r="H936" s="4" t="s">
        <v>26</v>
      </c>
      <c r="I936" s="4" t="s">
        <v>20</v>
      </c>
      <c r="J936" s="4" t="s">
        <v>37</v>
      </c>
      <c r="K936" s="4">
        <v>141461</v>
      </c>
      <c r="L936" s="4" t="s">
        <v>29</v>
      </c>
      <c r="M936" s="4">
        <v>0.23</v>
      </c>
      <c r="N936" s="4">
        <v>0.54</v>
      </c>
      <c r="O936" s="4">
        <v>791.85</v>
      </c>
      <c r="P936" s="4">
        <v>0</v>
      </c>
      <c r="Q936" s="6">
        <f t="shared" si="171"/>
        <v>84.21521207390002</v>
      </c>
      <c r="R936" s="6">
        <f t="shared" si="164"/>
        <v>649.74763466040076</v>
      </c>
      <c r="S936" s="4">
        <f t="shared" si="165"/>
        <v>4411.1111111111104</v>
      </c>
      <c r="T936" s="4">
        <f t="shared" si="166"/>
        <v>11788.416666666666</v>
      </c>
      <c r="U936" s="4">
        <f t="shared" si="167"/>
        <v>2711.3358333333331</v>
      </c>
      <c r="V936" s="4">
        <f t="shared" ca="1" si="168"/>
        <v>48</v>
      </c>
      <c r="W936" s="20">
        <f ca="1">V936*Q936</f>
        <v>4042.3301795472007</v>
      </c>
      <c r="X936" s="4">
        <f t="shared" si="169"/>
        <v>-1590.15</v>
      </c>
      <c r="Y936" s="13">
        <f t="shared" si="170"/>
        <v>-0.6675692695214106</v>
      </c>
    </row>
    <row r="937" spans="1:25" x14ac:dyDescent="0.3">
      <c r="A937" s="12" t="s">
        <v>1916</v>
      </c>
      <c r="B937" s="7">
        <v>44524</v>
      </c>
      <c r="C937" s="4" t="s">
        <v>1917</v>
      </c>
      <c r="D937" s="4" t="s">
        <v>56</v>
      </c>
      <c r="E937" s="4">
        <v>35171</v>
      </c>
      <c r="F937" s="4">
        <v>18.3</v>
      </c>
      <c r="G937" s="4">
        <v>60</v>
      </c>
      <c r="H937" s="4" t="s">
        <v>19</v>
      </c>
      <c r="I937" s="4" t="s">
        <v>41</v>
      </c>
      <c r="J937" s="4" t="s">
        <v>21</v>
      </c>
      <c r="K937" s="4">
        <v>50316</v>
      </c>
      <c r="L937" s="4" t="s">
        <v>29</v>
      </c>
      <c r="M937" s="4">
        <v>0.32</v>
      </c>
      <c r="N937" s="4">
        <v>0.7</v>
      </c>
      <c r="O937" s="4">
        <v>41607.29</v>
      </c>
      <c r="P937" s="4">
        <v>0</v>
      </c>
      <c r="Q937" s="6">
        <f t="shared" si="171"/>
        <v>898.86203971600287</v>
      </c>
      <c r="R937" s="6">
        <f t="shared" si="164"/>
        <v>18760.722382960172</v>
      </c>
      <c r="S937" s="4">
        <f t="shared" si="165"/>
        <v>50244.285714285717</v>
      </c>
      <c r="T937" s="4">
        <f t="shared" si="166"/>
        <v>4193</v>
      </c>
      <c r="U937" s="4">
        <f t="shared" si="167"/>
        <v>1341.76</v>
      </c>
      <c r="V937" s="4">
        <f t="shared" ca="1" si="168"/>
        <v>51</v>
      </c>
      <c r="W937" s="20">
        <f ca="1">V937*Q937</f>
        <v>45841.964025516143</v>
      </c>
      <c r="X937" s="4">
        <f t="shared" si="169"/>
        <v>6436.2900000000009</v>
      </c>
      <c r="Y937" s="13">
        <f t="shared" si="170"/>
        <v>0.18299991470245375</v>
      </c>
    </row>
    <row r="938" spans="1:25" x14ac:dyDescent="0.3">
      <c r="A938" s="12" t="s">
        <v>1918</v>
      </c>
      <c r="B938" s="7">
        <v>45274</v>
      </c>
      <c r="C938" s="4" t="s">
        <v>1919</v>
      </c>
      <c r="D938" s="4" t="s">
        <v>72</v>
      </c>
      <c r="E938" s="4">
        <v>4292</v>
      </c>
      <c r="F938" s="4">
        <v>16</v>
      </c>
      <c r="G938" s="4">
        <v>36</v>
      </c>
      <c r="H938" s="4" t="s">
        <v>26</v>
      </c>
      <c r="I938" s="4" t="s">
        <v>36</v>
      </c>
      <c r="J938" s="4" t="s">
        <v>47</v>
      </c>
      <c r="K938" s="4">
        <v>106996</v>
      </c>
      <c r="L938" s="4" t="s">
        <v>22</v>
      </c>
      <c r="M938" s="4">
        <v>0.21</v>
      </c>
      <c r="N938" s="4">
        <v>0.92</v>
      </c>
      <c r="O938" s="4">
        <v>836.21</v>
      </c>
      <c r="P938" s="4">
        <v>0</v>
      </c>
      <c r="Q938" s="6">
        <f t="shared" si="171"/>
        <v>150.8939857920146</v>
      </c>
      <c r="R938" s="6">
        <f t="shared" si="164"/>
        <v>1140.1834885125254</v>
      </c>
      <c r="S938" s="4">
        <f t="shared" si="165"/>
        <v>4665.217391304348</v>
      </c>
      <c r="T938" s="4">
        <f t="shared" si="166"/>
        <v>8916.3333333333339</v>
      </c>
      <c r="U938" s="4">
        <f t="shared" si="167"/>
        <v>1872.43</v>
      </c>
      <c r="V938" s="4">
        <f t="shared" ca="1" si="168"/>
        <v>27</v>
      </c>
      <c r="W938" s="20">
        <f ca="1">V938*Q938</f>
        <v>4074.1376163843943</v>
      </c>
      <c r="X938" s="4">
        <f t="shared" si="169"/>
        <v>-3455.79</v>
      </c>
      <c r="Y938" s="13">
        <f t="shared" si="170"/>
        <v>-0.80517008387698041</v>
      </c>
    </row>
    <row r="939" spans="1:25" x14ac:dyDescent="0.3">
      <c r="A939" s="12" t="s">
        <v>1920</v>
      </c>
      <c r="B939" s="7">
        <v>44957</v>
      </c>
      <c r="C939" s="4" t="s">
        <v>1921</v>
      </c>
      <c r="D939" s="4" t="s">
        <v>72</v>
      </c>
      <c r="E939" s="4">
        <v>34187</v>
      </c>
      <c r="F939" s="4">
        <v>22.6</v>
      </c>
      <c r="G939" s="4">
        <v>60</v>
      </c>
      <c r="H939" s="4" t="s">
        <v>19</v>
      </c>
      <c r="I939" s="4" t="s">
        <v>57</v>
      </c>
      <c r="J939" s="4" t="s">
        <v>32</v>
      </c>
      <c r="K939" s="4">
        <v>46968</v>
      </c>
      <c r="L939" s="4" t="s">
        <v>22</v>
      </c>
      <c r="M939" s="4">
        <v>0.41</v>
      </c>
      <c r="N939" s="4">
        <v>0.93</v>
      </c>
      <c r="O939" s="4">
        <v>41913.26</v>
      </c>
      <c r="P939" s="4">
        <v>0</v>
      </c>
      <c r="Q939" s="6">
        <f t="shared" si="171"/>
        <v>955.90719105355174</v>
      </c>
      <c r="R939" s="6">
        <f t="shared" si="164"/>
        <v>23167.431463213106</v>
      </c>
      <c r="S939" s="4">
        <f t="shared" si="165"/>
        <v>36760.215053763437</v>
      </c>
      <c r="T939" s="4">
        <f t="shared" si="166"/>
        <v>3914</v>
      </c>
      <c r="U939" s="4">
        <f t="shared" si="167"/>
        <v>1604.74</v>
      </c>
      <c r="V939" s="4">
        <f t="shared" ca="1" si="168"/>
        <v>37</v>
      </c>
      <c r="W939" s="20">
        <f ca="1">V939*Q939</f>
        <v>35368.566068981418</v>
      </c>
      <c r="X939" s="4">
        <f t="shared" si="169"/>
        <v>7726.260000000002</v>
      </c>
      <c r="Y939" s="13">
        <f t="shared" si="170"/>
        <v>0.22599994149823038</v>
      </c>
    </row>
    <row r="940" spans="1:25" x14ac:dyDescent="0.3">
      <c r="A940" s="12" t="s">
        <v>1922</v>
      </c>
      <c r="B940" s="7">
        <v>44775</v>
      </c>
      <c r="C940" s="4" t="s">
        <v>1923</v>
      </c>
      <c r="D940" s="4" t="s">
        <v>25</v>
      </c>
      <c r="E940" s="4">
        <v>13411</v>
      </c>
      <c r="F940" s="4">
        <v>18.5</v>
      </c>
      <c r="G940" s="4">
        <v>36</v>
      </c>
      <c r="H940" s="4" t="s">
        <v>81</v>
      </c>
      <c r="I940" s="4" t="s">
        <v>20</v>
      </c>
      <c r="J940" s="4" t="s">
        <v>32</v>
      </c>
      <c r="K940" s="4">
        <v>60266</v>
      </c>
      <c r="L940" s="4" t="s">
        <v>33</v>
      </c>
      <c r="M940" s="4">
        <v>0.45</v>
      </c>
      <c r="N940" s="4">
        <v>0.61</v>
      </c>
      <c r="O940" s="4">
        <v>2332.75</v>
      </c>
      <c r="P940" s="4">
        <v>2064.9299999999998</v>
      </c>
      <c r="Q940" s="6">
        <f t="shared" si="171"/>
        <v>488.21021258618981</v>
      </c>
      <c r="R940" s="6">
        <f t="shared" si="164"/>
        <v>4164.567653102833</v>
      </c>
      <c r="S940" s="4">
        <f t="shared" si="165"/>
        <v>21985.245901639344</v>
      </c>
      <c r="T940" s="4">
        <f t="shared" si="166"/>
        <v>5022.166666666667</v>
      </c>
      <c r="U940" s="4">
        <f t="shared" si="167"/>
        <v>2259.9750000000004</v>
      </c>
      <c r="V940" s="4">
        <f t="shared" ca="1" si="168"/>
        <v>43</v>
      </c>
      <c r="W940" s="20">
        <v>0</v>
      </c>
      <c r="X940" s="4">
        <f t="shared" si="169"/>
        <v>-9013.32</v>
      </c>
      <c r="Y940" s="13">
        <f t="shared" si="170"/>
        <v>-0.67208411005890689</v>
      </c>
    </row>
    <row r="941" spans="1:25" x14ac:dyDescent="0.3">
      <c r="A941" s="12" t="s">
        <v>1924</v>
      </c>
      <c r="B941" s="7">
        <v>45271</v>
      </c>
      <c r="C941" s="4" t="s">
        <v>1925</v>
      </c>
      <c r="D941" s="4" t="s">
        <v>72</v>
      </c>
      <c r="E941" s="4">
        <v>38285</v>
      </c>
      <c r="F941" s="4">
        <v>15.9</v>
      </c>
      <c r="G941" s="4">
        <v>60</v>
      </c>
      <c r="H941" s="4" t="s">
        <v>19</v>
      </c>
      <c r="I941" s="4" t="s">
        <v>20</v>
      </c>
      <c r="J941" s="4" t="s">
        <v>47</v>
      </c>
      <c r="K941" s="4">
        <v>125745</v>
      </c>
      <c r="L941" s="4" t="s">
        <v>22</v>
      </c>
      <c r="M941" s="4">
        <v>0.26</v>
      </c>
      <c r="N941" s="4">
        <v>0.78</v>
      </c>
      <c r="O941" s="4">
        <v>44372.32</v>
      </c>
      <c r="P941" s="4">
        <v>0</v>
      </c>
      <c r="Q941" s="6">
        <f t="shared" si="171"/>
        <v>928.98383449327105</v>
      </c>
      <c r="R941" s="6">
        <f t="shared" si="164"/>
        <v>17454.030069596265</v>
      </c>
      <c r="S941" s="4">
        <f t="shared" si="165"/>
        <v>49083.333333333328</v>
      </c>
      <c r="T941" s="4">
        <f t="shared" si="166"/>
        <v>10478.75</v>
      </c>
      <c r="U941" s="4">
        <f t="shared" si="167"/>
        <v>2724.4749999999999</v>
      </c>
      <c r="V941" s="4">
        <f t="shared" ca="1" si="168"/>
        <v>27</v>
      </c>
      <c r="W941" s="20">
        <f t="shared" ref="W941:W963" ca="1" si="174">V941*Q941</f>
        <v>25082.563531318319</v>
      </c>
      <c r="X941" s="4">
        <f t="shared" si="169"/>
        <v>6087.32</v>
      </c>
      <c r="Y941" s="13">
        <f t="shared" si="170"/>
        <v>0.15900013059945148</v>
      </c>
    </row>
    <row r="942" spans="1:25" x14ac:dyDescent="0.3">
      <c r="A942" s="12" t="s">
        <v>1926</v>
      </c>
      <c r="B942" s="7">
        <v>45203</v>
      </c>
      <c r="C942" s="4" t="s">
        <v>1927</v>
      </c>
      <c r="D942" s="4" t="s">
        <v>56</v>
      </c>
      <c r="E942" s="4">
        <v>16422</v>
      </c>
      <c r="F942" s="4">
        <v>21.6</v>
      </c>
      <c r="G942" s="4">
        <v>36</v>
      </c>
      <c r="H942" s="4" t="s">
        <v>19</v>
      </c>
      <c r="I942" s="4" t="s">
        <v>41</v>
      </c>
      <c r="J942" s="4" t="s">
        <v>47</v>
      </c>
      <c r="K942" s="4">
        <v>54000</v>
      </c>
      <c r="L942" s="4" t="s">
        <v>33</v>
      </c>
      <c r="M942" s="4">
        <v>0.45</v>
      </c>
      <c r="N942" s="4">
        <v>0.71</v>
      </c>
      <c r="O942" s="4">
        <v>19969.150000000001</v>
      </c>
      <c r="P942" s="4">
        <v>0</v>
      </c>
      <c r="Q942" s="6">
        <f t="shared" si="171"/>
        <v>623.77048651408234</v>
      </c>
      <c r="R942" s="6">
        <f t="shared" si="164"/>
        <v>6033.7375145069636</v>
      </c>
      <c r="S942" s="4">
        <f t="shared" si="165"/>
        <v>23129.577464788734</v>
      </c>
      <c r="T942" s="4">
        <f t="shared" si="166"/>
        <v>4500</v>
      </c>
      <c r="U942" s="4">
        <f t="shared" si="167"/>
        <v>2025</v>
      </c>
      <c r="V942" s="4">
        <f t="shared" ca="1" si="168"/>
        <v>29</v>
      </c>
      <c r="W942" s="20">
        <f t="shared" ca="1" si="174"/>
        <v>18089.344108908386</v>
      </c>
      <c r="X942" s="4">
        <f t="shared" si="169"/>
        <v>3547.1500000000015</v>
      </c>
      <c r="Y942" s="13">
        <f t="shared" si="170"/>
        <v>0.21599987821215452</v>
      </c>
    </row>
    <row r="943" spans="1:25" x14ac:dyDescent="0.3">
      <c r="A943" s="12" t="s">
        <v>1928</v>
      </c>
      <c r="B943" s="7">
        <v>44292</v>
      </c>
      <c r="C943" s="4" t="s">
        <v>1929</v>
      </c>
      <c r="D943" s="4" t="s">
        <v>25</v>
      </c>
      <c r="E943" s="4">
        <v>33371</v>
      </c>
      <c r="F943" s="4">
        <v>17.100000000000001</v>
      </c>
      <c r="G943" s="4">
        <v>36</v>
      </c>
      <c r="H943" s="4" t="s">
        <v>26</v>
      </c>
      <c r="I943" s="4" t="s">
        <v>73</v>
      </c>
      <c r="J943" s="4" t="s">
        <v>28</v>
      </c>
      <c r="K943" s="4">
        <v>44011</v>
      </c>
      <c r="L943" s="4" t="s">
        <v>29</v>
      </c>
      <c r="M943" s="4">
        <v>0.21</v>
      </c>
      <c r="N943" s="4">
        <v>0.89</v>
      </c>
      <c r="O943" s="4">
        <v>1803.79</v>
      </c>
      <c r="P943" s="4">
        <v>0</v>
      </c>
      <c r="Q943" s="6">
        <f t="shared" si="171"/>
        <v>1191.4286546219428</v>
      </c>
      <c r="R943" s="6">
        <f t="shared" si="164"/>
        <v>9520.4315663899397</v>
      </c>
      <c r="S943" s="4">
        <f t="shared" si="165"/>
        <v>37495.505617977527</v>
      </c>
      <c r="T943" s="4">
        <f t="shared" si="166"/>
        <v>3667.5833333333335</v>
      </c>
      <c r="U943" s="4">
        <f t="shared" si="167"/>
        <v>770.1925</v>
      </c>
      <c r="V943" s="4">
        <f t="shared" ca="1" si="168"/>
        <v>59</v>
      </c>
      <c r="W943" s="20">
        <f t="shared" ca="1" si="174"/>
        <v>70294.290622694622</v>
      </c>
      <c r="X943" s="4">
        <f t="shared" si="169"/>
        <v>-31567.21</v>
      </c>
      <c r="Y943" s="13">
        <f t="shared" si="170"/>
        <v>-0.94594737946120877</v>
      </c>
    </row>
    <row r="944" spans="1:25" x14ac:dyDescent="0.3">
      <c r="A944" s="12" t="s">
        <v>1930</v>
      </c>
      <c r="B944" s="7">
        <v>45010</v>
      </c>
      <c r="C944" s="4" t="s">
        <v>1931</v>
      </c>
      <c r="D944" s="4" t="s">
        <v>56</v>
      </c>
      <c r="E944" s="4">
        <v>6693</v>
      </c>
      <c r="F944" s="4">
        <v>10.8</v>
      </c>
      <c r="G944" s="4">
        <v>60</v>
      </c>
      <c r="H944" s="4" t="s">
        <v>19</v>
      </c>
      <c r="I944" s="4" t="s">
        <v>57</v>
      </c>
      <c r="J944" s="4" t="s">
        <v>21</v>
      </c>
      <c r="K944" s="4">
        <v>32866</v>
      </c>
      <c r="L944" s="4" t="s">
        <v>29</v>
      </c>
      <c r="M944" s="4">
        <v>0.31</v>
      </c>
      <c r="N944" s="4">
        <v>0.62</v>
      </c>
      <c r="O944" s="4">
        <v>7415.84</v>
      </c>
      <c r="P944" s="4">
        <v>0</v>
      </c>
      <c r="Q944" s="6">
        <f t="shared" si="171"/>
        <v>144.85535607197403</v>
      </c>
      <c r="R944" s="6">
        <f t="shared" si="164"/>
        <v>1998.3213643184426</v>
      </c>
      <c r="S944" s="4">
        <f t="shared" si="165"/>
        <v>10795.161290322581</v>
      </c>
      <c r="T944" s="4">
        <f t="shared" si="166"/>
        <v>2738.8333333333335</v>
      </c>
      <c r="U944" s="4">
        <f t="shared" si="167"/>
        <v>849.03833333333341</v>
      </c>
      <c r="V944" s="4">
        <f t="shared" ca="1" si="168"/>
        <v>35</v>
      </c>
      <c r="W944" s="20">
        <f t="shared" ca="1" si="174"/>
        <v>5069.9374625190912</v>
      </c>
      <c r="X944" s="4">
        <f t="shared" si="169"/>
        <v>722.84000000000015</v>
      </c>
      <c r="Y944" s="13">
        <f t="shared" si="170"/>
        <v>0.10799940236067536</v>
      </c>
    </row>
    <row r="945" spans="1:25" x14ac:dyDescent="0.3">
      <c r="A945" s="12" t="s">
        <v>1932</v>
      </c>
      <c r="B945" s="7">
        <v>44687</v>
      </c>
      <c r="C945" s="4" t="s">
        <v>1933</v>
      </c>
      <c r="D945" s="4" t="s">
        <v>18</v>
      </c>
      <c r="E945" s="4">
        <v>34535</v>
      </c>
      <c r="F945" s="4">
        <v>9.1</v>
      </c>
      <c r="G945" s="4">
        <v>36</v>
      </c>
      <c r="H945" s="4" t="s">
        <v>19</v>
      </c>
      <c r="I945" s="4" t="s">
        <v>57</v>
      </c>
      <c r="J945" s="4" t="s">
        <v>32</v>
      </c>
      <c r="K945" s="4">
        <v>142669</v>
      </c>
      <c r="L945" s="4" t="s">
        <v>29</v>
      </c>
      <c r="M945" s="4">
        <v>0.44</v>
      </c>
      <c r="N945" s="4">
        <v>0.5</v>
      </c>
      <c r="O945" s="4">
        <v>37677.68</v>
      </c>
      <c r="P945" s="4">
        <v>0</v>
      </c>
      <c r="Q945" s="6">
        <f t="shared" si="171"/>
        <v>1099.8117762425079</v>
      </c>
      <c r="R945" s="6">
        <f t="shared" si="164"/>
        <v>5058.2239447302854</v>
      </c>
      <c r="S945" s="4">
        <f t="shared" si="165"/>
        <v>69070</v>
      </c>
      <c r="T945" s="4">
        <f t="shared" si="166"/>
        <v>11889.083333333334</v>
      </c>
      <c r="U945" s="4">
        <f t="shared" si="167"/>
        <v>5231.1966666666667</v>
      </c>
      <c r="V945" s="4">
        <f t="shared" ca="1" si="168"/>
        <v>46</v>
      </c>
      <c r="W945" s="20">
        <f t="shared" ca="1" si="174"/>
        <v>50591.341707155363</v>
      </c>
      <c r="X945" s="4">
        <f t="shared" si="169"/>
        <v>3142.6800000000003</v>
      </c>
      <c r="Y945" s="13">
        <f t="shared" si="170"/>
        <v>9.0999855219342701E-2</v>
      </c>
    </row>
    <row r="946" spans="1:25" x14ac:dyDescent="0.3">
      <c r="A946" s="12" t="s">
        <v>1934</v>
      </c>
      <c r="B946" s="7">
        <v>44648</v>
      </c>
      <c r="C946" s="4" t="s">
        <v>1935</v>
      </c>
      <c r="D946" s="4" t="s">
        <v>50</v>
      </c>
      <c r="E946" s="4">
        <v>15818</v>
      </c>
      <c r="F946" s="4">
        <v>8</v>
      </c>
      <c r="G946" s="4">
        <v>36</v>
      </c>
      <c r="H946" s="4" t="s">
        <v>26</v>
      </c>
      <c r="I946" s="4" t="s">
        <v>57</v>
      </c>
      <c r="J946" s="4" t="s">
        <v>37</v>
      </c>
      <c r="K946" s="4">
        <v>35898</v>
      </c>
      <c r="L946" s="4" t="s">
        <v>29</v>
      </c>
      <c r="M946" s="4">
        <v>0.23</v>
      </c>
      <c r="N946" s="4">
        <v>0.56999999999999995</v>
      </c>
      <c r="O946" s="4">
        <v>2467.0100000000002</v>
      </c>
      <c r="P946" s="4">
        <v>0</v>
      </c>
      <c r="Q946" s="6">
        <f t="shared" si="171"/>
        <v>495.67862886891317</v>
      </c>
      <c r="R946" s="6">
        <f t="shared" si="164"/>
        <v>2026.4306392808721</v>
      </c>
      <c r="S946" s="4">
        <f t="shared" si="165"/>
        <v>27750.877192982458</v>
      </c>
      <c r="T946" s="4">
        <f t="shared" si="166"/>
        <v>2991.5</v>
      </c>
      <c r="U946" s="4">
        <f t="shared" si="167"/>
        <v>688.04500000000007</v>
      </c>
      <c r="V946" s="4">
        <f t="shared" ca="1" si="168"/>
        <v>47</v>
      </c>
      <c r="W946" s="20">
        <f t="shared" ca="1" si="174"/>
        <v>23296.895556838917</v>
      </c>
      <c r="X946" s="4">
        <f t="shared" si="169"/>
        <v>-13350.99</v>
      </c>
      <c r="Y946" s="13">
        <f t="shared" si="170"/>
        <v>-0.84403780503224168</v>
      </c>
    </row>
    <row r="947" spans="1:25" x14ac:dyDescent="0.3">
      <c r="A947" s="12" t="s">
        <v>1936</v>
      </c>
      <c r="B947" s="7">
        <v>44361</v>
      </c>
      <c r="C947" s="4" t="s">
        <v>1937</v>
      </c>
      <c r="D947" s="4" t="s">
        <v>46</v>
      </c>
      <c r="E947" s="4">
        <v>32238</v>
      </c>
      <c r="F947" s="4">
        <v>23</v>
      </c>
      <c r="G947" s="4">
        <v>60</v>
      </c>
      <c r="H947" s="4" t="s">
        <v>26</v>
      </c>
      <c r="I947" s="4" t="s">
        <v>27</v>
      </c>
      <c r="J947" s="4" t="s">
        <v>28</v>
      </c>
      <c r="K947" s="4">
        <v>48395</v>
      </c>
      <c r="L947" s="4" t="s">
        <v>22</v>
      </c>
      <c r="M947" s="4">
        <v>0.48</v>
      </c>
      <c r="N947" s="4">
        <v>0.66</v>
      </c>
      <c r="O947" s="4">
        <v>3609.94</v>
      </c>
      <c r="P947" s="4">
        <v>0</v>
      </c>
      <c r="Q947" s="6">
        <f t="shared" si="171"/>
        <v>908.80440699601752</v>
      </c>
      <c r="R947" s="6">
        <f t="shared" si="164"/>
        <v>22290.26441976105</v>
      </c>
      <c r="S947" s="4">
        <f t="shared" si="165"/>
        <v>48845.454545454544</v>
      </c>
      <c r="T947" s="4">
        <f t="shared" si="166"/>
        <v>4032.9166666666665</v>
      </c>
      <c r="U947" s="4">
        <f t="shared" si="167"/>
        <v>1935.8</v>
      </c>
      <c r="V947" s="4">
        <f t="shared" ca="1" si="168"/>
        <v>57</v>
      </c>
      <c r="W947" s="20">
        <f t="shared" ca="1" si="174"/>
        <v>51801.851198773002</v>
      </c>
      <c r="X947" s="4">
        <f t="shared" si="169"/>
        <v>-28628.06</v>
      </c>
      <c r="Y947" s="13">
        <f t="shared" si="170"/>
        <v>-0.88802220981450464</v>
      </c>
    </row>
    <row r="948" spans="1:25" x14ac:dyDescent="0.3">
      <c r="A948" s="12" t="s">
        <v>1938</v>
      </c>
      <c r="B948" s="7">
        <v>44378</v>
      </c>
      <c r="C948" s="4" t="s">
        <v>1939</v>
      </c>
      <c r="D948" s="4" t="s">
        <v>18</v>
      </c>
      <c r="E948" s="4">
        <v>31874</v>
      </c>
      <c r="F948" s="4">
        <v>19.2</v>
      </c>
      <c r="G948" s="4">
        <v>36</v>
      </c>
      <c r="H948" s="4" t="s">
        <v>19</v>
      </c>
      <c r="I948" s="4" t="s">
        <v>57</v>
      </c>
      <c r="J948" s="4" t="s">
        <v>28</v>
      </c>
      <c r="K948" s="4">
        <v>69019</v>
      </c>
      <c r="L948" s="4" t="s">
        <v>22</v>
      </c>
      <c r="M948" s="4">
        <v>0.15</v>
      </c>
      <c r="N948" s="4">
        <v>0.64</v>
      </c>
      <c r="O948" s="4">
        <v>37993.81</v>
      </c>
      <c r="P948" s="4">
        <v>0</v>
      </c>
      <c r="Q948" s="6">
        <f t="shared" si="171"/>
        <v>1171.5995715468875</v>
      </c>
      <c r="R948" s="6">
        <f t="shared" si="164"/>
        <v>10303.58457568795</v>
      </c>
      <c r="S948" s="4">
        <f t="shared" si="165"/>
        <v>49803.125</v>
      </c>
      <c r="T948" s="4">
        <f t="shared" si="166"/>
        <v>5751.583333333333</v>
      </c>
      <c r="U948" s="4">
        <f t="shared" si="167"/>
        <v>862.73749999999995</v>
      </c>
      <c r="V948" s="4">
        <f t="shared" ca="1" si="168"/>
        <v>56</v>
      </c>
      <c r="W948" s="20">
        <f t="shared" ca="1" si="174"/>
        <v>65609.576006625706</v>
      </c>
      <c r="X948" s="4">
        <f t="shared" si="169"/>
        <v>6119.8099999999977</v>
      </c>
      <c r="Y948" s="13">
        <f t="shared" si="170"/>
        <v>0.19200006274706649</v>
      </c>
    </row>
    <row r="949" spans="1:25" x14ac:dyDescent="0.3">
      <c r="A949" s="12" t="s">
        <v>1940</v>
      </c>
      <c r="B949" s="7">
        <v>44665</v>
      </c>
      <c r="C949" s="4" t="s">
        <v>1941</v>
      </c>
      <c r="D949" s="4" t="s">
        <v>18</v>
      </c>
      <c r="E949" s="4">
        <v>27715</v>
      </c>
      <c r="F949" s="4">
        <v>23.7</v>
      </c>
      <c r="G949" s="4">
        <v>36</v>
      </c>
      <c r="H949" s="4" t="s">
        <v>26</v>
      </c>
      <c r="I949" s="4" t="s">
        <v>41</v>
      </c>
      <c r="J949" s="4" t="s">
        <v>37</v>
      </c>
      <c r="K949" s="4">
        <v>133243</v>
      </c>
      <c r="L949" s="4" t="s">
        <v>33</v>
      </c>
      <c r="M949" s="4">
        <v>0.11</v>
      </c>
      <c r="N949" s="4">
        <v>0.86</v>
      </c>
      <c r="O949" s="4">
        <v>9020.5300000000007</v>
      </c>
      <c r="P949" s="4">
        <v>0</v>
      </c>
      <c r="Q949" s="6">
        <f t="shared" si="171"/>
        <v>1082.9777294228488</v>
      </c>
      <c r="R949" s="6">
        <f t="shared" si="164"/>
        <v>11272.198259222554</v>
      </c>
      <c r="S949" s="4">
        <f t="shared" si="165"/>
        <v>32226.744186046511</v>
      </c>
      <c r="T949" s="4">
        <f t="shared" si="166"/>
        <v>11103.583333333334</v>
      </c>
      <c r="U949" s="4">
        <f t="shared" si="167"/>
        <v>1221.3941666666667</v>
      </c>
      <c r="V949" s="4">
        <f t="shared" ca="1" si="168"/>
        <v>47</v>
      </c>
      <c r="W949" s="20">
        <f t="shared" ca="1" si="174"/>
        <v>50899.953282873896</v>
      </c>
      <c r="X949" s="4">
        <f t="shared" si="169"/>
        <v>-18694.47</v>
      </c>
      <c r="Y949" s="13">
        <f t="shared" si="170"/>
        <v>-0.6745253472848638</v>
      </c>
    </row>
    <row r="950" spans="1:25" x14ac:dyDescent="0.3">
      <c r="A950" s="12" t="s">
        <v>1942</v>
      </c>
      <c r="B950" s="7">
        <v>45106</v>
      </c>
      <c r="C950" s="4" t="s">
        <v>1943</v>
      </c>
      <c r="D950" s="4" t="s">
        <v>72</v>
      </c>
      <c r="E950" s="4">
        <v>28605</v>
      </c>
      <c r="F950" s="4">
        <v>17.100000000000001</v>
      </c>
      <c r="G950" s="4">
        <v>36</v>
      </c>
      <c r="H950" s="4" t="s">
        <v>19</v>
      </c>
      <c r="I950" s="4" t="s">
        <v>27</v>
      </c>
      <c r="J950" s="4" t="s">
        <v>37</v>
      </c>
      <c r="K950" s="4">
        <v>34006</v>
      </c>
      <c r="L950" s="4" t="s">
        <v>33</v>
      </c>
      <c r="M950" s="4">
        <v>0.46</v>
      </c>
      <c r="N950" s="4">
        <v>0.81</v>
      </c>
      <c r="O950" s="4">
        <v>33496.46</v>
      </c>
      <c r="P950" s="4">
        <v>0</v>
      </c>
      <c r="Q950" s="6">
        <f t="shared" si="171"/>
        <v>1021.270464339117</v>
      </c>
      <c r="R950" s="6">
        <f t="shared" si="164"/>
        <v>8160.7367162082082</v>
      </c>
      <c r="S950" s="4">
        <f t="shared" si="165"/>
        <v>35314.81481481481</v>
      </c>
      <c r="T950" s="4">
        <f t="shared" si="166"/>
        <v>2833.8333333333335</v>
      </c>
      <c r="U950" s="4">
        <f t="shared" si="167"/>
        <v>1303.5633333333335</v>
      </c>
      <c r="V950" s="4">
        <f t="shared" ca="1" si="168"/>
        <v>32</v>
      </c>
      <c r="W950" s="20">
        <f t="shared" ca="1" si="174"/>
        <v>32680.654858851743</v>
      </c>
      <c r="X950" s="4">
        <f t="shared" si="169"/>
        <v>4891.4599999999991</v>
      </c>
      <c r="Y950" s="13">
        <f t="shared" si="170"/>
        <v>0.17100017479461629</v>
      </c>
    </row>
    <row r="951" spans="1:25" x14ac:dyDescent="0.3">
      <c r="A951" s="12" t="s">
        <v>1944</v>
      </c>
      <c r="B951" s="7">
        <v>44931</v>
      </c>
      <c r="C951" s="4" t="s">
        <v>1945</v>
      </c>
      <c r="D951" s="4" t="s">
        <v>65</v>
      </c>
      <c r="E951" s="4">
        <v>35317</v>
      </c>
      <c r="F951" s="4">
        <v>14.5</v>
      </c>
      <c r="G951" s="4">
        <v>60</v>
      </c>
      <c r="H951" s="4" t="s">
        <v>19</v>
      </c>
      <c r="I951" s="4" t="s">
        <v>84</v>
      </c>
      <c r="J951" s="4" t="s">
        <v>37</v>
      </c>
      <c r="K951" s="4">
        <v>64393</v>
      </c>
      <c r="L951" s="4" t="s">
        <v>33</v>
      </c>
      <c r="M951" s="4">
        <v>0.13</v>
      </c>
      <c r="N951" s="4">
        <v>0.63</v>
      </c>
      <c r="O951" s="4">
        <v>40437.97</v>
      </c>
      <c r="P951" s="4">
        <v>0</v>
      </c>
      <c r="Q951" s="6">
        <f t="shared" si="171"/>
        <v>830.94830293266432</v>
      </c>
      <c r="R951" s="6">
        <f t="shared" si="164"/>
        <v>14539.898175959861</v>
      </c>
      <c r="S951" s="4">
        <f t="shared" si="165"/>
        <v>56058.730158730155</v>
      </c>
      <c r="T951" s="4">
        <f t="shared" si="166"/>
        <v>5366.083333333333</v>
      </c>
      <c r="U951" s="4">
        <f t="shared" si="167"/>
        <v>697.59083333333331</v>
      </c>
      <c r="V951" s="4">
        <f t="shared" ca="1" si="168"/>
        <v>38</v>
      </c>
      <c r="W951" s="20">
        <f t="shared" ca="1" si="174"/>
        <v>31576.035511441245</v>
      </c>
      <c r="X951" s="4">
        <f t="shared" si="169"/>
        <v>5120.9700000000012</v>
      </c>
      <c r="Y951" s="13">
        <f t="shared" si="170"/>
        <v>0.14500014157487898</v>
      </c>
    </row>
    <row r="952" spans="1:25" x14ac:dyDescent="0.3">
      <c r="A952" s="12" t="s">
        <v>1946</v>
      </c>
      <c r="B952" s="7">
        <v>45019</v>
      </c>
      <c r="C952" s="4" t="s">
        <v>1947</v>
      </c>
      <c r="D952" s="4" t="s">
        <v>53</v>
      </c>
      <c r="E952" s="4">
        <v>32174</v>
      </c>
      <c r="F952" s="4">
        <v>6.2</v>
      </c>
      <c r="G952" s="4">
        <v>60</v>
      </c>
      <c r="H952" s="4" t="s">
        <v>19</v>
      </c>
      <c r="I952" s="4" t="s">
        <v>57</v>
      </c>
      <c r="J952" s="4" t="s">
        <v>47</v>
      </c>
      <c r="K952" s="4">
        <v>40956</v>
      </c>
      <c r="L952" s="4" t="s">
        <v>33</v>
      </c>
      <c r="M952" s="4">
        <v>0.5</v>
      </c>
      <c r="N952" s="4">
        <v>0.71</v>
      </c>
      <c r="O952" s="4">
        <v>34168.79</v>
      </c>
      <c r="P952" s="4">
        <v>0</v>
      </c>
      <c r="Q952" s="6">
        <f t="shared" si="171"/>
        <v>625.01004967871256</v>
      </c>
      <c r="R952" s="6">
        <f t="shared" si="164"/>
        <v>5326.6029807227533</v>
      </c>
      <c r="S952" s="4">
        <f t="shared" si="165"/>
        <v>45315.492957746479</v>
      </c>
      <c r="T952" s="4">
        <f t="shared" si="166"/>
        <v>3413</v>
      </c>
      <c r="U952" s="4">
        <f t="shared" si="167"/>
        <v>1706.5</v>
      </c>
      <c r="V952" s="4">
        <f t="shared" ca="1" si="168"/>
        <v>35</v>
      </c>
      <c r="W952" s="20">
        <f t="shared" ca="1" si="174"/>
        <v>21875.35173875494</v>
      </c>
      <c r="X952" s="4">
        <f t="shared" si="169"/>
        <v>1994.7900000000009</v>
      </c>
      <c r="Y952" s="13">
        <f t="shared" si="170"/>
        <v>6.2000062161994184E-2</v>
      </c>
    </row>
    <row r="953" spans="1:25" x14ac:dyDescent="0.3">
      <c r="A953" s="12" t="s">
        <v>1948</v>
      </c>
      <c r="B953" s="7">
        <v>45140</v>
      </c>
      <c r="C953" s="4" t="s">
        <v>1949</v>
      </c>
      <c r="D953" s="4" t="s">
        <v>72</v>
      </c>
      <c r="E953" s="4">
        <v>10956</v>
      </c>
      <c r="F953" s="4">
        <v>18.399999999999999</v>
      </c>
      <c r="G953" s="4">
        <v>60</v>
      </c>
      <c r="H953" s="4" t="s">
        <v>19</v>
      </c>
      <c r="I953" s="4" t="s">
        <v>20</v>
      </c>
      <c r="J953" s="4" t="s">
        <v>32</v>
      </c>
      <c r="K953" s="4">
        <v>80042</v>
      </c>
      <c r="L953" s="4" t="s">
        <v>33</v>
      </c>
      <c r="M953" s="4">
        <v>0.48</v>
      </c>
      <c r="N953" s="4">
        <v>0.54</v>
      </c>
      <c r="O953" s="4">
        <v>12971.9</v>
      </c>
      <c r="P953" s="4">
        <v>0</v>
      </c>
      <c r="Q953" s="6">
        <f t="shared" si="171"/>
        <v>280.59989809935672</v>
      </c>
      <c r="R953" s="6">
        <f t="shared" si="164"/>
        <v>5879.9938859614049</v>
      </c>
      <c r="S953" s="4">
        <f t="shared" si="165"/>
        <v>20288.888888888887</v>
      </c>
      <c r="T953" s="4">
        <f t="shared" si="166"/>
        <v>6670.166666666667</v>
      </c>
      <c r="U953" s="4">
        <f t="shared" si="167"/>
        <v>3201.68</v>
      </c>
      <c r="V953" s="4">
        <f t="shared" ca="1" si="168"/>
        <v>31</v>
      </c>
      <c r="W953" s="20">
        <f t="shared" ca="1" si="174"/>
        <v>8698.5968410800579</v>
      </c>
      <c r="X953" s="4">
        <f t="shared" si="169"/>
        <v>2015.8999999999996</v>
      </c>
      <c r="Y953" s="13">
        <f t="shared" si="170"/>
        <v>0.18399963490324933</v>
      </c>
    </row>
    <row r="954" spans="1:25" x14ac:dyDescent="0.3">
      <c r="A954" s="12" t="s">
        <v>1950</v>
      </c>
      <c r="B954" s="7">
        <v>44203</v>
      </c>
      <c r="C954" s="4" t="s">
        <v>1951</v>
      </c>
      <c r="D954" s="4" t="s">
        <v>65</v>
      </c>
      <c r="E954" s="4">
        <v>39908</v>
      </c>
      <c r="F954" s="4">
        <v>16.600000000000001</v>
      </c>
      <c r="G954" s="4">
        <v>36</v>
      </c>
      <c r="H954" s="4" t="s">
        <v>26</v>
      </c>
      <c r="I954" s="4" t="s">
        <v>73</v>
      </c>
      <c r="J954" s="4" t="s">
        <v>47</v>
      </c>
      <c r="K954" s="4">
        <v>126199</v>
      </c>
      <c r="L954" s="4" t="s">
        <v>29</v>
      </c>
      <c r="M954" s="4">
        <v>0.15</v>
      </c>
      <c r="N954" s="4">
        <v>0.9</v>
      </c>
      <c r="O954" s="4">
        <v>4986.33</v>
      </c>
      <c r="P954" s="4">
        <v>0</v>
      </c>
      <c r="Q954" s="6">
        <f t="shared" si="171"/>
        <v>1414.8971135442489</v>
      </c>
      <c r="R954" s="6">
        <f t="shared" si="164"/>
        <v>11028.296087592957</v>
      </c>
      <c r="S954" s="4">
        <f t="shared" si="165"/>
        <v>44342.222222222219</v>
      </c>
      <c r="T954" s="4">
        <f t="shared" si="166"/>
        <v>10516.583333333334</v>
      </c>
      <c r="U954" s="4">
        <f t="shared" si="167"/>
        <v>1577.4875</v>
      </c>
      <c r="V954" s="4">
        <f t="shared" ca="1" si="168"/>
        <v>62</v>
      </c>
      <c r="W954" s="20">
        <f t="shared" ca="1" si="174"/>
        <v>87723.621039743433</v>
      </c>
      <c r="X954" s="4">
        <f t="shared" si="169"/>
        <v>-34921.67</v>
      </c>
      <c r="Y954" s="13">
        <f t="shared" si="170"/>
        <v>-0.87505437506264405</v>
      </c>
    </row>
    <row r="955" spans="1:25" x14ac:dyDescent="0.3">
      <c r="A955" s="12" t="s">
        <v>1952</v>
      </c>
      <c r="B955" s="7">
        <v>44526</v>
      </c>
      <c r="C955" s="4" t="s">
        <v>1953</v>
      </c>
      <c r="D955" s="4" t="s">
        <v>56</v>
      </c>
      <c r="E955" s="4">
        <v>11837</v>
      </c>
      <c r="F955" s="4">
        <v>24.8</v>
      </c>
      <c r="G955" s="4">
        <v>36</v>
      </c>
      <c r="H955" s="4" t="s">
        <v>19</v>
      </c>
      <c r="I955" s="4" t="s">
        <v>57</v>
      </c>
      <c r="J955" s="4" t="s">
        <v>32</v>
      </c>
      <c r="K955" s="4">
        <v>36078</v>
      </c>
      <c r="L955" s="4" t="s">
        <v>29</v>
      </c>
      <c r="M955" s="4">
        <v>0.32</v>
      </c>
      <c r="N955" s="4">
        <v>0.92</v>
      </c>
      <c r="O955" s="4">
        <v>14772.58</v>
      </c>
      <c r="P955" s="4">
        <v>0</v>
      </c>
      <c r="Q955" s="6">
        <f t="shared" si="171"/>
        <v>469.38587592563692</v>
      </c>
      <c r="R955" s="6">
        <f t="shared" si="164"/>
        <v>5060.8915333229306</v>
      </c>
      <c r="S955" s="4">
        <f t="shared" si="165"/>
        <v>12866.304347826086</v>
      </c>
      <c r="T955" s="4">
        <f t="shared" si="166"/>
        <v>3006.5</v>
      </c>
      <c r="U955" s="4">
        <f t="shared" si="167"/>
        <v>962.08</v>
      </c>
      <c r="V955" s="4">
        <f t="shared" ca="1" si="168"/>
        <v>51</v>
      </c>
      <c r="W955" s="20">
        <f t="shared" ca="1" si="174"/>
        <v>23938.679672207483</v>
      </c>
      <c r="X955" s="4">
        <f t="shared" si="169"/>
        <v>2935.58</v>
      </c>
      <c r="Y955" s="13">
        <f t="shared" si="170"/>
        <v>0.24800033792346032</v>
      </c>
    </row>
    <row r="956" spans="1:25" x14ac:dyDescent="0.3">
      <c r="A956" s="12" t="s">
        <v>1954</v>
      </c>
      <c r="B956" s="7">
        <v>44971</v>
      </c>
      <c r="C956" s="4" t="s">
        <v>1955</v>
      </c>
      <c r="D956" s="4" t="s">
        <v>53</v>
      </c>
      <c r="E956" s="4">
        <v>4716</v>
      </c>
      <c r="F956" s="4">
        <v>9.8000000000000007</v>
      </c>
      <c r="G956" s="4">
        <v>36</v>
      </c>
      <c r="H956" s="4" t="s">
        <v>26</v>
      </c>
      <c r="I956" s="4" t="s">
        <v>20</v>
      </c>
      <c r="J956" s="4" t="s">
        <v>47</v>
      </c>
      <c r="K956" s="4">
        <v>59631</v>
      </c>
      <c r="L956" s="4" t="s">
        <v>29</v>
      </c>
      <c r="M956" s="4">
        <v>0.17</v>
      </c>
      <c r="N956" s="4">
        <v>0.94</v>
      </c>
      <c r="O956" s="4">
        <v>1357.66</v>
      </c>
      <c r="P956" s="4">
        <v>0</v>
      </c>
      <c r="Q956" s="6">
        <f t="shared" si="171"/>
        <v>151.72961227829717</v>
      </c>
      <c r="R956" s="6">
        <f t="shared" si="164"/>
        <v>746.2660420186985</v>
      </c>
      <c r="S956" s="4">
        <f t="shared" si="165"/>
        <v>5017.0212765957449</v>
      </c>
      <c r="T956" s="4">
        <f t="shared" si="166"/>
        <v>4969.25</v>
      </c>
      <c r="U956" s="4">
        <f t="shared" si="167"/>
        <v>844.77250000000004</v>
      </c>
      <c r="V956" s="4">
        <f t="shared" ca="1" si="168"/>
        <v>37</v>
      </c>
      <c r="W956" s="20">
        <f t="shared" ca="1" si="174"/>
        <v>5613.9956542969949</v>
      </c>
      <c r="X956" s="4">
        <f t="shared" si="169"/>
        <v>-3358.34</v>
      </c>
      <c r="Y956" s="13">
        <f t="shared" si="170"/>
        <v>-0.71211620016963528</v>
      </c>
    </row>
    <row r="957" spans="1:25" x14ac:dyDescent="0.3">
      <c r="A957" s="12" t="s">
        <v>1956</v>
      </c>
      <c r="B957" s="7">
        <v>44347</v>
      </c>
      <c r="C957" s="4" t="s">
        <v>1957</v>
      </c>
      <c r="D957" s="4" t="s">
        <v>72</v>
      </c>
      <c r="E957" s="4">
        <v>5481</v>
      </c>
      <c r="F957" s="4">
        <v>15.6</v>
      </c>
      <c r="G957" s="4">
        <v>36</v>
      </c>
      <c r="H957" s="4" t="s">
        <v>19</v>
      </c>
      <c r="I957" s="4" t="s">
        <v>36</v>
      </c>
      <c r="J957" s="4" t="s">
        <v>21</v>
      </c>
      <c r="K957" s="4">
        <v>125676</v>
      </c>
      <c r="L957" s="4" t="s">
        <v>33</v>
      </c>
      <c r="M957" s="4">
        <v>0.27</v>
      </c>
      <c r="N957" s="4">
        <v>0.89</v>
      </c>
      <c r="O957" s="4">
        <v>6336.04</v>
      </c>
      <c r="P957" s="4">
        <v>0</v>
      </c>
      <c r="Q957" s="6">
        <f t="shared" si="171"/>
        <v>191.61505584676328</v>
      </c>
      <c r="R957" s="6">
        <f t="shared" si="164"/>
        <v>1417.1420104834779</v>
      </c>
      <c r="S957" s="4">
        <f t="shared" si="165"/>
        <v>6158.4269662921351</v>
      </c>
      <c r="T957" s="4">
        <f t="shared" si="166"/>
        <v>10473</v>
      </c>
      <c r="U957" s="4">
        <f t="shared" si="167"/>
        <v>2827.71</v>
      </c>
      <c r="V957" s="4">
        <f t="shared" ca="1" si="168"/>
        <v>57</v>
      </c>
      <c r="W957" s="20">
        <f t="shared" ca="1" si="174"/>
        <v>10922.058183265508</v>
      </c>
      <c r="X957" s="4">
        <f t="shared" si="169"/>
        <v>855.04</v>
      </c>
      <c r="Y957" s="13">
        <f t="shared" si="170"/>
        <v>0.15600072979383323</v>
      </c>
    </row>
    <row r="958" spans="1:25" x14ac:dyDescent="0.3">
      <c r="A958" s="12" t="s">
        <v>1958</v>
      </c>
      <c r="B958" s="7">
        <v>44343</v>
      </c>
      <c r="C958" s="4" t="s">
        <v>1959</v>
      </c>
      <c r="D958" s="4" t="s">
        <v>53</v>
      </c>
      <c r="E958" s="4">
        <v>25282</v>
      </c>
      <c r="F958" s="4">
        <v>18</v>
      </c>
      <c r="G958" s="4">
        <v>60</v>
      </c>
      <c r="H958" s="4" t="s">
        <v>60</v>
      </c>
      <c r="I958" s="4" t="s">
        <v>57</v>
      </c>
      <c r="J958" s="4" t="s">
        <v>32</v>
      </c>
      <c r="K958" s="4">
        <v>92901</v>
      </c>
      <c r="L958" s="4" t="s">
        <v>29</v>
      </c>
      <c r="M958" s="4">
        <v>0.12</v>
      </c>
      <c r="N958" s="4">
        <v>0.57999999999999996</v>
      </c>
      <c r="O958" s="4">
        <v>0</v>
      </c>
      <c r="P958" s="4">
        <v>0</v>
      </c>
      <c r="Q958" s="6">
        <f t="shared" si="171"/>
        <v>641.9966322121719</v>
      </c>
      <c r="R958" s="6">
        <f t="shared" si="164"/>
        <v>13237.797932730311</v>
      </c>
      <c r="S958" s="4">
        <f t="shared" si="165"/>
        <v>43589.655172413797</v>
      </c>
      <c r="T958" s="4">
        <f t="shared" si="166"/>
        <v>7741.75</v>
      </c>
      <c r="U958" s="4">
        <f t="shared" si="167"/>
        <v>929.01</v>
      </c>
      <c r="V958" s="4">
        <f t="shared" ca="1" si="168"/>
        <v>57</v>
      </c>
      <c r="W958" s="20">
        <f t="shared" ca="1" si="174"/>
        <v>36593.808036093797</v>
      </c>
      <c r="X958" s="4">
        <f t="shared" si="169"/>
        <v>-25282</v>
      </c>
      <c r="Y958" s="13">
        <f t="shared" si="170"/>
        <v>-1</v>
      </c>
    </row>
    <row r="959" spans="1:25" x14ac:dyDescent="0.3">
      <c r="A959" s="12" t="s">
        <v>1960</v>
      </c>
      <c r="B959" s="7">
        <v>45111</v>
      </c>
      <c r="C959" s="4" t="s">
        <v>1961</v>
      </c>
      <c r="D959" s="4" t="s">
        <v>53</v>
      </c>
      <c r="E959" s="4">
        <v>7548</v>
      </c>
      <c r="F959" s="4">
        <v>17.899999999999999</v>
      </c>
      <c r="G959" s="4">
        <v>36</v>
      </c>
      <c r="H959" s="4" t="s">
        <v>26</v>
      </c>
      <c r="I959" s="4" t="s">
        <v>20</v>
      </c>
      <c r="J959" s="4" t="s">
        <v>28</v>
      </c>
      <c r="K959" s="4">
        <v>137227</v>
      </c>
      <c r="L959" s="4" t="s">
        <v>29</v>
      </c>
      <c r="M959" s="4">
        <v>0.19</v>
      </c>
      <c r="N959" s="4">
        <v>0.52</v>
      </c>
      <c r="O959" s="4">
        <v>2381.79</v>
      </c>
      <c r="P959" s="4">
        <v>0</v>
      </c>
      <c r="Q959" s="6">
        <f t="shared" si="171"/>
        <v>272.49978607689894</v>
      </c>
      <c r="R959" s="6">
        <f t="shared" si="164"/>
        <v>2261.9922987683622</v>
      </c>
      <c r="S959" s="4">
        <f t="shared" si="165"/>
        <v>14515.384615384615</v>
      </c>
      <c r="T959" s="4">
        <f t="shared" si="166"/>
        <v>11435.583333333334</v>
      </c>
      <c r="U959" s="4">
        <f t="shared" si="167"/>
        <v>2172.7608333333333</v>
      </c>
      <c r="V959" s="4">
        <f t="shared" ca="1" si="168"/>
        <v>32</v>
      </c>
      <c r="W959" s="20">
        <f t="shared" ca="1" si="174"/>
        <v>8719.9931544607662</v>
      </c>
      <c r="X959" s="4">
        <f t="shared" si="169"/>
        <v>-5166.21</v>
      </c>
      <c r="Y959" s="13">
        <f t="shared" si="170"/>
        <v>-0.68444753577106521</v>
      </c>
    </row>
    <row r="960" spans="1:25" x14ac:dyDescent="0.3">
      <c r="A960" s="12" t="s">
        <v>1962</v>
      </c>
      <c r="B960" s="7">
        <v>44896</v>
      </c>
      <c r="C960" s="4" t="s">
        <v>1963</v>
      </c>
      <c r="D960" s="4" t="s">
        <v>40</v>
      </c>
      <c r="E960" s="4">
        <v>38605</v>
      </c>
      <c r="F960" s="4">
        <v>16.2</v>
      </c>
      <c r="G960" s="4">
        <v>36</v>
      </c>
      <c r="H960" s="4" t="s">
        <v>26</v>
      </c>
      <c r="I960" s="4" t="s">
        <v>20</v>
      </c>
      <c r="J960" s="4" t="s">
        <v>32</v>
      </c>
      <c r="K960" s="4">
        <v>99497</v>
      </c>
      <c r="L960" s="4" t="s">
        <v>29</v>
      </c>
      <c r="M960" s="4">
        <v>0.25</v>
      </c>
      <c r="N960" s="4">
        <v>0.76</v>
      </c>
      <c r="O960" s="4">
        <v>7107.9</v>
      </c>
      <c r="P960" s="4">
        <v>0</v>
      </c>
      <c r="Q960" s="6">
        <f t="shared" si="171"/>
        <v>1361.0522149128308</v>
      </c>
      <c r="R960" s="6">
        <f t="shared" si="164"/>
        <v>10392.879736861905</v>
      </c>
      <c r="S960" s="4">
        <f t="shared" si="165"/>
        <v>50796.052631578947</v>
      </c>
      <c r="T960" s="4">
        <f t="shared" si="166"/>
        <v>8291.4166666666661</v>
      </c>
      <c r="U960" s="4">
        <f t="shared" si="167"/>
        <v>2072.8541666666665</v>
      </c>
      <c r="V960" s="4">
        <f t="shared" ca="1" si="168"/>
        <v>39</v>
      </c>
      <c r="W960" s="20">
        <f t="shared" ca="1" si="174"/>
        <v>53081.036381600403</v>
      </c>
      <c r="X960" s="4">
        <f t="shared" si="169"/>
        <v>-31497.1</v>
      </c>
      <c r="Y960" s="13">
        <f t="shared" si="170"/>
        <v>-0.81588136251780852</v>
      </c>
    </row>
    <row r="961" spans="1:25" x14ac:dyDescent="0.3">
      <c r="A961" s="12" t="s">
        <v>1964</v>
      </c>
      <c r="B961" s="7">
        <v>44278</v>
      </c>
      <c r="C961" s="4" t="s">
        <v>1965</v>
      </c>
      <c r="D961" s="4" t="s">
        <v>50</v>
      </c>
      <c r="E961" s="4">
        <v>8758</v>
      </c>
      <c r="F961" s="4">
        <v>20.5</v>
      </c>
      <c r="G961" s="4">
        <v>36</v>
      </c>
      <c r="H961" s="4" t="s">
        <v>19</v>
      </c>
      <c r="I961" s="4" t="s">
        <v>57</v>
      </c>
      <c r="J961" s="4" t="s">
        <v>32</v>
      </c>
      <c r="K961" s="4">
        <v>124813</v>
      </c>
      <c r="L961" s="4" t="s">
        <v>29</v>
      </c>
      <c r="M961" s="4">
        <v>0.28000000000000003</v>
      </c>
      <c r="N961" s="4">
        <v>0.91</v>
      </c>
      <c r="O961" s="4">
        <v>10553.39</v>
      </c>
      <c r="P961" s="4">
        <v>0</v>
      </c>
      <c r="Q961" s="6">
        <f t="shared" si="171"/>
        <v>327.71416943831343</v>
      </c>
      <c r="R961" s="6">
        <f t="shared" si="164"/>
        <v>3039.7100997792841</v>
      </c>
      <c r="S961" s="4">
        <f t="shared" si="165"/>
        <v>9624.1758241758234</v>
      </c>
      <c r="T961" s="4">
        <f t="shared" si="166"/>
        <v>10401.083333333334</v>
      </c>
      <c r="U961" s="4">
        <f t="shared" si="167"/>
        <v>2912.3033333333337</v>
      </c>
      <c r="V961" s="4">
        <f t="shared" ca="1" si="168"/>
        <v>59</v>
      </c>
      <c r="W961" s="20">
        <f t="shared" ca="1" si="174"/>
        <v>19335.135996860492</v>
      </c>
      <c r="X961" s="4">
        <f t="shared" si="169"/>
        <v>1795.3899999999994</v>
      </c>
      <c r="Y961" s="13">
        <f t="shared" si="170"/>
        <v>0.20499999999999993</v>
      </c>
    </row>
    <row r="962" spans="1:25" x14ac:dyDescent="0.3">
      <c r="A962" s="12" t="s">
        <v>1966</v>
      </c>
      <c r="B962" s="7">
        <v>44710</v>
      </c>
      <c r="C962" s="4" t="s">
        <v>1967</v>
      </c>
      <c r="D962" s="4" t="s">
        <v>40</v>
      </c>
      <c r="E962" s="4">
        <v>24177</v>
      </c>
      <c r="F962" s="4">
        <v>9.1</v>
      </c>
      <c r="G962" s="4">
        <v>60</v>
      </c>
      <c r="H962" s="4" t="s">
        <v>19</v>
      </c>
      <c r="I962" s="4" t="s">
        <v>41</v>
      </c>
      <c r="J962" s="4" t="s">
        <v>32</v>
      </c>
      <c r="K962" s="4">
        <v>147192</v>
      </c>
      <c r="L962" s="4" t="s">
        <v>22</v>
      </c>
      <c r="M962" s="4">
        <v>0.49</v>
      </c>
      <c r="N962" s="4">
        <v>0.57999999999999996</v>
      </c>
      <c r="O962" s="4">
        <v>26377.11</v>
      </c>
      <c r="P962" s="4">
        <v>0</v>
      </c>
      <c r="Q962" s="6">
        <f t="shared" si="171"/>
        <v>503.04895370892069</v>
      </c>
      <c r="R962" s="6">
        <f t="shared" ref="R962:R1001" si="175">(Q962*G962)-E962</f>
        <v>6005.9372225352417</v>
      </c>
      <c r="S962" s="4">
        <f t="shared" ref="S962:S1001" si="176">E962 / N962</f>
        <v>41684.482758620696</v>
      </c>
      <c r="T962" s="4">
        <f t="shared" ref="T962:T1001" si="177">K962/12</f>
        <v>12266</v>
      </c>
      <c r="U962" s="4">
        <f t="shared" ref="U962:U1001" si="178">M962*T962</f>
        <v>6010.34</v>
      </c>
      <c r="V962" s="4">
        <f t="shared" ref="V962:V1001" ca="1" si="179">DATEDIF(B962, TODAY(), "m")</f>
        <v>45</v>
      </c>
      <c r="W962" s="20">
        <f t="shared" ca="1" si="174"/>
        <v>22637.202916901431</v>
      </c>
      <c r="X962" s="4">
        <f t="shared" ref="X962:X1001" si="180">(O962 + P962) - E962</f>
        <v>2200.1100000000006</v>
      </c>
      <c r="Y962" s="13">
        <f t="shared" ref="Y962:Y1001" si="181">(X962/E962)</f>
        <v>9.1000124084874082E-2</v>
      </c>
    </row>
    <row r="963" spans="1:25" x14ac:dyDescent="0.3">
      <c r="A963" s="12" t="s">
        <v>1968</v>
      </c>
      <c r="B963" s="7">
        <v>45011</v>
      </c>
      <c r="C963" s="4" t="s">
        <v>1969</v>
      </c>
      <c r="D963" s="4" t="s">
        <v>65</v>
      </c>
      <c r="E963" s="4">
        <v>25022</v>
      </c>
      <c r="F963" s="4">
        <v>19.5</v>
      </c>
      <c r="G963" s="4">
        <v>36</v>
      </c>
      <c r="H963" s="4" t="s">
        <v>19</v>
      </c>
      <c r="I963" s="4" t="s">
        <v>57</v>
      </c>
      <c r="J963" s="4" t="s">
        <v>21</v>
      </c>
      <c r="K963" s="4">
        <v>71574</v>
      </c>
      <c r="L963" s="4" t="s">
        <v>33</v>
      </c>
      <c r="M963" s="4">
        <v>0.42</v>
      </c>
      <c r="N963" s="4">
        <v>0.5</v>
      </c>
      <c r="O963" s="4">
        <v>29901.29</v>
      </c>
      <c r="P963" s="4">
        <v>0</v>
      </c>
      <c r="Q963" s="6">
        <f t="shared" ref="Q963:Q1001" si="182">PMT(F963/100/12, G963, -E963)</f>
        <v>923.54476633485922</v>
      </c>
      <c r="R963" s="6">
        <f t="shared" si="175"/>
        <v>8225.6115880549332</v>
      </c>
      <c r="S963" s="4">
        <f t="shared" si="176"/>
        <v>50044</v>
      </c>
      <c r="T963" s="4">
        <f t="shared" si="177"/>
        <v>5964.5</v>
      </c>
      <c r="U963" s="4">
        <f t="shared" si="178"/>
        <v>2505.0899999999997</v>
      </c>
      <c r="V963" s="4">
        <f t="shared" ca="1" si="179"/>
        <v>35</v>
      </c>
      <c r="W963" s="20">
        <f t="shared" ca="1" si="174"/>
        <v>32324.066821720073</v>
      </c>
      <c r="X963" s="4">
        <f t="shared" si="180"/>
        <v>4879.2900000000009</v>
      </c>
      <c r="Y963" s="13">
        <f t="shared" si="181"/>
        <v>0.19500000000000003</v>
      </c>
    </row>
    <row r="964" spans="1:25" x14ac:dyDescent="0.3">
      <c r="A964" s="12" t="s">
        <v>1970</v>
      </c>
      <c r="B964" s="7">
        <v>44905</v>
      </c>
      <c r="C964" s="4" t="s">
        <v>1971</v>
      </c>
      <c r="D964" s="4" t="s">
        <v>76</v>
      </c>
      <c r="E964" s="4">
        <v>6542</v>
      </c>
      <c r="F964" s="4">
        <v>17.399999999999999</v>
      </c>
      <c r="G964" s="4">
        <v>36</v>
      </c>
      <c r="H964" s="4" t="s">
        <v>81</v>
      </c>
      <c r="I964" s="4" t="s">
        <v>57</v>
      </c>
      <c r="J964" s="4" t="s">
        <v>47</v>
      </c>
      <c r="K964" s="4">
        <v>148494</v>
      </c>
      <c r="L964" s="4" t="s">
        <v>33</v>
      </c>
      <c r="M964" s="4">
        <v>0.39</v>
      </c>
      <c r="N964" s="4">
        <v>0.86</v>
      </c>
      <c r="O964" s="4">
        <v>723.02</v>
      </c>
      <c r="P964" s="4">
        <v>1622.45</v>
      </c>
      <c r="Q964" s="6">
        <f t="shared" si="182"/>
        <v>234.54456151065995</v>
      </c>
      <c r="R964" s="6">
        <f t="shared" si="175"/>
        <v>1901.6042143837585</v>
      </c>
      <c r="S964" s="4">
        <f t="shared" si="176"/>
        <v>7606.9767441860467</v>
      </c>
      <c r="T964" s="4">
        <f t="shared" si="177"/>
        <v>12374.5</v>
      </c>
      <c r="U964" s="4">
        <f t="shared" si="178"/>
        <v>4826.0550000000003</v>
      </c>
      <c r="V964" s="4">
        <f t="shared" ca="1" si="179"/>
        <v>39</v>
      </c>
      <c r="W964" s="20">
        <v>0</v>
      </c>
      <c r="X964" s="4">
        <f t="shared" si="180"/>
        <v>-4196.53</v>
      </c>
      <c r="Y964" s="13">
        <f t="shared" si="181"/>
        <v>-0.64147508407214915</v>
      </c>
    </row>
    <row r="965" spans="1:25" x14ac:dyDescent="0.3">
      <c r="A965" s="12" t="s">
        <v>1972</v>
      </c>
      <c r="B965" s="7">
        <v>44942</v>
      </c>
      <c r="C965" s="4" t="s">
        <v>1973</v>
      </c>
      <c r="D965" s="4" t="s">
        <v>25</v>
      </c>
      <c r="E965" s="4">
        <v>26476</v>
      </c>
      <c r="F965" s="4">
        <v>22.9</v>
      </c>
      <c r="G965" s="4">
        <v>36</v>
      </c>
      <c r="H965" s="4" t="s">
        <v>19</v>
      </c>
      <c r="I965" s="4" t="s">
        <v>27</v>
      </c>
      <c r="J965" s="4" t="s">
        <v>28</v>
      </c>
      <c r="K965" s="4">
        <v>61417</v>
      </c>
      <c r="L965" s="4" t="s">
        <v>22</v>
      </c>
      <c r="M965" s="4">
        <v>0.31</v>
      </c>
      <c r="N965" s="4">
        <v>0.53</v>
      </c>
      <c r="O965" s="4">
        <v>32539</v>
      </c>
      <c r="P965" s="4">
        <v>0</v>
      </c>
      <c r="Q965" s="6">
        <f t="shared" si="182"/>
        <v>1023.499162111901</v>
      </c>
      <c r="R965" s="6">
        <f t="shared" si="175"/>
        <v>10369.969836028438</v>
      </c>
      <c r="S965" s="4">
        <f t="shared" si="176"/>
        <v>49954.716981132071</v>
      </c>
      <c r="T965" s="4">
        <f t="shared" si="177"/>
        <v>5118.083333333333</v>
      </c>
      <c r="U965" s="4">
        <f t="shared" si="178"/>
        <v>1586.6058333333333</v>
      </c>
      <c r="V965" s="4">
        <f t="shared" ca="1" si="179"/>
        <v>38</v>
      </c>
      <c r="W965" s="20">
        <f t="shared" ref="W965:W977" ca="1" si="183">V965*Q965</f>
        <v>38892.96816025224</v>
      </c>
      <c r="X965" s="4">
        <f t="shared" si="180"/>
        <v>6063</v>
      </c>
      <c r="Y965" s="13">
        <f t="shared" si="181"/>
        <v>0.2289998489197764</v>
      </c>
    </row>
    <row r="966" spans="1:25" x14ac:dyDescent="0.3">
      <c r="A966" s="12" t="s">
        <v>1974</v>
      </c>
      <c r="B966" s="7">
        <v>45219</v>
      </c>
      <c r="C966" s="4" t="s">
        <v>1975</v>
      </c>
      <c r="D966" s="4" t="s">
        <v>46</v>
      </c>
      <c r="E966" s="4">
        <v>31784</v>
      </c>
      <c r="F966" s="4">
        <v>21.9</v>
      </c>
      <c r="G966" s="4">
        <v>36</v>
      </c>
      <c r="H966" s="4" t="s">
        <v>26</v>
      </c>
      <c r="I966" s="4" t="s">
        <v>57</v>
      </c>
      <c r="J966" s="4" t="s">
        <v>47</v>
      </c>
      <c r="K966" s="4">
        <v>118020</v>
      </c>
      <c r="L966" s="4" t="s">
        <v>29</v>
      </c>
      <c r="M966" s="4">
        <v>0.44</v>
      </c>
      <c r="N966" s="4">
        <v>0.69</v>
      </c>
      <c r="O966" s="4">
        <v>2122.0300000000002</v>
      </c>
      <c r="P966" s="4">
        <v>0</v>
      </c>
      <c r="Q966" s="6">
        <f t="shared" si="182"/>
        <v>1212.2016980660185</v>
      </c>
      <c r="R966" s="6">
        <f t="shared" si="175"/>
        <v>11855.261130376668</v>
      </c>
      <c r="S966" s="4">
        <f t="shared" si="176"/>
        <v>46063.768115942032</v>
      </c>
      <c r="T966" s="4">
        <f t="shared" si="177"/>
        <v>9835</v>
      </c>
      <c r="U966" s="4">
        <f t="shared" si="178"/>
        <v>4327.3999999999996</v>
      </c>
      <c r="V966" s="4">
        <f t="shared" ca="1" si="179"/>
        <v>28</v>
      </c>
      <c r="W966" s="20">
        <f t="shared" ca="1" si="183"/>
        <v>33941.647545848515</v>
      </c>
      <c r="X966" s="4">
        <f t="shared" si="180"/>
        <v>-29661.97</v>
      </c>
      <c r="Y966" s="13">
        <f t="shared" si="181"/>
        <v>-0.93323590485779007</v>
      </c>
    </row>
    <row r="967" spans="1:25" x14ac:dyDescent="0.3">
      <c r="A967" s="12" t="s">
        <v>1976</v>
      </c>
      <c r="B967" s="7">
        <v>44903</v>
      </c>
      <c r="C967" s="4" t="s">
        <v>1977</v>
      </c>
      <c r="D967" s="4" t="s">
        <v>76</v>
      </c>
      <c r="E967" s="4">
        <v>23740</v>
      </c>
      <c r="F967" s="4">
        <v>11.3</v>
      </c>
      <c r="G967" s="4">
        <v>36</v>
      </c>
      <c r="H967" s="4" t="s">
        <v>26</v>
      </c>
      <c r="I967" s="4" t="s">
        <v>20</v>
      </c>
      <c r="J967" s="4" t="s">
        <v>47</v>
      </c>
      <c r="K967" s="4">
        <v>113639</v>
      </c>
      <c r="L967" s="4" t="s">
        <v>29</v>
      </c>
      <c r="M967" s="4">
        <v>0.24</v>
      </c>
      <c r="N967" s="4">
        <v>0.81</v>
      </c>
      <c r="O967" s="4">
        <v>1468.47</v>
      </c>
      <c r="P967" s="4">
        <v>0</v>
      </c>
      <c r="Q967" s="6">
        <f t="shared" si="182"/>
        <v>780.59420230484432</v>
      </c>
      <c r="R967" s="6">
        <f t="shared" si="175"/>
        <v>4361.3912829743967</v>
      </c>
      <c r="S967" s="4">
        <f t="shared" si="176"/>
        <v>29308.641975308641</v>
      </c>
      <c r="T967" s="4">
        <f t="shared" si="177"/>
        <v>9469.9166666666661</v>
      </c>
      <c r="U967" s="4">
        <f t="shared" si="178"/>
        <v>2272.7799999999997</v>
      </c>
      <c r="V967" s="4">
        <f t="shared" ca="1" si="179"/>
        <v>39</v>
      </c>
      <c r="W967" s="20">
        <f t="shared" ca="1" si="183"/>
        <v>30443.173889888927</v>
      </c>
      <c r="X967" s="4">
        <f t="shared" si="180"/>
        <v>-22271.53</v>
      </c>
      <c r="Y967" s="13">
        <f t="shared" si="181"/>
        <v>-0.9381436394271272</v>
      </c>
    </row>
    <row r="968" spans="1:25" x14ac:dyDescent="0.3">
      <c r="A968" s="12" t="s">
        <v>1978</v>
      </c>
      <c r="B968" s="7">
        <v>44667</v>
      </c>
      <c r="C968" s="4" t="s">
        <v>1979</v>
      </c>
      <c r="D968" s="4" t="s">
        <v>25</v>
      </c>
      <c r="E968" s="4">
        <v>25817</v>
      </c>
      <c r="F968" s="4">
        <v>10.5</v>
      </c>
      <c r="G968" s="4">
        <v>60</v>
      </c>
      <c r="H968" s="4" t="s">
        <v>19</v>
      </c>
      <c r="I968" s="4" t="s">
        <v>20</v>
      </c>
      <c r="J968" s="4" t="s">
        <v>37</v>
      </c>
      <c r="K968" s="4">
        <v>95006</v>
      </c>
      <c r="L968" s="4" t="s">
        <v>29</v>
      </c>
      <c r="M968" s="4">
        <v>0.38</v>
      </c>
      <c r="N968" s="4">
        <v>0.61</v>
      </c>
      <c r="O968" s="4">
        <v>28527.78</v>
      </c>
      <c r="P968" s="4">
        <v>0</v>
      </c>
      <c r="Q968" s="6">
        <f t="shared" si="182"/>
        <v>554.90802606185844</v>
      </c>
      <c r="R968" s="6">
        <f t="shared" si="175"/>
        <v>7477.4815637115098</v>
      </c>
      <c r="S968" s="4">
        <f t="shared" si="176"/>
        <v>42322.950819672129</v>
      </c>
      <c r="T968" s="4">
        <f t="shared" si="177"/>
        <v>7917.166666666667</v>
      </c>
      <c r="U968" s="4">
        <f t="shared" si="178"/>
        <v>3008.5233333333335</v>
      </c>
      <c r="V968" s="4">
        <f t="shared" ca="1" si="179"/>
        <v>47</v>
      </c>
      <c r="W968" s="20">
        <f t="shared" ca="1" si="183"/>
        <v>26080.677224907347</v>
      </c>
      <c r="X968" s="4">
        <f t="shared" si="180"/>
        <v>2710.7799999999988</v>
      </c>
      <c r="Y968" s="13">
        <f t="shared" si="181"/>
        <v>0.10499980632916291</v>
      </c>
    </row>
    <row r="969" spans="1:25" x14ac:dyDescent="0.3">
      <c r="A969" s="12" t="s">
        <v>1980</v>
      </c>
      <c r="B969" s="7">
        <v>44592</v>
      </c>
      <c r="C969" s="4" t="s">
        <v>1981</v>
      </c>
      <c r="D969" s="4" t="s">
        <v>65</v>
      </c>
      <c r="E969" s="4">
        <v>17052</v>
      </c>
      <c r="F969" s="4">
        <v>24.6</v>
      </c>
      <c r="G969" s="4">
        <v>36</v>
      </c>
      <c r="H969" s="4" t="s">
        <v>26</v>
      </c>
      <c r="I969" s="4" t="s">
        <v>57</v>
      </c>
      <c r="J969" s="4" t="s">
        <v>21</v>
      </c>
      <c r="K969" s="4">
        <v>124881</v>
      </c>
      <c r="L969" s="4" t="s">
        <v>33</v>
      </c>
      <c r="M969" s="4">
        <v>0.5</v>
      </c>
      <c r="N969" s="4">
        <v>0.54</v>
      </c>
      <c r="O969" s="4">
        <v>6524.2</v>
      </c>
      <c r="P969" s="4">
        <v>0</v>
      </c>
      <c r="Q969" s="6">
        <f t="shared" si="182"/>
        <v>674.38233220579389</v>
      </c>
      <c r="R969" s="6">
        <f t="shared" si="175"/>
        <v>7225.7639594085813</v>
      </c>
      <c r="S969" s="4">
        <f t="shared" si="176"/>
        <v>31577.777777777777</v>
      </c>
      <c r="T969" s="4">
        <f t="shared" si="177"/>
        <v>10406.75</v>
      </c>
      <c r="U969" s="4">
        <f t="shared" si="178"/>
        <v>5203.375</v>
      </c>
      <c r="V969" s="4">
        <f t="shared" ca="1" si="179"/>
        <v>49</v>
      </c>
      <c r="W969" s="20">
        <f t="shared" ca="1" si="183"/>
        <v>33044.734278083903</v>
      </c>
      <c r="X969" s="4">
        <f t="shared" si="180"/>
        <v>-10527.8</v>
      </c>
      <c r="Y969" s="13">
        <f t="shared" si="181"/>
        <v>-0.61739385409336145</v>
      </c>
    </row>
    <row r="970" spans="1:25" x14ac:dyDescent="0.3">
      <c r="A970" s="12" t="s">
        <v>1982</v>
      </c>
      <c r="B970" s="7">
        <v>44457</v>
      </c>
      <c r="C970" s="4" t="s">
        <v>1983</v>
      </c>
      <c r="D970" s="4" t="s">
        <v>65</v>
      </c>
      <c r="E970" s="4">
        <v>36153</v>
      </c>
      <c r="F970" s="4">
        <v>15.5</v>
      </c>
      <c r="G970" s="4">
        <v>36</v>
      </c>
      <c r="H970" s="4" t="s">
        <v>26</v>
      </c>
      <c r="I970" s="4" t="s">
        <v>20</v>
      </c>
      <c r="J970" s="4" t="s">
        <v>37</v>
      </c>
      <c r="K970" s="4">
        <v>141862</v>
      </c>
      <c r="L970" s="4" t="s">
        <v>33</v>
      </c>
      <c r="M970" s="4">
        <v>0.23</v>
      </c>
      <c r="N970" s="4">
        <v>0.85</v>
      </c>
      <c r="O970" s="4">
        <v>6981.3</v>
      </c>
      <c r="P970" s="4">
        <v>0</v>
      </c>
      <c r="Q970" s="6">
        <f t="shared" si="182"/>
        <v>1262.1258509809702</v>
      </c>
      <c r="R970" s="6">
        <f t="shared" si="175"/>
        <v>9283.5306353149281</v>
      </c>
      <c r="S970" s="4">
        <f t="shared" si="176"/>
        <v>42532.941176470587</v>
      </c>
      <c r="T970" s="4">
        <f t="shared" si="177"/>
        <v>11821.833333333334</v>
      </c>
      <c r="U970" s="4">
        <f t="shared" si="178"/>
        <v>2719.021666666667</v>
      </c>
      <c r="V970" s="4">
        <f t="shared" ca="1" si="179"/>
        <v>54</v>
      </c>
      <c r="W970" s="20">
        <f t="shared" ca="1" si="183"/>
        <v>68154.795952972388</v>
      </c>
      <c r="X970" s="4">
        <f t="shared" si="180"/>
        <v>-29171.7</v>
      </c>
      <c r="Y970" s="13">
        <f t="shared" si="181"/>
        <v>-0.80689569330346034</v>
      </c>
    </row>
    <row r="971" spans="1:25" x14ac:dyDescent="0.3">
      <c r="A971" s="12" t="s">
        <v>1984</v>
      </c>
      <c r="B971" s="7">
        <v>45001</v>
      </c>
      <c r="C971" s="4" t="s">
        <v>1985</v>
      </c>
      <c r="D971" s="4" t="s">
        <v>56</v>
      </c>
      <c r="E971" s="4">
        <v>1671</v>
      </c>
      <c r="F971" s="4">
        <v>23.1</v>
      </c>
      <c r="G971" s="4">
        <v>36</v>
      </c>
      <c r="H971" s="4" t="s">
        <v>26</v>
      </c>
      <c r="I971" s="4" t="s">
        <v>20</v>
      </c>
      <c r="J971" s="4" t="s">
        <v>21</v>
      </c>
      <c r="K971" s="4">
        <v>69454</v>
      </c>
      <c r="L971" s="4" t="s">
        <v>33</v>
      </c>
      <c r="M971" s="4">
        <v>0.37</v>
      </c>
      <c r="N971" s="4">
        <v>0.78</v>
      </c>
      <c r="O971" s="4">
        <v>682.33</v>
      </c>
      <c r="P971" s="4">
        <v>0</v>
      </c>
      <c r="Q971" s="6">
        <f t="shared" si="182"/>
        <v>64.771070019785355</v>
      </c>
      <c r="R971" s="6">
        <f t="shared" si="175"/>
        <v>660.75852071227291</v>
      </c>
      <c r="S971" s="4">
        <f t="shared" si="176"/>
        <v>2142.3076923076924</v>
      </c>
      <c r="T971" s="4">
        <f t="shared" si="177"/>
        <v>5787.833333333333</v>
      </c>
      <c r="U971" s="4">
        <f t="shared" si="178"/>
        <v>2141.498333333333</v>
      </c>
      <c r="V971" s="4">
        <f t="shared" ca="1" si="179"/>
        <v>36</v>
      </c>
      <c r="W971" s="20">
        <f t="shared" ca="1" si="183"/>
        <v>2331.7585207122729</v>
      </c>
      <c r="X971" s="4">
        <f t="shared" si="180"/>
        <v>-988.67</v>
      </c>
      <c r="Y971" s="13">
        <f t="shared" si="181"/>
        <v>-0.59166367444643919</v>
      </c>
    </row>
    <row r="972" spans="1:25" x14ac:dyDescent="0.3">
      <c r="A972" s="12" t="s">
        <v>1986</v>
      </c>
      <c r="B972" s="7">
        <v>45130</v>
      </c>
      <c r="C972" s="4" t="s">
        <v>1987</v>
      </c>
      <c r="D972" s="4" t="s">
        <v>46</v>
      </c>
      <c r="E972" s="4">
        <v>1163</v>
      </c>
      <c r="F972" s="4">
        <v>8.3000000000000007</v>
      </c>
      <c r="G972" s="4">
        <v>36</v>
      </c>
      <c r="H972" s="4" t="s">
        <v>19</v>
      </c>
      <c r="I972" s="4" t="s">
        <v>84</v>
      </c>
      <c r="J972" s="4" t="s">
        <v>47</v>
      </c>
      <c r="K972" s="4">
        <v>31587</v>
      </c>
      <c r="L972" s="4" t="s">
        <v>33</v>
      </c>
      <c r="M972" s="4">
        <v>0.44</v>
      </c>
      <c r="N972" s="4">
        <v>0.94</v>
      </c>
      <c r="O972" s="4">
        <v>1259.53</v>
      </c>
      <c r="P972" s="4">
        <v>0</v>
      </c>
      <c r="Q972" s="6">
        <f t="shared" si="182"/>
        <v>36.605361927206268</v>
      </c>
      <c r="R972" s="6">
        <f t="shared" si="175"/>
        <v>154.79302937942566</v>
      </c>
      <c r="S972" s="4">
        <f t="shared" si="176"/>
        <v>1237.2340425531916</v>
      </c>
      <c r="T972" s="4">
        <f t="shared" si="177"/>
        <v>2632.25</v>
      </c>
      <c r="U972" s="4">
        <f t="shared" si="178"/>
        <v>1158.19</v>
      </c>
      <c r="V972" s="4">
        <f t="shared" ca="1" si="179"/>
        <v>31</v>
      </c>
      <c r="W972" s="20">
        <f t="shared" ca="1" si="183"/>
        <v>1134.7662197433942</v>
      </c>
      <c r="X972" s="4">
        <f t="shared" si="180"/>
        <v>96.529999999999973</v>
      </c>
      <c r="Y972" s="13">
        <f t="shared" si="181"/>
        <v>8.3000859845227842E-2</v>
      </c>
    </row>
    <row r="973" spans="1:25" x14ac:dyDescent="0.3">
      <c r="A973" s="12" t="s">
        <v>1988</v>
      </c>
      <c r="B973" s="7">
        <v>45101</v>
      </c>
      <c r="C973" s="4" t="s">
        <v>1989</v>
      </c>
      <c r="D973" s="4" t="s">
        <v>50</v>
      </c>
      <c r="E973" s="4">
        <v>5795</v>
      </c>
      <c r="F973" s="4">
        <v>17.899999999999999</v>
      </c>
      <c r="G973" s="4">
        <v>36</v>
      </c>
      <c r="H973" s="4" t="s">
        <v>19</v>
      </c>
      <c r="I973" s="4" t="s">
        <v>20</v>
      </c>
      <c r="J973" s="4" t="s">
        <v>47</v>
      </c>
      <c r="K973" s="4">
        <v>138107</v>
      </c>
      <c r="L973" s="4" t="s">
        <v>33</v>
      </c>
      <c r="M973" s="4">
        <v>0.47</v>
      </c>
      <c r="N973" s="4">
        <v>0.65</v>
      </c>
      <c r="O973" s="4">
        <v>6832.3</v>
      </c>
      <c r="P973" s="4">
        <v>0</v>
      </c>
      <c r="Q973" s="6">
        <f t="shared" si="182"/>
        <v>209.21254111229854</v>
      </c>
      <c r="R973" s="6">
        <f t="shared" si="175"/>
        <v>1736.6514800427476</v>
      </c>
      <c r="S973" s="4">
        <f t="shared" si="176"/>
        <v>8915.3846153846152</v>
      </c>
      <c r="T973" s="4">
        <f t="shared" si="177"/>
        <v>11508.916666666666</v>
      </c>
      <c r="U973" s="4">
        <f t="shared" si="178"/>
        <v>5409.1908333333331</v>
      </c>
      <c r="V973" s="4">
        <f t="shared" ca="1" si="179"/>
        <v>32</v>
      </c>
      <c r="W973" s="20">
        <f t="shared" ca="1" si="183"/>
        <v>6694.8013155935532</v>
      </c>
      <c r="X973" s="4">
        <f t="shared" si="180"/>
        <v>1037.3000000000002</v>
      </c>
      <c r="Y973" s="13">
        <f t="shared" si="181"/>
        <v>0.1789991371872304</v>
      </c>
    </row>
    <row r="974" spans="1:25" x14ac:dyDescent="0.3">
      <c r="A974" s="12" t="s">
        <v>1990</v>
      </c>
      <c r="B974" s="7">
        <v>45273</v>
      </c>
      <c r="C974" s="4" t="s">
        <v>1991</v>
      </c>
      <c r="D974" s="4" t="s">
        <v>53</v>
      </c>
      <c r="E974" s="4">
        <v>11634</v>
      </c>
      <c r="F974" s="4">
        <v>21.2</v>
      </c>
      <c r="G974" s="4">
        <v>36</v>
      </c>
      <c r="H974" s="4" t="s">
        <v>19</v>
      </c>
      <c r="I974" s="4" t="s">
        <v>27</v>
      </c>
      <c r="J974" s="4" t="s">
        <v>21</v>
      </c>
      <c r="K974" s="4">
        <v>145584</v>
      </c>
      <c r="L974" s="4" t="s">
        <v>22</v>
      </c>
      <c r="M974" s="4">
        <v>0.39</v>
      </c>
      <c r="N974" s="4">
        <v>0.53</v>
      </c>
      <c r="O974" s="4">
        <v>14100.41</v>
      </c>
      <c r="P974" s="4">
        <v>0</v>
      </c>
      <c r="Q974" s="6">
        <f t="shared" si="182"/>
        <v>439.50730872610376</v>
      </c>
      <c r="R974" s="6">
        <f t="shared" si="175"/>
        <v>4188.263114139736</v>
      </c>
      <c r="S974" s="4">
        <f t="shared" si="176"/>
        <v>21950.943396226416</v>
      </c>
      <c r="T974" s="4">
        <f t="shared" si="177"/>
        <v>12132</v>
      </c>
      <c r="U974" s="4">
        <f t="shared" si="178"/>
        <v>4731.4800000000005</v>
      </c>
      <c r="V974" s="4">
        <f t="shared" ca="1" si="179"/>
        <v>27</v>
      </c>
      <c r="W974" s="20">
        <f t="shared" ca="1" si="183"/>
        <v>11866.697335604802</v>
      </c>
      <c r="X974" s="4">
        <f t="shared" si="180"/>
        <v>2466.41</v>
      </c>
      <c r="Y974" s="13">
        <f t="shared" si="181"/>
        <v>0.21200017190991918</v>
      </c>
    </row>
    <row r="975" spans="1:25" x14ac:dyDescent="0.3">
      <c r="A975" s="12" t="s">
        <v>1992</v>
      </c>
      <c r="B975" s="7">
        <v>45136</v>
      </c>
      <c r="C975" s="4" t="s">
        <v>1993</v>
      </c>
      <c r="D975" s="4" t="s">
        <v>40</v>
      </c>
      <c r="E975" s="4">
        <v>5798</v>
      </c>
      <c r="F975" s="4">
        <v>23.9</v>
      </c>
      <c r="G975" s="4">
        <v>36</v>
      </c>
      <c r="H975" s="4" t="s">
        <v>26</v>
      </c>
      <c r="I975" s="4" t="s">
        <v>84</v>
      </c>
      <c r="J975" s="4" t="s">
        <v>47</v>
      </c>
      <c r="K975" s="4">
        <v>84710</v>
      </c>
      <c r="L975" s="4" t="s">
        <v>33</v>
      </c>
      <c r="M975" s="4">
        <v>0.21</v>
      </c>
      <c r="N975" s="4">
        <v>0.83</v>
      </c>
      <c r="O975" s="4">
        <v>1416.33</v>
      </c>
      <c r="P975" s="4">
        <v>0</v>
      </c>
      <c r="Q975" s="6">
        <f t="shared" si="182"/>
        <v>227.16776352391949</v>
      </c>
      <c r="R975" s="6">
        <f t="shared" si="175"/>
        <v>2380.039486861102</v>
      </c>
      <c r="S975" s="4">
        <f t="shared" si="176"/>
        <v>6985.5421686746995</v>
      </c>
      <c r="T975" s="4">
        <f t="shared" si="177"/>
        <v>7059.166666666667</v>
      </c>
      <c r="U975" s="4">
        <f t="shared" si="178"/>
        <v>1482.425</v>
      </c>
      <c r="V975" s="4">
        <f t="shared" ca="1" si="179"/>
        <v>31</v>
      </c>
      <c r="W975" s="20">
        <f t="shared" ca="1" si="183"/>
        <v>7042.2006692415043</v>
      </c>
      <c r="X975" s="4">
        <f t="shared" si="180"/>
        <v>-4381.67</v>
      </c>
      <c r="Y975" s="13">
        <f t="shared" si="181"/>
        <v>-0.75572093825457054</v>
      </c>
    </row>
    <row r="976" spans="1:25" x14ac:dyDescent="0.3">
      <c r="A976" s="12" t="s">
        <v>1994</v>
      </c>
      <c r="B976" s="7">
        <v>45050</v>
      </c>
      <c r="C976" s="4" t="s">
        <v>1995</v>
      </c>
      <c r="D976" s="4" t="s">
        <v>40</v>
      </c>
      <c r="E976" s="4">
        <v>23420</v>
      </c>
      <c r="F976" s="4">
        <v>11.7</v>
      </c>
      <c r="G976" s="4">
        <v>36</v>
      </c>
      <c r="H976" s="4" t="s">
        <v>26</v>
      </c>
      <c r="I976" s="4" t="s">
        <v>73</v>
      </c>
      <c r="J976" s="4" t="s">
        <v>47</v>
      </c>
      <c r="K976" s="4">
        <v>116567</v>
      </c>
      <c r="L976" s="4" t="s">
        <v>29</v>
      </c>
      <c r="M976" s="4">
        <v>0.23</v>
      </c>
      <c r="N976" s="4">
        <v>0.73</v>
      </c>
      <c r="O976" s="4">
        <v>5945.15</v>
      </c>
      <c r="P976" s="4">
        <v>0</v>
      </c>
      <c r="Q976" s="6">
        <f t="shared" si="182"/>
        <v>774.527648977176</v>
      </c>
      <c r="R976" s="6">
        <f t="shared" si="175"/>
        <v>4462.9953631783355</v>
      </c>
      <c r="S976" s="4">
        <f t="shared" si="176"/>
        <v>32082.191780821919</v>
      </c>
      <c r="T976" s="4">
        <f t="shared" si="177"/>
        <v>9713.9166666666661</v>
      </c>
      <c r="U976" s="4">
        <f t="shared" si="178"/>
        <v>2234.2008333333333</v>
      </c>
      <c r="V976" s="4">
        <f t="shared" ca="1" si="179"/>
        <v>34</v>
      </c>
      <c r="W976" s="20">
        <f t="shared" ca="1" si="183"/>
        <v>26333.940065223986</v>
      </c>
      <c r="X976" s="4">
        <f t="shared" si="180"/>
        <v>-17474.849999999999</v>
      </c>
      <c r="Y976" s="13">
        <f t="shared" si="181"/>
        <v>-0.74615072587532016</v>
      </c>
    </row>
    <row r="977" spans="1:25" x14ac:dyDescent="0.3">
      <c r="A977" s="12" t="s">
        <v>1996</v>
      </c>
      <c r="B977" s="7">
        <v>44789</v>
      </c>
      <c r="C977" s="4" t="s">
        <v>1997</v>
      </c>
      <c r="D977" s="4" t="s">
        <v>65</v>
      </c>
      <c r="E977" s="4">
        <v>30300</v>
      </c>
      <c r="F977" s="4">
        <v>19.5</v>
      </c>
      <c r="G977" s="4">
        <v>36</v>
      </c>
      <c r="H977" s="4" t="s">
        <v>19</v>
      </c>
      <c r="I977" s="4" t="s">
        <v>57</v>
      </c>
      <c r="J977" s="4" t="s">
        <v>28</v>
      </c>
      <c r="K977" s="4">
        <v>121748</v>
      </c>
      <c r="L977" s="4" t="s">
        <v>33</v>
      </c>
      <c r="M977" s="4">
        <v>0.11</v>
      </c>
      <c r="N977" s="4">
        <v>0.6</v>
      </c>
      <c r="O977" s="4">
        <v>36208.5</v>
      </c>
      <c r="P977" s="4">
        <v>0</v>
      </c>
      <c r="Q977" s="6">
        <f t="shared" si="182"/>
        <v>1118.3521069437388</v>
      </c>
      <c r="R977" s="6">
        <f t="shared" si="175"/>
        <v>9960.6758499745993</v>
      </c>
      <c r="S977" s="4">
        <f t="shared" si="176"/>
        <v>50500</v>
      </c>
      <c r="T977" s="4">
        <f t="shared" si="177"/>
        <v>10145.666666666666</v>
      </c>
      <c r="U977" s="4">
        <f t="shared" si="178"/>
        <v>1116.0233333333333</v>
      </c>
      <c r="V977" s="4">
        <f t="shared" ca="1" si="179"/>
        <v>43</v>
      </c>
      <c r="W977" s="20">
        <f t="shared" ca="1" si="183"/>
        <v>48089.140598580772</v>
      </c>
      <c r="X977" s="4">
        <f t="shared" si="180"/>
        <v>5908.5</v>
      </c>
      <c r="Y977" s="13">
        <f t="shared" si="181"/>
        <v>0.19500000000000001</v>
      </c>
    </row>
    <row r="978" spans="1:25" x14ac:dyDescent="0.3">
      <c r="A978" s="12" t="s">
        <v>1998</v>
      </c>
      <c r="B978" s="7">
        <v>44910</v>
      </c>
      <c r="C978" s="4" t="s">
        <v>1999</v>
      </c>
      <c r="D978" s="4" t="s">
        <v>40</v>
      </c>
      <c r="E978" s="4">
        <v>25345</v>
      </c>
      <c r="F978" s="4">
        <v>15.8</v>
      </c>
      <c r="G978" s="4">
        <v>36</v>
      </c>
      <c r="H978" s="4" t="s">
        <v>81</v>
      </c>
      <c r="I978" s="4" t="s">
        <v>20</v>
      </c>
      <c r="J978" s="4" t="s">
        <v>37</v>
      </c>
      <c r="K978" s="4">
        <v>105886</v>
      </c>
      <c r="L978" s="4" t="s">
        <v>22</v>
      </c>
      <c r="M978" s="4">
        <v>0.4</v>
      </c>
      <c r="N978" s="4">
        <v>0.85</v>
      </c>
      <c r="O978" s="4">
        <v>6434.2</v>
      </c>
      <c r="P978" s="4">
        <v>4640.18</v>
      </c>
      <c r="Q978" s="6">
        <f t="shared" si="182"/>
        <v>888.55444893155459</v>
      </c>
      <c r="R978" s="6">
        <f t="shared" si="175"/>
        <v>6642.9601615359643</v>
      </c>
      <c r="S978" s="4">
        <f t="shared" si="176"/>
        <v>29817.647058823532</v>
      </c>
      <c r="T978" s="4">
        <f t="shared" si="177"/>
        <v>8823.8333333333339</v>
      </c>
      <c r="U978" s="4">
        <f t="shared" si="178"/>
        <v>3529.5333333333338</v>
      </c>
      <c r="V978" s="4">
        <f t="shared" ca="1" si="179"/>
        <v>39</v>
      </c>
      <c r="W978" s="20">
        <v>0</v>
      </c>
      <c r="X978" s="4">
        <f t="shared" si="180"/>
        <v>-14270.619999999999</v>
      </c>
      <c r="Y978" s="13">
        <f t="shared" si="181"/>
        <v>-0.56305464588676268</v>
      </c>
    </row>
    <row r="979" spans="1:25" x14ac:dyDescent="0.3">
      <c r="A979" s="12" t="s">
        <v>2000</v>
      </c>
      <c r="B979" s="7">
        <v>44828</v>
      </c>
      <c r="C979" s="4" t="s">
        <v>2001</v>
      </c>
      <c r="D979" s="4" t="s">
        <v>65</v>
      </c>
      <c r="E979" s="4">
        <v>11749</v>
      </c>
      <c r="F979" s="4">
        <v>6.2</v>
      </c>
      <c r="G979" s="4">
        <v>60</v>
      </c>
      <c r="H979" s="4" t="s">
        <v>19</v>
      </c>
      <c r="I979" s="4" t="s">
        <v>27</v>
      </c>
      <c r="J979" s="4" t="s">
        <v>37</v>
      </c>
      <c r="K979" s="4">
        <v>48816</v>
      </c>
      <c r="L979" s="4" t="s">
        <v>29</v>
      </c>
      <c r="M979" s="4">
        <v>0.12</v>
      </c>
      <c r="N979" s="4">
        <v>0.59</v>
      </c>
      <c r="O979" s="4">
        <v>12477.44</v>
      </c>
      <c r="P979" s="4">
        <v>0</v>
      </c>
      <c r="Q979" s="6">
        <f t="shared" si="182"/>
        <v>228.23531651877894</v>
      </c>
      <c r="R979" s="6">
        <f t="shared" si="175"/>
        <v>1945.1189911267375</v>
      </c>
      <c r="S979" s="4">
        <f t="shared" si="176"/>
        <v>19913.5593220339</v>
      </c>
      <c r="T979" s="4">
        <f t="shared" si="177"/>
        <v>4068</v>
      </c>
      <c r="U979" s="4">
        <f t="shared" si="178"/>
        <v>488.15999999999997</v>
      </c>
      <c r="V979" s="4">
        <f t="shared" ca="1" si="179"/>
        <v>41</v>
      </c>
      <c r="W979" s="20">
        <f ca="1">V979*Q979</f>
        <v>9357.6479772699367</v>
      </c>
      <c r="X979" s="4">
        <f t="shared" si="180"/>
        <v>728.44000000000051</v>
      </c>
      <c r="Y979" s="13">
        <f t="shared" si="181"/>
        <v>6.2000170227253425E-2</v>
      </c>
    </row>
    <row r="980" spans="1:25" x14ac:dyDescent="0.3">
      <c r="A980" s="12" t="s">
        <v>2002</v>
      </c>
      <c r="B980" s="7">
        <v>44255</v>
      </c>
      <c r="C980" s="4" t="s">
        <v>2003</v>
      </c>
      <c r="D980" s="4" t="s">
        <v>53</v>
      </c>
      <c r="E980" s="4">
        <v>39595</v>
      </c>
      <c r="F980" s="4">
        <v>18.8</v>
      </c>
      <c r="G980" s="4">
        <v>60</v>
      </c>
      <c r="H980" s="4" t="s">
        <v>81</v>
      </c>
      <c r="I980" s="4" t="s">
        <v>73</v>
      </c>
      <c r="J980" s="4" t="s">
        <v>37</v>
      </c>
      <c r="K980" s="4">
        <v>115824</v>
      </c>
      <c r="L980" s="4" t="s">
        <v>22</v>
      </c>
      <c r="M980" s="4">
        <v>0.45</v>
      </c>
      <c r="N980" s="4">
        <v>0.62</v>
      </c>
      <c r="O980" s="4">
        <v>12429.24</v>
      </c>
      <c r="P980" s="4">
        <v>11066.94</v>
      </c>
      <c r="Q980" s="6">
        <f t="shared" si="182"/>
        <v>1022.7637012778611</v>
      </c>
      <c r="R980" s="6">
        <f t="shared" si="175"/>
        <v>21770.822076671662</v>
      </c>
      <c r="S980" s="4">
        <f t="shared" si="176"/>
        <v>63862.903225806454</v>
      </c>
      <c r="T980" s="4">
        <f t="shared" si="177"/>
        <v>9652</v>
      </c>
      <c r="U980" s="4">
        <f t="shared" si="178"/>
        <v>4343.4000000000005</v>
      </c>
      <c r="V980" s="4">
        <f t="shared" ca="1" si="179"/>
        <v>60</v>
      </c>
      <c r="W980" s="20">
        <v>0</v>
      </c>
      <c r="X980" s="4">
        <f t="shared" si="180"/>
        <v>-16098.82</v>
      </c>
      <c r="Y980" s="13">
        <f t="shared" si="181"/>
        <v>-0.40658719535294857</v>
      </c>
    </row>
    <row r="981" spans="1:25" x14ac:dyDescent="0.3">
      <c r="A981" s="12" t="s">
        <v>2004</v>
      </c>
      <c r="B981" s="7">
        <v>44324</v>
      </c>
      <c r="C981" s="4" t="s">
        <v>2005</v>
      </c>
      <c r="D981" s="4" t="s">
        <v>65</v>
      </c>
      <c r="E981" s="4">
        <v>26121</v>
      </c>
      <c r="F981" s="4">
        <v>18.8</v>
      </c>
      <c r="G981" s="4">
        <v>60</v>
      </c>
      <c r="H981" s="4" t="s">
        <v>315</v>
      </c>
      <c r="I981" s="4" t="s">
        <v>27</v>
      </c>
      <c r="J981" s="4" t="s">
        <v>32</v>
      </c>
      <c r="K981" s="4">
        <v>59432</v>
      </c>
      <c r="L981" s="4" t="s">
        <v>29</v>
      </c>
      <c r="M981" s="4">
        <v>0.15</v>
      </c>
      <c r="N981" s="4">
        <v>0.54</v>
      </c>
      <c r="O981" s="4">
        <v>0</v>
      </c>
      <c r="P981" s="4">
        <v>0</v>
      </c>
      <c r="Q981" s="6">
        <f t="shared" si="182"/>
        <v>674.72182450003811</v>
      </c>
      <c r="R981" s="6">
        <f t="shared" si="175"/>
        <v>14362.309470002285</v>
      </c>
      <c r="S981" s="4">
        <f t="shared" si="176"/>
        <v>48372.222222222219</v>
      </c>
      <c r="T981" s="4">
        <f t="shared" si="177"/>
        <v>4952.666666666667</v>
      </c>
      <c r="U981" s="4">
        <f t="shared" si="178"/>
        <v>742.9</v>
      </c>
      <c r="V981" s="4">
        <f t="shared" ca="1" si="179"/>
        <v>58</v>
      </c>
      <c r="W981" s="20">
        <f ca="1">V981*Q981</f>
        <v>39133.865821002211</v>
      </c>
      <c r="X981" s="4">
        <f t="shared" si="180"/>
        <v>-26121</v>
      </c>
      <c r="Y981" s="13">
        <f t="shared" si="181"/>
        <v>-1</v>
      </c>
    </row>
    <row r="982" spans="1:25" x14ac:dyDescent="0.3">
      <c r="A982" s="12" t="s">
        <v>2006</v>
      </c>
      <c r="B982" s="7">
        <v>44932</v>
      </c>
      <c r="C982" s="4" t="s">
        <v>2007</v>
      </c>
      <c r="D982" s="4" t="s">
        <v>56</v>
      </c>
      <c r="E982" s="4">
        <v>38487</v>
      </c>
      <c r="F982" s="4">
        <v>23.6</v>
      </c>
      <c r="G982" s="4">
        <v>60</v>
      </c>
      <c r="H982" s="4" t="s">
        <v>81</v>
      </c>
      <c r="I982" s="4" t="s">
        <v>20</v>
      </c>
      <c r="J982" s="4" t="s">
        <v>28</v>
      </c>
      <c r="K982" s="4">
        <v>139758</v>
      </c>
      <c r="L982" s="4" t="s">
        <v>33</v>
      </c>
      <c r="M982" s="4">
        <v>0.17</v>
      </c>
      <c r="N982" s="4">
        <v>0.68</v>
      </c>
      <c r="O982" s="4">
        <v>7006.59</v>
      </c>
      <c r="P982" s="4">
        <v>17357.919999999998</v>
      </c>
      <c r="Q982" s="6">
        <f t="shared" si="182"/>
        <v>1098.275049234172</v>
      </c>
      <c r="R982" s="6">
        <f t="shared" si="175"/>
        <v>27409.502954050316</v>
      </c>
      <c r="S982" s="4">
        <f t="shared" si="176"/>
        <v>56598.529411764699</v>
      </c>
      <c r="T982" s="4">
        <f t="shared" si="177"/>
        <v>11646.5</v>
      </c>
      <c r="U982" s="4">
        <f t="shared" si="178"/>
        <v>1979.9050000000002</v>
      </c>
      <c r="V982" s="4">
        <f t="shared" ca="1" si="179"/>
        <v>38</v>
      </c>
      <c r="W982" s="20">
        <v>0</v>
      </c>
      <c r="X982" s="4">
        <f t="shared" si="180"/>
        <v>-14122.490000000002</v>
      </c>
      <c r="Y982" s="13">
        <f t="shared" si="181"/>
        <v>-0.366941824512173</v>
      </c>
    </row>
    <row r="983" spans="1:25" x14ac:dyDescent="0.3">
      <c r="A983" s="12" t="s">
        <v>2008</v>
      </c>
      <c r="B983" s="7">
        <v>44917</v>
      </c>
      <c r="C983" s="4" t="s">
        <v>2009</v>
      </c>
      <c r="D983" s="4" t="s">
        <v>50</v>
      </c>
      <c r="E983" s="4">
        <v>29411</v>
      </c>
      <c r="F983" s="4">
        <v>14.9</v>
      </c>
      <c r="G983" s="4">
        <v>36</v>
      </c>
      <c r="H983" s="4" t="s">
        <v>26</v>
      </c>
      <c r="I983" s="4" t="s">
        <v>36</v>
      </c>
      <c r="J983" s="4" t="s">
        <v>37</v>
      </c>
      <c r="K983" s="4">
        <v>78617</v>
      </c>
      <c r="L983" s="4" t="s">
        <v>22</v>
      </c>
      <c r="M983" s="4">
        <v>0.28999999999999998</v>
      </c>
      <c r="N983" s="4">
        <v>0.69</v>
      </c>
      <c r="O983" s="4">
        <v>3079.75</v>
      </c>
      <c r="P983" s="4">
        <v>0</v>
      </c>
      <c r="Q983" s="6">
        <f t="shared" si="182"/>
        <v>1018.1022966933933</v>
      </c>
      <c r="R983" s="6">
        <f t="shared" si="175"/>
        <v>7240.6826809621562</v>
      </c>
      <c r="S983" s="4">
        <f t="shared" si="176"/>
        <v>42624.637681159424</v>
      </c>
      <c r="T983" s="4">
        <f t="shared" si="177"/>
        <v>6551.416666666667</v>
      </c>
      <c r="U983" s="4">
        <f t="shared" si="178"/>
        <v>1899.9108333333334</v>
      </c>
      <c r="V983" s="4">
        <f t="shared" ca="1" si="179"/>
        <v>38</v>
      </c>
      <c r="W983" s="20">
        <f t="shared" ref="W983:W990" ca="1" si="184">V983*Q983</f>
        <v>38687.887274348948</v>
      </c>
      <c r="X983" s="4">
        <f t="shared" si="180"/>
        <v>-26331.25</v>
      </c>
      <c r="Y983" s="13">
        <f t="shared" si="181"/>
        <v>-0.8952857774302132</v>
      </c>
    </row>
    <row r="984" spans="1:25" x14ac:dyDescent="0.3">
      <c r="A984" s="12" t="s">
        <v>2010</v>
      </c>
      <c r="B984" s="7">
        <v>44722</v>
      </c>
      <c r="C984" s="4" t="s">
        <v>2011</v>
      </c>
      <c r="D984" s="4" t="s">
        <v>18</v>
      </c>
      <c r="E984" s="4">
        <v>34361</v>
      </c>
      <c r="F984" s="4">
        <v>9.6</v>
      </c>
      <c r="G984" s="4">
        <v>60</v>
      </c>
      <c r="H984" s="4" t="s">
        <v>19</v>
      </c>
      <c r="I984" s="4" t="s">
        <v>20</v>
      </c>
      <c r="J984" s="4" t="s">
        <v>37</v>
      </c>
      <c r="K984" s="4">
        <v>102373</v>
      </c>
      <c r="L984" s="4" t="s">
        <v>29</v>
      </c>
      <c r="M984" s="4">
        <v>0.4</v>
      </c>
      <c r="N984" s="4">
        <v>0.73</v>
      </c>
      <c r="O984" s="4">
        <v>37659.660000000003</v>
      </c>
      <c r="P984" s="4">
        <v>0</v>
      </c>
      <c r="Q984" s="6">
        <f t="shared" si="182"/>
        <v>723.32530055273025</v>
      </c>
      <c r="R984" s="6">
        <f t="shared" si="175"/>
        <v>9038.5180331638185</v>
      </c>
      <c r="S984" s="4">
        <f t="shared" si="176"/>
        <v>47069.863013698632</v>
      </c>
      <c r="T984" s="4">
        <f t="shared" si="177"/>
        <v>8531.0833333333339</v>
      </c>
      <c r="U984" s="4">
        <f t="shared" si="178"/>
        <v>3412.4333333333338</v>
      </c>
      <c r="V984" s="4">
        <f t="shared" ca="1" si="179"/>
        <v>45</v>
      </c>
      <c r="W984" s="20">
        <f t="shared" ca="1" si="184"/>
        <v>32549.638524872862</v>
      </c>
      <c r="X984" s="4">
        <f t="shared" si="180"/>
        <v>3298.6600000000035</v>
      </c>
      <c r="Y984" s="13">
        <f t="shared" si="181"/>
        <v>9.6000116411047512E-2</v>
      </c>
    </row>
    <row r="985" spans="1:25" x14ac:dyDescent="0.3">
      <c r="A985" s="12" t="s">
        <v>2012</v>
      </c>
      <c r="B985" s="7">
        <v>44717</v>
      </c>
      <c r="C985" s="4" t="s">
        <v>2013</v>
      </c>
      <c r="D985" s="4" t="s">
        <v>72</v>
      </c>
      <c r="E985" s="4">
        <v>22223</v>
      </c>
      <c r="F985" s="4">
        <v>5.9</v>
      </c>
      <c r="G985" s="4">
        <v>60</v>
      </c>
      <c r="H985" s="4" t="s">
        <v>19</v>
      </c>
      <c r="I985" s="4" t="s">
        <v>57</v>
      </c>
      <c r="J985" s="4" t="s">
        <v>28</v>
      </c>
      <c r="K985" s="4">
        <v>64217</v>
      </c>
      <c r="L985" s="4" t="s">
        <v>33</v>
      </c>
      <c r="M985" s="4">
        <v>0.16</v>
      </c>
      <c r="N985" s="4">
        <v>0.82</v>
      </c>
      <c r="O985" s="4">
        <v>23534.16</v>
      </c>
      <c r="P985" s="4">
        <v>0</v>
      </c>
      <c r="Q985" s="6">
        <f t="shared" si="182"/>
        <v>428.60026618466151</v>
      </c>
      <c r="R985" s="6">
        <f t="shared" si="175"/>
        <v>3493.0159710796906</v>
      </c>
      <c r="S985" s="4">
        <f t="shared" si="176"/>
        <v>27101.219512195123</v>
      </c>
      <c r="T985" s="4">
        <f t="shared" si="177"/>
        <v>5351.416666666667</v>
      </c>
      <c r="U985" s="4">
        <f t="shared" si="178"/>
        <v>856.22666666666669</v>
      </c>
      <c r="V985" s="4">
        <f t="shared" ca="1" si="179"/>
        <v>45</v>
      </c>
      <c r="W985" s="20">
        <f t="shared" ca="1" si="184"/>
        <v>19287.011978309769</v>
      </c>
      <c r="X985" s="4">
        <f t="shared" si="180"/>
        <v>1311.1599999999999</v>
      </c>
      <c r="Y985" s="13">
        <f t="shared" si="181"/>
        <v>5.9000134995275157E-2</v>
      </c>
    </row>
    <row r="986" spans="1:25" x14ac:dyDescent="0.3">
      <c r="A986" s="12" t="s">
        <v>2014</v>
      </c>
      <c r="B986" s="7">
        <v>44748</v>
      </c>
      <c r="C986" s="4" t="s">
        <v>2015</v>
      </c>
      <c r="D986" s="4" t="s">
        <v>50</v>
      </c>
      <c r="E986" s="4">
        <v>8394</v>
      </c>
      <c r="F986" s="4">
        <v>13.3</v>
      </c>
      <c r="G986" s="4">
        <v>36</v>
      </c>
      <c r="H986" s="4" t="s">
        <v>26</v>
      </c>
      <c r="I986" s="4" t="s">
        <v>57</v>
      </c>
      <c r="J986" s="4" t="s">
        <v>47</v>
      </c>
      <c r="K986" s="4">
        <v>50884</v>
      </c>
      <c r="L986" s="4" t="s">
        <v>29</v>
      </c>
      <c r="M986" s="4">
        <v>0.28000000000000003</v>
      </c>
      <c r="N986" s="4">
        <v>0.91</v>
      </c>
      <c r="O986" s="4">
        <v>2520.1</v>
      </c>
      <c r="P986" s="4">
        <v>0</v>
      </c>
      <c r="Q986" s="6">
        <f t="shared" si="182"/>
        <v>284.04147907450289</v>
      </c>
      <c r="R986" s="6">
        <f t="shared" si="175"/>
        <v>1831.4932466821047</v>
      </c>
      <c r="S986" s="4">
        <f t="shared" si="176"/>
        <v>9224.1758241758234</v>
      </c>
      <c r="T986" s="4">
        <f t="shared" si="177"/>
        <v>4240.333333333333</v>
      </c>
      <c r="U986" s="4">
        <f t="shared" si="178"/>
        <v>1187.2933333333333</v>
      </c>
      <c r="V986" s="4">
        <f t="shared" ca="1" si="179"/>
        <v>44</v>
      </c>
      <c r="W986" s="20">
        <f t="shared" ca="1" si="184"/>
        <v>12497.825079278127</v>
      </c>
      <c r="X986" s="4">
        <f t="shared" si="180"/>
        <v>-5873.9</v>
      </c>
      <c r="Y986" s="13">
        <f t="shared" si="181"/>
        <v>-0.69977364784369789</v>
      </c>
    </row>
    <row r="987" spans="1:25" x14ac:dyDescent="0.3">
      <c r="A987" s="12" t="s">
        <v>2016</v>
      </c>
      <c r="B987" s="7">
        <v>44433</v>
      </c>
      <c r="C987" s="4" t="s">
        <v>2017</v>
      </c>
      <c r="D987" s="4" t="s">
        <v>50</v>
      </c>
      <c r="E987" s="4">
        <v>15056</v>
      </c>
      <c r="F987" s="4">
        <v>11</v>
      </c>
      <c r="G987" s="4">
        <v>60</v>
      </c>
      <c r="H987" s="4" t="s">
        <v>19</v>
      </c>
      <c r="I987" s="4" t="s">
        <v>20</v>
      </c>
      <c r="J987" s="4" t="s">
        <v>37</v>
      </c>
      <c r="K987" s="4">
        <v>35454</v>
      </c>
      <c r="L987" s="4" t="s">
        <v>22</v>
      </c>
      <c r="M987" s="4">
        <v>0.28999999999999998</v>
      </c>
      <c r="N987" s="4">
        <v>0.56000000000000005</v>
      </c>
      <c r="O987" s="4">
        <v>16712.16</v>
      </c>
      <c r="P987" s="4">
        <v>0</v>
      </c>
      <c r="Q987" s="6">
        <f t="shared" si="182"/>
        <v>327.35392178171764</v>
      </c>
      <c r="R987" s="6">
        <f t="shared" si="175"/>
        <v>4585.2353069030578</v>
      </c>
      <c r="S987" s="4">
        <f t="shared" si="176"/>
        <v>26885.714285714283</v>
      </c>
      <c r="T987" s="4">
        <f t="shared" si="177"/>
        <v>2954.5</v>
      </c>
      <c r="U987" s="4">
        <f t="shared" si="178"/>
        <v>856.80499999999995</v>
      </c>
      <c r="V987" s="4">
        <f t="shared" ca="1" si="179"/>
        <v>54</v>
      </c>
      <c r="W987" s="20">
        <f t="shared" ca="1" si="184"/>
        <v>17677.111776212754</v>
      </c>
      <c r="X987" s="4">
        <f t="shared" si="180"/>
        <v>1656.1599999999999</v>
      </c>
      <c r="Y987" s="13">
        <f t="shared" si="181"/>
        <v>0.10999999999999999</v>
      </c>
    </row>
    <row r="988" spans="1:25" x14ac:dyDescent="0.3">
      <c r="A988" s="12" t="s">
        <v>2018</v>
      </c>
      <c r="B988" s="7">
        <v>44690</v>
      </c>
      <c r="C988" s="4" t="s">
        <v>2019</v>
      </c>
      <c r="D988" s="4" t="s">
        <v>76</v>
      </c>
      <c r="E988" s="4">
        <v>29380</v>
      </c>
      <c r="F988" s="4">
        <v>20.2</v>
      </c>
      <c r="G988" s="4">
        <v>60</v>
      </c>
      <c r="H988" s="4" t="s">
        <v>19</v>
      </c>
      <c r="I988" s="4" t="s">
        <v>73</v>
      </c>
      <c r="J988" s="4" t="s">
        <v>47</v>
      </c>
      <c r="K988" s="4">
        <v>104960</v>
      </c>
      <c r="L988" s="4" t="s">
        <v>22</v>
      </c>
      <c r="M988" s="4">
        <v>0.18</v>
      </c>
      <c r="N988" s="4">
        <v>0.52</v>
      </c>
      <c r="O988" s="4">
        <v>35314.76</v>
      </c>
      <c r="P988" s="4">
        <v>0</v>
      </c>
      <c r="Q988" s="6">
        <f t="shared" si="182"/>
        <v>781.66340783439921</v>
      </c>
      <c r="R988" s="6">
        <f t="shared" si="175"/>
        <v>17519.804470063951</v>
      </c>
      <c r="S988" s="4">
        <f t="shared" si="176"/>
        <v>56500</v>
      </c>
      <c r="T988" s="4">
        <f t="shared" si="177"/>
        <v>8746.6666666666661</v>
      </c>
      <c r="U988" s="4">
        <f t="shared" si="178"/>
        <v>1574.3999999999999</v>
      </c>
      <c r="V988" s="4">
        <f t="shared" ca="1" si="179"/>
        <v>46</v>
      </c>
      <c r="W988" s="20">
        <f t="shared" ca="1" si="184"/>
        <v>35956.516760382365</v>
      </c>
      <c r="X988" s="4">
        <f t="shared" si="180"/>
        <v>5934.760000000002</v>
      </c>
      <c r="Y988" s="13">
        <f t="shared" si="181"/>
        <v>0.20200000000000007</v>
      </c>
    </row>
    <row r="989" spans="1:25" x14ac:dyDescent="0.3">
      <c r="A989" s="12" t="s">
        <v>2020</v>
      </c>
      <c r="B989" s="7">
        <v>44200</v>
      </c>
      <c r="C989" s="4" t="s">
        <v>2021</v>
      </c>
      <c r="D989" s="4" t="s">
        <v>46</v>
      </c>
      <c r="E989" s="4">
        <v>27035</v>
      </c>
      <c r="F989" s="4">
        <v>12.1</v>
      </c>
      <c r="G989" s="4">
        <v>36</v>
      </c>
      <c r="H989" s="4" t="s">
        <v>26</v>
      </c>
      <c r="I989" s="4" t="s">
        <v>27</v>
      </c>
      <c r="J989" s="4" t="s">
        <v>37</v>
      </c>
      <c r="K989" s="4">
        <v>132421</v>
      </c>
      <c r="L989" s="4" t="s">
        <v>22</v>
      </c>
      <c r="M989" s="4">
        <v>0.15</v>
      </c>
      <c r="N989" s="4">
        <v>0.51</v>
      </c>
      <c r="O989" s="4">
        <v>5329.68</v>
      </c>
      <c r="P989" s="4">
        <v>0</v>
      </c>
      <c r="Q989" s="6">
        <f t="shared" si="182"/>
        <v>899.24065801504844</v>
      </c>
      <c r="R989" s="6">
        <f t="shared" si="175"/>
        <v>5337.6636885417429</v>
      </c>
      <c r="S989" s="4">
        <f t="shared" si="176"/>
        <v>53009.803921568629</v>
      </c>
      <c r="T989" s="4">
        <f t="shared" si="177"/>
        <v>11035.083333333334</v>
      </c>
      <c r="U989" s="4">
        <f t="shared" si="178"/>
        <v>1655.2625</v>
      </c>
      <c r="V989" s="4">
        <f t="shared" ca="1" si="179"/>
        <v>62</v>
      </c>
      <c r="W989" s="20">
        <f t="shared" ca="1" si="184"/>
        <v>55752.920796933002</v>
      </c>
      <c r="X989" s="4">
        <f t="shared" si="180"/>
        <v>-21705.32</v>
      </c>
      <c r="Y989" s="13">
        <f t="shared" si="181"/>
        <v>-0.80285999630109117</v>
      </c>
    </row>
    <row r="990" spans="1:25" x14ac:dyDescent="0.3">
      <c r="A990" s="12" t="s">
        <v>2022</v>
      </c>
      <c r="B990" s="7">
        <v>44862</v>
      </c>
      <c r="C990" s="4" t="s">
        <v>2023</v>
      </c>
      <c r="D990" s="4" t="s">
        <v>46</v>
      </c>
      <c r="E990" s="4">
        <v>31620</v>
      </c>
      <c r="F990" s="4">
        <v>24</v>
      </c>
      <c r="G990" s="4">
        <v>36</v>
      </c>
      <c r="H990" s="4" t="s">
        <v>19</v>
      </c>
      <c r="I990" s="4" t="s">
        <v>84</v>
      </c>
      <c r="J990" s="4" t="s">
        <v>21</v>
      </c>
      <c r="K990" s="4">
        <v>137173</v>
      </c>
      <c r="L990" s="4" t="s">
        <v>22</v>
      </c>
      <c r="M990" s="4">
        <v>0.43</v>
      </c>
      <c r="N990" s="4">
        <v>0.56000000000000005</v>
      </c>
      <c r="O990" s="4">
        <v>39208.800000000003</v>
      </c>
      <c r="P990" s="4">
        <v>0</v>
      </c>
      <c r="Q990" s="6">
        <f t="shared" si="182"/>
        <v>1240.5427991423776</v>
      </c>
      <c r="R990" s="6">
        <f t="shared" si="175"/>
        <v>13039.540769125597</v>
      </c>
      <c r="S990" s="4">
        <f t="shared" si="176"/>
        <v>56464.28571428571</v>
      </c>
      <c r="T990" s="4">
        <f t="shared" si="177"/>
        <v>11431.083333333334</v>
      </c>
      <c r="U990" s="4">
        <f t="shared" si="178"/>
        <v>4915.3658333333333</v>
      </c>
      <c r="V990" s="4">
        <f t="shared" ca="1" si="179"/>
        <v>40</v>
      </c>
      <c r="W990" s="20">
        <f t="shared" ca="1" si="184"/>
        <v>49621.711965695104</v>
      </c>
      <c r="X990" s="4">
        <f t="shared" si="180"/>
        <v>7588.8000000000029</v>
      </c>
      <c r="Y990" s="13">
        <f t="shared" si="181"/>
        <v>0.2400000000000001</v>
      </c>
    </row>
    <row r="991" spans="1:25" x14ac:dyDescent="0.3">
      <c r="A991" s="12" t="s">
        <v>2024</v>
      </c>
      <c r="B991" s="7">
        <v>44638</v>
      </c>
      <c r="C991" s="4" t="s">
        <v>2025</v>
      </c>
      <c r="D991" s="4" t="s">
        <v>25</v>
      </c>
      <c r="E991" s="4">
        <v>20877</v>
      </c>
      <c r="F991" s="4">
        <v>24.2</v>
      </c>
      <c r="G991" s="4">
        <v>36</v>
      </c>
      <c r="H991" s="4" t="s">
        <v>81</v>
      </c>
      <c r="I991" s="4" t="s">
        <v>84</v>
      </c>
      <c r="J991" s="4" t="s">
        <v>32</v>
      </c>
      <c r="K991" s="4">
        <v>73618</v>
      </c>
      <c r="L991" s="4" t="s">
        <v>33</v>
      </c>
      <c r="M991" s="4">
        <v>0.3</v>
      </c>
      <c r="N991" s="4">
        <v>0.8</v>
      </c>
      <c r="O991" s="4">
        <v>4859.07</v>
      </c>
      <c r="P991" s="4">
        <v>9308.75</v>
      </c>
      <c r="Q991" s="6">
        <f t="shared" si="182"/>
        <v>821.25818464566498</v>
      </c>
      <c r="R991" s="6">
        <f t="shared" si="175"/>
        <v>8688.2946472439398</v>
      </c>
      <c r="S991" s="4">
        <f t="shared" si="176"/>
        <v>26096.25</v>
      </c>
      <c r="T991" s="4">
        <f t="shared" si="177"/>
        <v>6134.833333333333</v>
      </c>
      <c r="U991" s="4">
        <f t="shared" si="178"/>
        <v>1840.4499999999998</v>
      </c>
      <c r="V991" s="4">
        <f t="shared" ca="1" si="179"/>
        <v>48</v>
      </c>
      <c r="W991" s="20">
        <v>0</v>
      </c>
      <c r="X991" s="4">
        <f t="shared" si="180"/>
        <v>-6709.18</v>
      </c>
      <c r="Y991" s="13">
        <f t="shared" si="181"/>
        <v>-0.32136705465344639</v>
      </c>
    </row>
    <row r="992" spans="1:25" x14ac:dyDescent="0.3">
      <c r="A992" s="12" t="s">
        <v>2026</v>
      </c>
      <c r="B992" s="7">
        <v>44225</v>
      </c>
      <c r="C992" s="4" t="s">
        <v>2027</v>
      </c>
      <c r="D992" s="4" t="s">
        <v>72</v>
      </c>
      <c r="E992" s="4">
        <v>31911</v>
      </c>
      <c r="F992" s="4">
        <v>17.399999999999999</v>
      </c>
      <c r="G992" s="4">
        <v>60</v>
      </c>
      <c r="H992" s="4" t="s">
        <v>26</v>
      </c>
      <c r="I992" s="4" t="s">
        <v>73</v>
      </c>
      <c r="J992" s="4" t="s">
        <v>37</v>
      </c>
      <c r="K992" s="4">
        <v>113948</v>
      </c>
      <c r="L992" s="4" t="s">
        <v>29</v>
      </c>
      <c r="M992" s="4">
        <v>0.11</v>
      </c>
      <c r="N992" s="4">
        <v>0.83</v>
      </c>
      <c r="O992" s="4">
        <v>10885.67</v>
      </c>
      <c r="P992" s="4">
        <v>0</v>
      </c>
      <c r="Q992" s="6">
        <f t="shared" si="182"/>
        <v>799.9500483998745</v>
      </c>
      <c r="R992" s="6">
        <f t="shared" si="175"/>
        <v>16086.00290399247</v>
      </c>
      <c r="S992" s="4">
        <f t="shared" si="176"/>
        <v>38446.987951807234</v>
      </c>
      <c r="T992" s="4">
        <f t="shared" si="177"/>
        <v>9495.6666666666661</v>
      </c>
      <c r="U992" s="4">
        <f t="shared" si="178"/>
        <v>1044.5233333333333</v>
      </c>
      <c r="V992" s="4">
        <f t="shared" ca="1" si="179"/>
        <v>61</v>
      </c>
      <c r="W992" s="20">
        <f ca="1">V992*Q992</f>
        <v>48796.952952392341</v>
      </c>
      <c r="X992" s="4">
        <f t="shared" si="180"/>
        <v>-21025.33</v>
      </c>
      <c r="Y992" s="13">
        <f t="shared" si="181"/>
        <v>-0.65887405596816151</v>
      </c>
    </row>
    <row r="993" spans="1:25" x14ac:dyDescent="0.3">
      <c r="A993" s="12" t="s">
        <v>2028</v>
      </c>
      <c r="B993" s="7">
        <v>44806</v>
      </c>
      <c r="C993" s="4" t="s">
        <v>2029</v>
      </c>
      <c r="D993" s="4" t="s">
        <v>53</v>
      </c>
      <c r="E993" s="4">
        <v>33784</v>
      </c>
      <c r="F993" s="4">
        <v>23.6</v>
      </c>
      <c r="G993" s="4">
        <v>60</v>
      </c>
      <c r="H993" s="4" t="s">
        <v>26</v>
      </c>
      <c r="I993" s="4" t="s">
        <v>27</v>
      </c>
      <c r="J993" s="4" t="s">
        <v>21</v>
      </c>
      <c r="K993" s="4">
        <v>92671</v>
      </c>
      <c r="L993" s="4" t="s">
        <v>33</v>
      </c>
      <c r="M993" s="4">
        <v>0.42</v>
      </c>
      <c r="N993" s="4">
        <v>0.85</v>
      </c>
      <c r="O993" s="4">
        <v>9201.2900000000009</v>
      </c>
      <c r="P993" s="4">
        <v>0</v>
      </c>
      <c r="Q993" s="6">
        <f t="shared" si="182"/>
        <v>964.06901715715082</v>
      </c>
      <c r="R993" s="6">
        <f t="shared" si="175"/>
        <v>24060.141029429047</v>
      </c>
      <c r="S993" s="4">
        <f t="shared" si="176"/>
        <v>39745.882352941175</v>
      </c>
      <c r="T993" s="4">
        <f t="shared" si="177"/>
        <v>7722.583333333333</v>
      </c>
      <c r="U993" s="4">
        <f t="shared" si="178"/>
        <v>3243.4849999999997</v>
      </c>
      <c r="V993" s="4">
        <f t="shared" ca="1" si="179"/>
        <v>42</v>
      </c>
      <c r="W993" s="20">
        <f ca="1">V993*Q993</f>
        <v>40490.898720600337</v>
      </c>
      <c r="X993" s="4">
        <f t="shared" si="180"/>
        <v>-24582.71</v>
      </c>
      <c r="Y993" s="13">
        <f t="shared" si="181"/>
        <v>-0.7276435590812218</v>
      </c>
    </row>
    <row r="994" spans="1:25" x14ac:dyDescent="0.3">
      <c r="A994" s="12" t="s">
        <v>2030</v>
      </c>
      <c r="B994" s="7">
        <v>45001</v>
      </c>
      <c r="C994" s="4" t="s">
        <v>2031</v>
      </c>
      <c r="D994" s="4" t="s">
        <v>18</v>
      </c>
      <c r="E994" s="4">
        <v>4191</v>
      </c>
      <c r="F994" s="4">
        <v>20.2</v>
      </c>
      <c r="G994" s="4">
        <v>36</v>
      </c>
      <c r="H994" s="4" t="s">
        <v>26</v>
      </c>
      <c r="I994" s="4" t="s">
        <v>20</v>
      </c>
      <c r="J994" s="4" t="s">
        <v>28</v>
      </c>
      <c r="K994" s="4">
        <v>77111</v>
      </c>
      <c r="L994" s="4" t="s">
        <v>22</v>
      </c>
      <c r="M994" s="4">
        <v>0.49</v>
      </c>
      <c r="N994" s="4">
        <v>0.61</v>
      </c>
      <c r="O994" s="4">
        <v>1379.36</v>
      </c>
      <c r="P994" s="4">
        <v>0</v>
      </c>
      <c r="Q994" s="6">
        <f t="shared" si="182"/>
        <v>156.17999170150728</v>
      </c>
      <c r="R994" s="6">
        <f t="shared" si="175"/>
        <v>1431.4797012542622</v>
      </c>
      <c r="S994" s="4">
        <f t="shared" si="176"/>
        <v>6870.4918032786891</v>
      </c>
      <c r="T994" s="4">
        <f t="shared" si="177"/>
        <v>6425.916666666667</v>
      </c>
      <c r="U994" s="4">
        <f t="shared" si="178"/>
        <v>3148.6991666666668</v>
      </c>
      <c r="V994" s="4">
        <f t="shared" ca="1" si="179"/>
        <v>36</v>
      </c>
      <c r="W994" s="20">
        <f ca="1">V994*Q994</f>
        <v>5622.4797012542622</v>
      </c>
      <c r="X994" s="4">
        <f t="shared" si="180"/>
        <v>-2811.6400000000003</v>
      </c>
      <c r="Y994" s="13">
        <f t="shared" si="181"/>
        <v>-0.67087568599379632</v>
      </c>
    </row>
    <row r="995" spans="1:25" x14ac:dyDescent="0.3">
      <c r="A995" s="12" t="s">
        <v>2032</v>
      </c>
      <c r="B995" s="7">
        <v>44271</v>
      </c>
      <c r="C995" s="4" t="s">
        <v>2033</v>
      </c>
      <c r="D995" s="4" t="s">
        <v>18</v>
      </c>
      <c r="E995" s="4">
        <v>34160</v>
      </c>
      <c r="F995" s="4">
        <v>15.9</v>
      </c>
      <c r="G995" s="4">
        <v>36</v>
      </c>
      <c r="H995" s="4" t="s">
        <v>81</v>
      </c>
      <c r="I995" s="4" t="s">
        <v>73</v>
      </c>
      <c r="J995" s="4" t="s">
        <v>21</v>
      </c>
      <c r="K995" s="4">
        <v>69613</v>
      </c>
      <c r="L995" s="4" t="s">
        <v>29</v>
      </c>
      <c r="M995" s="4">
        <v>0.34</v>
      </c>
      <c r="N995" s="4">
        <v>0.64</v>
      </c>
      <c r="O995" s="4">
        <v>8992.9599999999991</v>
      </c>
      <c r="P995" s="4">
        <v>10741.33</v>
      </c>
      <c r="Q995" s="6">
        <f t="shared" si="182"/>
        <v>1199.2784433899376</v>
      </c>
      <c r="R995" s="6">
        <f t="shared" si="175"/>
        <v>9014.0239620377542</v>
      </c>
      <c r="S995" s="4">
        <f t="shared" si="176"/>
        <v>53375</v>
      </c>
      <c r="T995" s="4">
        <f t="shared" si="177"/>
        <v>5801.083333333333</v>
      </c>
      <c r="U995" s="4">
        <f t="shared" si="178"/>
        <v>1972.3683333333333</v>
      </c>
      <c r="V995" s="4">
        <f t="shared" ca="1" si="179"/>
        <v>60</v>
      </c>
      <c r="W995" s="20">
        <v>0</v>
      </c>
      <c r="X995" s="4">
        <f t="shared" si="180"/>
        <v>-14425.71</v>
      </c>
      <c r="Y995" s="13">
        <f t="shared" si="181"/>
        <v>-0.42229830210772829</v>
      </c>
    </row>
    <row r="996" spans="1:25" x14ac:dyDescent="0.3">
      <c r="A996" s="12" t="s">
        <v>2034</v>
      </c>
      <c r="B996" s="7">
        <v>45034</v>
      </c>
      <c r="C996" s="4" t="s">
        <v>2035</v>
      </c>
      <c r="D996" s="4" t="s">
        <v>46</v>
      </c>
      <c r="E996" s="4">
        <v>26000</v>
      </c>
      <c r="F996" s="4">
        <v>8.6</v>
      </c>
      <c r="G996" s="4">
        <v>60</v>
      </c>
      <c r="H996" s="4" t="s">
        <v>26</v>
      </c>
      <c r="I996" s="4" t="s">
        <v>20</v>
      </c>
      <c r="J996" s="4" t="s">
        <v>28</v>
      </c>
      <c r="K996" s="4">
        <v>115678</v>
      </c>
      <c r="L996" s="4" t="s">
        <v>22</v>
      </c>
      <c r="M996" s="4">
        <v>0.3</v>
      </c>
      <c r="N996" s="4">
        <v>0.72</v>
      </c>
      <c r="O996" s="4">
        <v>9955.6200000000008</v>
      </c>
      <c r="P996" s="4">
        <v>0</v>
      </c>
      <c r="Q996" s="6">
        <f t="shared" si="182"/>
        <v>534.68379392914153</v>
      </c>
      <c r="R996" s="6">
        <f t="shared" si="175"/>
        <v>6081.0276357484909</v>
      </c>
      <c r="S996" s="4">
        <f t="shared" si="176"/>
        <v>36111.111111111109</v>
      </c>
      <c r="T996" s="4">
        <f t="shared" si="177"/>
        <v>9639.8333333333339</v>
      </c>
      <c r="U996" s="4">
        <f t="shared" si="178"/>
        <v>2891.9500000000003</v>
      </c>
      <c r="V996" s="4">
        <f t="shared" ca="1" si="179"/>
        <v>35</v>
      </c>
      <c r="W996" s="20">
        <f ca="1">V996*Q996</f>
        <v>18713.932787519952</v>
      </c>
      <c r="X996" s="4">
        <f t="shared" si="180"/>
        <v>-16044.38</v>
      </c>
      <c r="Y996" s="13">
        <f t="shared" si="181"/>
        <v>-0.61709153846153841</v>
      </c>
    </row>
    <row r="997" spans="1:25" x14ac:dyDescent="0.3">
      <c r="A997" s="12" t="s">
        <v>2036</v>
      </c>
      <c r="B997" s="7">
        <v>44324</v>
      </c>
      <c r="C997" s="4" t="s">
        <v>2037</v>
      </c>
      <c r="D997" s="4" t="s">
        <v>50</v>
      </c>
      <c r="E997" s="4">
        <v>4631</v>
      </c>
      <c r="F997" s="4">
        <v>14.2</v>
      </c>
      <c r="G997" s="4">
        <v>36</v>
      </c>
      <c r="H997" s="4" t="s">
        <v>26</v>
      </c>
      <c r="I997" s="4" t="s">
        <v>57</v>
      </c>
      <c r="J997" s="4" t="s">
        <v>37</v>
      </c>
      <c r="K997" s="4">
        <v>132928</v>
      </c>
      <c r="L997" s="4" t="s">
        <v>33</v>
      </c>
      <c r="M997" s="4">
        <v>0.45</v>
      </c>
      <c r="N997" s="4">
        <v>0.53</v>
      </c>
      <c r="O997" s="4">
        <v>1702.69</v>
      </c>
      <c r="P997" s="4">
        <v>0</v>
      </c>
      <c r="Q997" s="6">
        <f t="shared" si="182"/>
        <v>158.72682250264936</v>
      </c>
      <c r="R997" s="6">
        <f t="shared" si="175"/>
        <v>1083.1656100953769</v>
      </c>
      <c r="S997" s="4">
        <f t="shared" si="176"/>
        <v>8737.7358490566039</v>
      </c>
      <c r="T997" s="4">
        <f t="shared" si="177"/>
        <v>11077.333333333334</v>
      </c>
      <c r="U997" s="4">
        <f t="shared" si="178"/>
        <v>4984.8</v>
      </c>
      <c r="V997" s="4">
        <f t="shared" ca="1" si="179"/>
        <v>58</v>
      </c>
      <c r="W997" s="20">
        <f ca="1">V997*Q997</f>
        <v>9206.155705153662</v>
      </c>
      <c r="X997" s="4">
        <f t="shared" si="180"/>
        <v>-2928.31</v>
      </c>
      <c r="Y997" s="13">
        <f t="shared" si="181"/>
        <v>-0.63232779097387171</v>
      </c>
    </row>
    <row r="998" spans="1:25" x14ac:dyDescent="0.3">
      <c r="A998" s="12" t="s">
        <v>2038</v>
      </c>
      <c r="B998" s="7">
        <v>44238</v>
      </c>
      <c r="C998" s="4" t="s">
        <v>2039</v>
      </c>
      <c r="D998" s="4" t="s">
        <v>56</v>
      </c>
      <c r="E998" s="4">
        <v>7172</v>
      </c>
      <c r="F998" s="4">
        <v>16.2</v>
      </c>
      <c r="G998" s="4">
        <v>60</v>
      </c>
      <c r="H998" s="4" t="s">
        <v>19</v>
      </c>
      <c r="I998" s="4" t="s">
        <v>57</v>
      </c>
      <c r="J998" s="4" t="s">
        <v>28</v>
      </c>
      <c r="K998" s="4">
        <v>89993</v>
      </c>
      <c r="L998" s="4" t="s">
        <v>33</v>
      </c>
      <c r="M998" s="4">
        <v>0.48</v>
      </c>
      <c r="N998" s="4">
        <v>0.78</v>
      </c>
      <c r="O998" s="4">
        <v>8333.86</v>
      </c>
      <c r="P998" s="4">
        <v>0</v>
      </c>
      <c r="Q998" s="6">
        <f t="shared" si="182"/>
        <v>175.17216513887132</v>
      </c>
      <c r="R998" s="6">
        <f t="shared" si="175"/>
        <v>3338.32990833228</v>
      </c>
      <c r="S998" s="4">
        <f t="shared" si="176"/>
        <v>9194.8717948717949</v>
      </c>
      <c r="T998" s="4">
        <f t="shared" si="177"/>
        <v>7499.416666666667</v>
      </c>
      <c r="U998" s="4">
        <f t="shared" si="178"/>
        <v>3599.72</v>
      </c>
      <c r="V998" s="4">
        <f t="shared" ca="1" si="179"/>
        <v>61</v>
      </c>
      <c r="W998" s="20">
        <f ca="1">V998*Q998</f>
        <v>10685.502073471151</v>
      </c>
      <c r="X998" s="4">
        <f t="shared" si="180"/>
        <v>1161.8600000000006</v>
      </c>
      <c r="Y998" s="13">
        <f t="shared" si="181"/>
        <v>0.16199944227551596</v>
      </c>
    </row>
    <row r="999" spans="1:25" x14ac:dyDescent="0.3">
      <c r="A999" s="12" t="s">
        <v>2040</v>
      </c>
      <c r="B999" s="7">
        <v>44237</v>
      </c>
      <c r="C999" s="4" t="s">
        <v>2041</v>
      </c>
      <c r="D999" s="4" t="s">
        <v>25</v>
      </c>
      <c r="E999" s="4">
        <v>24561</v>
      </c>
      <c r="F999" s="4">
        <v>22.3</v>
      </c>
      <c r="G999" s="4">
        <v>36</v>
      </c>
      <c r="H999" s="4" t="s">
        <v>81</v>
      </c>
      <c r="I999" s="4" t="s">
        <v>57</v>
      </c>
      <c r="J999" s="4" t="s">
        <v>21</v>
      </c>
      <c r="K999" s="4">
        <v>38848</v>
      </c>
      <c r="L999" s="4" t="s">
        <v>33</v>
      </c>
      <c r="M999" s="4">
        <v>0.4</v>
      </c>
      <c r="N999" s="4">
        <v>0.94</v>
      </c>
      <c r="O999" s="4">
        <v>6392.17</v>
      </c>
      <c r="P999" s="4">
        <v>9431.07</v>
      </c>
      <c r="Q999" s="6">
        <f t="shared" si="182"/>
        <v>941.81185495741647</v>
      </c>
      <c r="R999" s="6">
        <f t="shared" si="175"/>
        <v>9344.2267784669966</v>
      </c>
      <c r="S999" s="4">
        <f t="shared" si="176"/>
        <v>26128.723404255321</v>
      </c>
      <c r="T999" s="4">
        <f t="shared" si="177"/>
        <v>3237.3333333333335</v>
      </c>
      <c r="U999" s="4">
        <f t="shared" si="178"/>
        <v>1294.9333333333334</v>
      </c>
      <c r="V999" s="4">
        <f t="shared" ca="1" si="179"/>
        <v>61</v>
      </c>
      <c r="W999" s="20">
        <v>0</v>
      </c>
      <c r="X999" s="4">
        <f t="shared" si="180"/>
        <v>-8737.76</v>
      </c>
      <c r="Y999" s="13">
        <f t="shared" si="181"/>
        <v>-0.35575750173038556</v>
      </c>
    </row>
    <row r="1000" spans="1:25" x14ac:dyDescent="0.3">
      <c r="A1000" s="12" t="s">
        <v>2042</v>
      </c>
      <c r="B1000" s="7">
        <v>45130</v>
      </c>
      <c r="C1000" s="4" t="s">
        <v>2043</v>
      </c>
      <c r="D1000" s="4" t="s">
        <v>65</v>
      </c>
      <c r="E1000" s="4">
        <v>25817</v>
      </c>
      <c r="F1000" s="4">
        <v>14.6</v>
      </c>
      <c r="G1000" s="4">
        <v>36</v>
      </c>
      <c r="H1000" s="4" t="s">
        <v>26</v>
      </c>
      <c r="I1000" s="4" t="s">
        <v>73</v>
      </c>
      <c r="J1000" s="4" t="s">
        <v>32</v>
      </c>
      <c r="K1000" s="4">
        <v>144853</v>
      </c>
      <c r="L1000" s="4" t="s">
        <v>29</v>
      </c>
      <c r="M1000" s="4">
        <v>0.28000000000000003</v>
      </c>
      <c r="N1000" s="4">
        <v>0.66</v>
      </c>
      <c r="O1000" s="4">
        <v>9178.11</v>
      </c>
      <c r="P1000" s="4">
        <v>0</v>
      </c>
      <c r="Q1000" s="6">
        <f t="shared" si="182"/>
        <v>889.90598614955047</v>
      </c>
      <c r="R1000" s="6">
        <f t="shared" si="175"/>
        <v>6219.6155013838179</v>
      </c>
      <c r="S1000" s="4">
        <f t="shared" si="176"/>
        <v>39116.666666666664</v>
      </c>
      <c r="T1000" s="4">
        <f t="shared" si="177"/>
        <v>12071.083333333334</v>
      </c>
      <c r="U1000" s="4">
        <f t="shared" si="178"/>
        <v>3379.9033333333336</v>
      </c>
      <c r="V1000" s="4">
        <f t="shared" ca="1" si="179"/>
        <v>31</v>
      </c>
      <c r="W1000" s="20">
        <f ca="1">V1000*Q1000</f>
        <v>27587.085570636063</v>
      </c>
      <c r="X1000" s="4">
        <f t="shared" si="180"/>
        <v>-16638.89</v>
      </c>
      <c r="Y1000" s="13">
        <f t="shared" si="181"/>
        <v>-0.64449355076112635</v>
      </c>
    </row>
    <row r="1001" spans="1:25" ht="15" thickBot="1" x14ac:dyDescent="0.35">
      <c r="A1001" s="14" t="s">
        <v>2044</v>
      </c>
      <c r="B1001" s="15">
        <v>44230</v>
      </c>
      <c r="C1001" s="16" t="s">
        <v>2045</v>
      </c>
      <c r="D1001" s="16" t="s">
        <v>25</v>
      </c>
      <c r="E1001" s="16">
        <v>21281</v>
      </c>
      <c r="F1001" s="16">
        <v>23</v>
      </c>
      <c r="G1001" s="16">
        <v>60</v>
      </c>
      <c r="H1001" s="16" t="s">
        <v>19</v>
      </c>
      <c r="I1001" s="16" t="s">
        <v>36</v>
      </c>
      <c r="J1001" s="16" t="s">
        <v>47</v>
      </c>
      <c r="K1001" s="16">
        <v>108672</v>
      </c>
      <c r="L1001" s="16" t="s">
        <v>29</v>
      </c>
      <c r="M1001" s="16">
        <v>0.34</v>
      </c>
      <c r="N1001" s="16">
        <v>0.84</v>
      </c>
      <c r="O1001" s="16">
        <v>26175.63</v>
      </c>
      <c r="P1001" s="16">
        <v>0</v>
      </c>
      <c r="Q1001" s="17">
        <f t="shared" si="182"/>
        <v>599.92141526404384</v>
      </c>
      <c r="R1001" s="17">
        <f t="shared" si="175"/>
        <v>14714.284915842632</v>
      </c>
      <c r="S1001" s="16">
        <f t="shared" si="176"/>
        <v>25334.523809523809</v>
      </c>
      <c r="T1001" s="16">
        <f t="shared" si="177"/>
        <v>9056</v>
      </c>
      <c r="U1001" s="16">
        <f t="shared" si="178"/>
        <v>3079.0400000000004</v>
      </c>
      <c r="V1001" s="16">
        <f t="shared" ca="1" si="179"/>
        <v>61</v>
      </c>
      <c r="W1001" s="20">
        <f ca="1">V1001*Q1001</f>
        <v>36595.206331106674</v>
      </c>
      <c r="X1001" s="16">
        <f t="shared" si="180"/>
        <v>4894.630000000001</v>
      </c>
      <c r="Y1001" s="18">
        <f t="shared" si="181"/>
        <v>0.23000000000000004</v>
      </c>
    </row>
  </sheetData>
  <autoFilter ref="A1:P1001" xr:uid="{6F3D0A44-02F4-4AC1-A69A-836216E93C6C}"/>
  <pageMargins left="0.7" right="0.7" top="0.75" bottom="0.75" header="0.3" footer="0.3"/>
  <headerFooter>
    <oddFooter>&amp;C_x000D_&amp;1#&amp;"Aptos"&amp;7&amp;K000000 Juniper Business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C90D-0EE9-7A44-B2DA-951F398C5124}">
  <sheetPr>
    <outlinePr summaryBelow="0"/>
  </sheetPr>
  <dimension ref="B1:G12"/>
  <sheetViews>
    <sheetView showGridLines="0" workbookViewId="0"/>
  </sheetViews>
  <sheetFormatPr defaultColWidth="11.5546875" defaultRowHeight="14.4" outlineLevelRow="1" outlineLevelCol="1" x14ac:dyDescent="0.3"/>
  <cols>
    <col min="3" max="3" width="6.33203125" bestFit="1" customWidth="1"/>
    <col min="4" max="7" width="14.44140625" bestFit="1" customWidth="1" outlineLevel="1"/>
  </cols>
  <sheetData>
    <row r="1" spans="2:7" ht="15" thickBot="1" x14ac:dyDescent="0.35"/>
    <row r="2" spans="2:7" ht="15.6" x14ac:dyDescent="0.3">
      <c r="B2" s="28" t="s">
        <v>2082</v>
      </c>
      <c r="C2" s="28"/>
      <c r="D2" s="31"/>
      <c r="E2" s="31"/>
      <c r="F2" s="31"/>
      <c r="G2" s="31"/>
    </row>
    <row r="3" spans="2:7" ht="15.6" collapsed="1" x14ac:dyDescent="0.3">
      <c r="B3" s="27"/>
      <c r="C3" s="27"/>
      <c r="D3" s="32" t="s">
        <v>2084</v>
      </c>
      <c r="E3" s="32" t="s">
        <v>2093</v>
      </c>
      <c r="F3" s="32" t="s">
        <v>2080</v>
      </c>
      <c r="G3" s="32" t="s">
        <v>2094</v>
      </c>
    </row>
    <row r="4" spans="2:7" ht="43.2" hidden="1" outlineLevel="1" x14ac:dyDescent="0.3">
      <c r="B4" s="35"/>
      <c r="C4" s="35"/>
      <c r="E4" s="37" t="s">
        <v>2095</v>
      </c>
      <c r="F4" s="37" t="s">
        <v>2095</v>
      </c>
      <c r="G4" s="37" t="s">
        <v>2095</v>
      </c>
    </row>
    <row r="5" spans="2:7" x14ac:dyDescent="0.3">
      <c r="B5" s="29" t="s">
        <v>2083</v>
      </c>
      <c r="C5" s="29"/>
      <c r="D5" s="34"/>
      <c r="E5" s="34"/>
      <c r="F5" s="34"/>
      <c r="G5" s="34"/>
    </row>
    <row r="6" spans="2:7" outlineLevel="1" x14ac:dyDescent="0.3">
      <c r="B6" s="35"/>
      <c r="C6" s="35" t="s">
        <v>2091</v>
      </c>
      <c r="D6" s="3">
        <v>1.1499999999999999</v>
      </c>
      <c r="E6" s="36">
        <v>1</v>
      </c>
      <c r="F6" s="36">
        <v>0.95</v>
      </c>
      <c r="G6" s="36">
        <v>1.1499999999999999</v>
      </c>
    </row>
    <row r="7" spans="2:7" outlineLevel="1" x14ac:dyDescent="0.3">
      <c r="B7" s="35"/>
      <c r="C7" s="35" t="s">
        <v>2092</v>
      </c>
      <c r="D7" s="3">
        <v>0.85</v>
      </c>
      <c r="E7" s="36">
        <v>1</v>
      </c>
      <c r="F7" s="36">
        <v>1.1000000000000001</v>
      </c>
      <c r="G7" s="36">
        <v>0.85</v>
      </c>
    </row>
    <row r="8" spans="2:7" x14ac:dyDescent="0.3">
      <c r="B8" s="29" t="s">
        <v>2085</v>
      </c>
      <c r="C8" s="29"/>
      <c r="D8" s="34"/>
      <c r="E8" s="34"/>
      <c r="F8" s="34"/>
      <c r="G8" s="34"/>
    </row>
    <row r="9" spans="2:7" ht="15" outlineLevel="1" thickBot="1" x14ac:dyDescent="0.35">
      <c r="B9" s="30"/>
      <c r="C9" s="30" t="s">
        <v>2081</v>
      </c>
      <c r="D9" s="33"/>
      <c r="E9" s="33"/>
      <c r="F9" s="33"/>
      <c r="G9" s="33"/>
    </row>
    <row r="10" spans="2:7" x14ac:dyDescent="0.3">
      <c r="B10" t="s">
        <v>2086</v>
      </c>
    </row>
    <row r="11" spans="2:7" x14ac:dyDescent="0.3">
      <c r="B11" t="s">
        <v>2087</v>
      </c>
    </row>
    <row r="12" spans="2:7" x14ac:dyDescent="0.3">
      <c r="B12" t="s">
        <v>2088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61EA-80F2-0745-9999-5DC6DC56E53A}">
  <dimension ref="B3:H41"/>
  <sheetViews>
    <sheetView topLeftCell="A17" workbookViewId="0">
      <selection activeCell="C32" sqref="C32:H37"/>
    </sheetView>
  </sheetViews>
  <sheetFormatPr defaultColWidth="11.5546875" defaultRowHeight="14.4" x14ac:dyDescent="0.3"/>
  <cols>
    <col min="2" max="2" width="32.109375" bestFit="1" customWidth="1"/>
    <col min="3" max="3" width="15.109375" bestFit="1" customWidth="1"/>
    <col min="4" max="8" width="13.109375" bestFit="1" customWidth="1"/>
  </cols>
  <sheetData>
    <row r="3" spans="2:3" x14ac:dyDescent="0.3">
      <c r="B3" t="s">
        <v>2070</v>
      </c>
      <c r="C3" t="s">
        <v>2071</v>
      </c>
    </row>
    <row r="4" spans="2:3" ht="18" x14ac:dyDescent="0.35">
      <c r="B4" s="22" t="s">
        <v>2062</v>
      </c>
      <c r="C4" s="23">
        <f>SUM(banking_loan_data!E2:E1001)</f>
        <v>21255544</v>
      </c>
    </row>
    <row r="5" spans="2:3" ht="18" x14ac:dyDescent="0.35">
      <c r="B5" s="22" t="s">
        <v>2064</v>
      </c>
      <c r="C5" s="24">
        <f>AVERAGE(banking_loan_data!G2:G1001)</f>
        <v>47.28</v>
      </c>
    </row>
    <row r="6" spans="2:3" ht="18" x14ac:dyDescent="0.35">
      <c r="B6" s="22" t="s">
        <v>15</v>
      </c>
      <c r="C6" s="23">
        <f>SUM(banking_loan_data!P2:P1001)</f>
        <v>608948.59999999986</v>
      </c>
    </row>
    <row r="7" spans="2:3" ht="18" x14ac:dyDescent="0.35">
      <c r="B7" s="22" t="s">
        <v>2063</v>
      </c>
      <c r="C7" s="25">
        <f>AVERAGE(banking_loan_data!F2:F1001)</f>
        <v>15.081399999999986</v>
      </c>
    </row>
    <row r="8" spans="2:3" ht="18" x14ac:dyDescent="0.35">
      <c r="B8" s="22" t="s">
        <v>2066</v>
      </c>
      <c r="C8" s="23">
        <v>7500000</v>
      </c>
    </row>
    <row r="9" spans="2:3" ht="18" x14ac:dyDescent="0.35">
      <c r="B9" s="22" t="s">
        <v>2067</v>
      </c>
      <c r="C9" s="23">
        <f>C4*C7*(C5/(12*100))</f>
        <v>12630196.434495028</v>
      </c>
    </row>
    <row r="10" spans="2:3" ht="18" x14ac:dyDescent="0.35">
      <c r="B10" s="22" t="s">
        <v>2068</v>
      </c>
      <c r="C10" s="23">
        <f>C4+C9+C6</f>
        <v>34494689.034495033</v>
      </c>
    </row>
    <row r="11" spans="2:3" ht="18" x14ac:dyDescent="0.35">
      <c r="B11" s="22" t="s">
        <v>2069</v>
      </c>
      <c r="C11" s="23">
        <f>C10-C4</f>
        <v>13239145.034495033</v>
      </c>
    </row>
    <row r="12" spans="2:3" ht="18" x14ac:dyDescent="0.35">
      <c r="B12" s="22"/>
      <c r="C12" s="24"/>
    </row>
    <row r="13" spans="2:3" ht="18" x14ac:dyDescent="0.35">
      <c r="B13" s="26" t="s">
        <v>2072</v>
      </c>
      <c r="C13" s="24"/>
    </row>
    <row r="14" spans="2:3" ht="18" x14ac:dyDescent="0.35">
      <c r="B14" s="22" t="s">
        <v>2062</v>
      </c>
      <c r="C14" s="23">
        <v>21255544</v>
      </c>
    </row>
    <row r="15" spans="2:3" ht="18" x14ac:dyDescent="0.35">
      <c r="B15" s="22" t="s">
        <v>2064</v>
      </c>
      <c r="C15" s="25">
        <v>47.28</v>
      </c>
    </row>
    <row r="16" spans="2:3" ht="18" x14ac:dyDescent="0.35">
      <c r="B16" s="22" t="s">
        <v>2073</v>
      </c>
      <c r="C16" s="23">
        <f>608948.6*C28</f>
        <v>608948.6</v>
      </c>
    </row>
    <row r="17" spans="2:8" ht="18" x14ac:dyDescent="0.35">
      <c r="B17" s="22" t="s">
        <v>2090</v>
      </c>
      <c r="C17" s="25">
        <v>15.08</v>
      </c>
    </row>
    <row r="18" spans="2:8" ht="18" x14ac:dyDescent="0.35">
      <c r="B18" s="22" t="s">
        <v>2063</v>
      </c>
      <c r="C18" s="25">
        <f>8.22843121426995*C29</f>
        <v>8.2284312142699498</v>
      </c>
    </row>
    <row r="19" spans="2:8" ht="18" x14ac:dyDescent="0.35">
      <c r="B19" s="22" t="s">
        <v>2074</v>
      </c>
      <c r="C19" s="23">
        <v>7500000</v>
      </c>
    </row>
    <row r="20" spans="2:8" ht="18" x14ac:dyDescent="0.35">
      <c r="B20" s="22" t="s">
        <v>2075</v>
      </c>
      <c r="C20" s="23">
        <f>C14*C15*(C18/(12*100))</f>
        <v>6891051.4000000013</v>
      </c>
    </row>
    <row r="21" spans="2:8" ht="18" x14ac:dyDescent="0.35">
      <c r="B21" s="22" t="s">
        <v>2076</v>
      </c>
      <c r="C21" s="23">
        <f>C14+C16+C20</f>
        <v>28755544.000000004</v>
      </c>
    </row>
    <row r="22" spans="2:8" ht="18" x14ac:dyDescent="0.35">
      <c r="B22" s="22" t="s">
        <v>2077</v>
      </c>
      <c r="C22" s="23">
        <f>C21-C14</f>
        <v>7500000.0000000037</v>
      </c>
    </row>
    <row r="27" spans="2:8" ht="18" x14ac:dyDescent="0.35">
      <c r="B27" s="26" t="s">
        <v>2089</v>
      </c>
    </row>
    <row r="28" spans="2:8" ht="18" x14ac:dyDescent="0.35">
      <c r="B28" s="22" t="s">
        <v>2078</v>
      </c>
      <c r="C28" s="25">
        <v>1</v>
      </c>
    </row>
    <row r="29" spans="2:8" ht="20.399999999999999" x14ac:dyDescent="0.45">
      <c r="B29" s="21" t="s">
        <v>2079</v>
      </c>
      <c r="C29" s="25">
        <v>1</v>
      </c>
    </row>
    <row r="30" spans="2:8" ht="18" x14ac:dyDescent="0.35">
      <c r="B30" s="22"/>
      <c r="C30" s="25"/>
    </row>
    <row r="31" spans="2:8" ht="18" x14ac:dyDescent="0.35">
      <c r="B31" s="38">
        <f>C22</f>
        <v>7500000.0000000037</v>
      </c>
      <c r="C31" s="25">
        <v>0.7</v>
      </c>
      <c r="D31">
        <v>0.8</v>
      </c>
      <c r="E31">
        <v>0.9</v>
      </c>
      <c r="F31">
        <v>1</v>
      </c>
      <c r="G31">
        <v>1.1000000000000001</v>
      </c>
      <c r="H31">
        <v>1.2</v>
      </c>
    </row>
    <row r="32" spans="2:8" ht="18" x14ac:dyDescent="0.35">
      <c r="B32" s="22">
        <v>0.95</v>
      </c>
      <c r="C32" s="38">
        <f t="dataTable" ref="C32:H37" dt2D="1" dtr="1" r1="C29" r2="C28"/>
        <v>5402237.1500000022</v>
      </c>
      <c r="D32" s="38">
        <v>6091342.2900000028</v>
      </c>
      <c r="E32" s="38">
        <v>6780447.4300000034</v>
      </c>
      <c r="F32" s="38">
        <v>7469552.570000004</v>
      </c>
      <c r="G32" s="38">
        <v>8158657.7100000046</v>
      </c>
      <c r="H32" s="38">
        <v>8847762.8500000015</v>
      </c>
    </row>
    <row r="33" spans="2:8" ht="18" x14ac:dyDescent="0.35">
      <c r="B33">
        <v>1</v>
      </c>
      <c r="C33" s="38">
        <v>5432684.5800000019</v>
      </c>
      <c r="D33" s="38">
        <v>6121789.7200000025</v>
      </c>
      <c r="E33" s="38">
        <v>6810894.8600000031</v>
      </c>
      <c r="F33" s="38">
        <v>7500000.0000000037</v>
      </c>
      <c r="G33" s="38">
        <v>8189105.1400000043</v>
      </c>
      <c r="H33" s="38">
        <v>8878210.2800000012</v>
      </c>
    </row>
    <row r="34" spans="2:8" ht="18" x14ac:dyDescent="0.35">
      <c r="B34">
        <v>1.05</v>
      </c>
      <c r="C34" s="38">
        <v>5463132.0100000016</v>
      </c>
      <c r="D34" s="38">
        <v>6152237.1500000022</v>
      </c>
      <c r="E34" s="38">
        <v>6841342.2900000028</v>
      </c>
      <c r="F34" s="38">
        <v>7530447.4300000034</v>
      </c>
      <c r="G34" s="38">
        <v>8219552.570000004</v>
      </c>
      <c r="H34" s="38">
        <v>8908657.7100000009</v>
      </c>
    </row>
    <row r="35" spans="2:8" ht="18" x14ac:dyDescent="0.35">
      <c r="B35">
        <v>1.1000000000000001</v>
      </c>
      <c r="C35" s="38">
        <v>5493579.4400000013</v>
      </c>
      <c r="D35" s="38">
        <v>6182684.5800000019</v>
      </c>
      <c r="E35" s="38">
        <v>6871789.7200000025</v>
      </c>
      <c r="F35" s="38">
        <v>7560894.8600000031</v>
      </c>
      <c r="G35" s="38">
        <v>8250000.0000000037</v>
      </c>
      <c r="H35" s="38">
        <v>8939105.1400000006</v>
      </c>
    </row>
    <row r="36" spans="2:8" ht="18" x14ac:dyDescent="0.35">
      <c r="B36">
        <v>1.1499999999999999</v>
      </c>
      <c r="C36" s="38">
        <v>5524026.870000001</v>
      </c>
      <c r="D36" s="38">
        <v>6213132.0100000016</v>
      </c>
      <c r="E36" s="38">
        <v>6902237.1500000022</v>
      </c>
      <c r="F36" s="38">
        <v>7591342.2900000028</v>
      </c>
      <c r="G36" s="38">
        <v>8280447.4300000034</v>
      </c>
      <c r="H36" s="38">
        <v>8969552.5700000003</v>
      </c>
    </row>
    <row r="37" spans="2:8" ht="18" x14ac:dyDescent="0.35">
      <c r="B37">
        <v>1.2</v>
      </c>
      <c r="C37" s="38">
        <v>5554474.3000000007</v>
      </c>
      <c r="D37" s="38">
        <v>6243579.4400000013</v>
      </c>
      <c r="E37" s="38">
        <v>6932684.5800000019</v>
      </c>
      <c r="F37" s="38">
        <v>7621789.7200000025</v>
      </c>
      <c r="G37" s="38">
        <v>8310894.8600000031</v>
      </c>
      <c r="H37" s="38">
        <v>9000000</v>
      </c>
    </row>
    <row r="38" spans="2:8" ht="18" x14ac:dyDescent="0.35">
      <c r="C38" s="25"/>
    </row>
    <row r="39" spans="2:8" ht="18" x14ac:dyDescent="0.35">
      <c r="C39" s="25"/>
    </row>
    <row r="40" spans="2:8" ht="18" x14ac:dyDescent="0.35">
      <c r="C40" s="25"/>
    </row>
    <row r="41" spans="2:8" ht="18" x14ac:dyDescent="0.35">
      <c r="C41" s="25"/>
    </row>
  </sheetData>
  <scenarios current="0" show="0" sqref="C39">
    <scenario name="Base Case" locked="1" count="2" user="Satish Belide" comment="Created by Satish Belide on 3/19/2026_x000a_Modified by Satish Belide on 3/19/2026">
      <inputCells r="C28" val="1" numFmtId="2"/>
      <inputCells r="C29" val="1" numFmtId="2"/>
    </scenario>
    <scenario name="Optimistic Economy" locked="1" count="2" user="Satish Belide" comment="Created by Satish Belide on 3/19/2026_x000a_Modified by Satish Belide on 3/19/2026">
      <inputCells r="C28" val="0.95" numFmtId="2"/>
      <inputCells r="C29" val="1.1" numFmtId="2"/>
    </scenario>
    <scenario name="Pessimistic Senario" locked="1" count="2" user="Satish Belide" comment="Created by Satish Belide on 3/19/2026_x000a_Modified by Satish Belide on 3/19/2026">
      <inputCells r="C28" val="1.15" numFmtId="2"/>
      <inputCells r="C29" val="0.85" numFmtId="2"/>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BE35-6ED9-47B9-A7B0-F21E1279FDC9}">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Pivot table2</vt:lpstr>
      <vt:lpstr>banking_loan_data</vt:lpstr>
      <vt:lpstr>Scenario Summary</vt:lpstr>
      <vt:lpstr>WhatIf</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Sravanthi Belide</dc:creator>
  <cp:lastModifiedBy>Sravanthi Belide</cp:lastModifiedBy>
  <dcterms:created xsi:type="dcterms:W3CDTF">2026-03-19T06:53:39Z</dcterms:created>
  <dcterms:modified xsi:type="dcterms:W3CDTF">2026-03-19T16:46:48Z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2026-03-19T14:19:17Z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029f1bb5-8022-4aa0-a485-39fa6e0d0df5</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