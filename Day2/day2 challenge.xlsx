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71d1bb1bf99b18/Desktop/Sravanthi/"/>
    </mc:Choice>
  </mc:AlternateContent>
  <xr:revisionPtr revIDLastSave="189" documentId="8_{EF9CFA76-428F-45A9-ABF8-303F08AFDC15}" xr6:coauthVersionLast="47" xr6:coauthVersionMax="47" xr10:uidLastSave="{54D7A56B-CC2E-44D2-A7A8-241D0775BB59}"/>
  <bookViews>
    <workbookView xWindow="-108" yWindow="-108" windowWidth="23256" windowHeight="13896" firstSheet="2" activeTab="6" xr2:uid="{4E8229E1-45CF-439D-87C0-450738879EA1}"/>
  </bookViews>
  <sheets>
    <sheet name="avg screen time" sheetId="2" r:id="rId1"/>
    <sheet name="Activity trends" sheetId="4" r:id="rId2"/>
    <sheet name="Age wise" sheetId="5" r:id="rId3"/>
    <sheet name="Sheet3" sheetId="12" r:id="rId4"/>
    <sheet name="Pivot table" sheetId="7" r:id="rId5"/>
    <sheet name="Dashboard" sheetId="3" r:id="rId6"/>
    <sheet name="Key Insights" sheetId="11" r:id="rId7"/>
    <sheet name="student_screen_time_raw" sheetId="1" r:id="rId8"/>
  </sheets>
  <definedNames>
    <definedName name="_xlnm._FilterDatabase" localSheetId="7" hidden="1">student_screen_time_raw!$A$1:$F$201</definedName>
    <definedName name="_xlcn.WorksheetConnection_student_screen_time_rawA1H2011" hidden="1">student_screen_time_raw!$A$1:$H$201</definedName>
    <definedName name="ExternalData_1" localSheetId="3" hidden="1">Sheet3!$A$3:$H$125</definedName>
  </definedNames>
  <calcPr calcId="191029"/>
  <pivotCaches>
    <pivotCache cacheId="53" r:id="rId9"/>
    <pivotCache cacheId="48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tudent_screen_time_raw!$A$1:$H$2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9" i="1" l="1" a="1"/>
  <c r="H189" i="1" s="1"/>
  <c r="H190" i="1" a="1"/>
  <c r="H190" i="1"/>
  <c r="H191" i="1" a="1"/>
  <c r="H191" i="1" s="1"/>
  <c r="H192" i="1" a="1"/>
  <c r="H192" i="1" s="1"/>
  <c r="H193" i="1" a="1"/>
  <c r="H193" i="1" s="1"/>
  <c r="H194" i="1" a="1"/>
  <c r="H194" i="1"/>
  <c r="H195" i="1" a="1"/>
  <c r="H195" i="1" s="1"/>
  <c r="H196" i="1" a="1"/>
  <c r="H196" i="1"/>
  <c r="H197" i="1" a="1"/>
  <c r="H197" i="1"/>
  <c r="H198" i="1" a="1"/>
  <c r="H198" i="1"/>
  <c r="H199" i="1" a="1"/>
  <c r="H199" i="1" s="1"/>
  <c r="H200" i="1" a="1"/>
  <c r="H200" i="1" s="1"/>
  <c r="H201" i="1" a="1"/>
  <c r="H201" i="1" s="1"/>
  <c r="H170" i="1" a="1"/>
  <c r="H170" i="1" s="1"/>
  <c r="H171" i="1" a="1"/>
  <c r="H171" i="1"/>
  <c r="H172" i="1" a="1"/>
  <c r="H172" i="1" s="1"/>
  <c r="H173" i="1" a="1"/>
  <c r="H173" i="1"/>
  <c r="H174" i="1" a="1"/>
  <c r="H174" i="1" s="1"/>
  <c r="H175" i="1" a="1"/>
  <c r="H175" i="1"/>
  <c r="H176" i="1" a="1"/>
  <c r="H176" i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/>
  <c r="H185" i="1" a="1"/>
  <c r="H185" i="1" s="1"/>
  <c r="H186" i="1" a="1"/>
  <c r="H186" i="1" s="1"/>
  <c r="H187" i="1" a="1"/>
  <c r="H187" i="1"/>
  <c r="H188" i="1" a="1"/>
  <c r="H188" i="1" s="1"/>
  <c r="H151" i="1" a="1"/>
  <c r="H151" i="1"/>
  <c r="H152" i="1" a="1"/>
  <c r="H152" i="1" s="1"/>
  <c r="H153" i="1" a="1"/>
  <c r="H153" i="1" s="1"/>
  <c r="H154" i="1" a="1"/>
  <c r="H154" i="1" s="1"/>
  <c r="H155" i="1" a="1"/>
  <c r="H155" i="1"/>
  <c r="H156" i="1" a="1"/>
  <c r="H156" i="1" s="1"/>
  <c r="H157" i="1" a="1"/>
  <c r="H157" i="1"/>
  <c r="H158" i="1" a="1"/>
  <c r="H158" i="1" s="1"/>
  <c r="H159" i="1" a="1"/>
  <c r="H159" i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/>
  <c r="H168" i="1" a="1"/>
  <c r="H168" i="1" s="1"/>
  <c r="H169" i="1" a="1"/>
  <c r="H169" i="1"/>
  <c r="H132" i="1" a="1"/>
  <c r="H132" i="1" s="1"/>
  <c r="H133" i="1" a="1"/>
  <c r="H133" i="1"/>
  <c r="H134" i="1" a="1"/>
  <c r="H134" i="1" s="1"/>
  <c r="H135" i="1" a="1"/>
  <c r="H135" i="1" s="1"/>
  <c r="H136" i="1" a="1"/>
  <c r="H136" i="1" s="1"/>
  <c r="H137" i="1" a="1"/>
  <c r="H137" i="1" s="1"/>
  <c r="H138" i="1" a="1"/>
  <c r="H138" i="1"/>
  <c r="H139" i="1" a="1"/>
  <c r="H139" i="1" s="1"/>
  <c r="H140" i="1" a="1"/>
  <c r="H140" i="1"/>
  <c r="H141" i="1" a="1"/>
  <c r="H141" i="1" s="1"/>
  <c r="H142" i="1" a="1"/>
  <c r="H142" i="1"/>
  <c r="H143" i="1" a="1"/>
  <c r="H143" i="1" s="1"/>
  <c r="H144" i="1" a="1"/>
  <c r="H144" i="1" s="1"/>
  <c r="H145" i="1" a="1"/>
  <c r="H145" i="1" s="1"/>
  <c r="H146" i="1" a="1"/>
  <c r="H146" i="1"/>
  <c r="H147" i="1" a="1"/>
  <c r="H147" i="1" s="1"/>
  <c r="H148" i="1" a="1"/>
  <c r="H148" i="1"/>
  <c r="H149" i="1" a="1"/>
  <c r="H149" i="1" s="1"/>
  <c r="H150" i="1" a="1"/>
  <c r="H150" i="1" s="1"/>
  <c r="H113" i="1" a="1"/>
  <c r="H113" i="1" s="1"/>
  <c r="H114" i="1" a="1"/>
  <c r="H114" i="1" s="1"/>
  <c r="H115" i="1" a="1"/>
  <c r="H115" i="1" s="1"/>
  <c r="H116" i="1" a="1"/>
  <c r="H116" i="1"/>
  <c r="H117" i="1" a="1"/>
  <c r="H117" i="1" s="1"/>
  <c r="H118" i="1" a="1"/>
  <c r="H118" i="1" s="1"/>
  <c r="H119" i="1" a="1"/>
  <c r="H119" i="1" s="1"/>
  <c r="H120" i="1" a="1"/>
  <c r="H120" i="1"/>
  <c r="H121" i="1" a="1"/>
  <c r="H121" i="1" s="1"/>
  <c r="H122" i="1" a="1"/>
  <c r="H122" i="1"/>
  <c r="H123" i="1" a="1"/>
  <c r="H123" i="1" s="1"/>
  <c r="H124" i="1" a="1"/>
  <c r="H124" i="1"/>
  <c r="H125" i="1" a="1"/>
  <c r="H125" i="1" s="1"/>
  <c r="H126" i="1" a="1"/>
  <c r="H126" i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98" i="1" a="1"/>
  <c r="H98" i="1" s="1"/>
  <c r="H99" i="1" a="1"/>
  <c r="H99" i="1"/>
  <c r="H100" i="1" a="1"/>
  <c r="H100" i="1" s="1"/>
  <c r="H101" i="1" a="1"/>
  <c r="H101" i="1" s="1"/>
  <c r="H102" i="1" a="1"/>
  <c r="H102" i="1" s="1"/>
  <c r="H103" i="1" a="1"/>
  <c r="H103" i="1"/>
  <c r="H104" i="1" a="1"/>
  <c r="H104" i="1" s="1"/>
  <c r="H105" i="1" a="1"/>
  <c r="H105" i="1"/>
  <c r="H106" i="1" a="1"/>
  <c r="H106" i="1" s="1"/>
  <c r="H107" i="1" a="1"/>
  <c r="H107" i="1"/>
  <c r="H108" i="1" a="1"/>
  <c r="H108" i="1"/>
  <c r="H109" i="1" a="1"/>
  <c r="H109" i="1" s="1"/>
  <c r="H110" i="1" a="1"/>
  <c r="H110" i="1" s="1"/>
  <c r="H111" i="1" a="1"/>
  <c r="H111" i="1" s="1"/>
  <c r="H112" i="1" a="1"/>
  <c r="H112" i="1"/>
  <c r="H81" i="1" a="1"/>
  <c r="H81" i="1" s="1"/>
  <c r="H82" i="1" a="1"/>
  <c r="H82" i="1"/>
  <c r="H83" i="1" a="1"/>
  <c r="H83" i="1" s="1"/>
  <c r="H84" i="1" a="1"/>
  <c r="H84" i="1" s="1"/>
  <c r="H85" i="1" a="1"/>
  <c r="H85" i="1" s="1"/>
  <c r="H86" i="1" a="1"/>
  <c r="H86" i="1" s="1"/>
  <c r="H87" i="1" a="1"/>
  <c r="H87" i="1"/>
  <c r="H88" i="1" a="1"/>
  <c r="H88" i="1"/>
  <c r="H89" i="1" a="1"/>
  <c r="H89" i="1" s="1"/>
  <c r="H90" i="1" a="1"/>
  <c r="H90" i="1"/>
  <c r="H91" i="1" a="1"/>
  <c r="H91" i="1"/>
  <c r="H92" i="1" a="1"/>
  <c r="H92" i="1" s="1"/>
  <c r="H93" i="1" a="1"/>
  <c r="H93" i="1" s="1"/>
  <c r="H94" i="1" a="1"/>
  <c r="H94" i="1"/>
  <c r="H95" i="1" a="1"/>
  <c r="H95" i="1" s="1"/>
  <c r="H96" i="1" a="1"/>
  <c r="H96" i="1"/>
  <c r="H97" i="1" a="1"/>
  <c r="H97" i="1" s="1"/>
  <c r="H66" i="1" a="1"/>
  <c r="H66" i="1"/>
  <c r="H67" i="1" a="1"/>
  <c r="H67" i="1" s="1"/>
  <c r="H68" i="1" a="1"/>
  <c r="H68" i="1"/>
  <c r="H69" i="1" a="1"/>
  <c r="H69" i="1" s="1"/>
  <c r="H70" i="1" a="1"/>
  <c r="H70" i="1"/>
  <c r="H71" i="1" a="1"/>
  <c r="H71" i="1"/>
  <c r="H72" i="1" a="1"/>
  <c r="H72" i="1"/>
  <c r="H73" i="1" a="1"/>
  <c r="H73" i="1" s="1"/>
  <c r="H74" i="1" a="1"/>
  <c r="H74" i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/>
  <c r="H65" i="1" a="1"/>
  <c r="H6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/>
  <c r="H32" i="1" a="1"/>
  <c r="H32" i="1" s="1"/>
  <c r="H33" i="1" a="1"/>
  <c r="H33" i="1"/>
  <c r="H34" i="1" a="1"/>
  <c r="H34" i="1" s="1"/>
  <c r="H35" i="1" a="1"/>
  <c r="H35" i="1"/>
  <c r="H36" i="1" a="1"/>
  <c r="H36" i="1"/>
  <c r="H37" i="1" a="1"/>
  <c r="H37" i="1" s="1"/>
  <c r="H38" i="1" a="1"/>
  <c r="H38" i="1" s="1"/>
  <c r="H39" i="1" a="1"/>
  <c r="H39" i="1"/>
  <c r="H40" i="1" a="1"/>
  <c r="H40" i="1" s="1"/>
  <c r="H41" i="1" a="1"/>
  <c r="H41" i="1"/>
  <c r="H42" i="1" a="1"/>
  <c r="H42" i="1" s="1"/>
  <c r="H43" i="1" a="1"/>
  <c r="H43" i="1"/>
  <c r="H44" i="1" a="1"/>
  <c r="H44" i="1"/>
  <c r="H45" i="1" a="1"/>
  <c r="H45" i="1" s="1"/>
  <c r="H46" i="1" a="1"/>
  <c r="H46" i="1" s="1"/>
  <c r="H12" i="1" a="1"/>
  <c r="H12" i="1" s="1"/>
  <c r="H13" i="1" a="1"/>
  <c r="H13" i="1" s="1"/>
  <c r="H14" i="1" a="1"/>
  <c r="H14" i="1"/>
  <c r="H15" i="1" a="1"/>
  <c r="H15" i="1" s="1"/>
  <c r="H16" i="1" a="1"/>
  <c r="H16" i="1" s="1"/>
  <c r="H17" i="1" a="1"/>
  <c r="H17" i="1" s="1"/>
  <c r="H18" i="1" a="1"/>
  <c r="H18" i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3" i="1" a="1"/>
  <c r="H3" i="1" s="1"/>
  <c r="H4" i="1" a="1"/>
  <c r="H4" i="1"/>
  <c r="H5" i="1" a="1"/>
  <c r="H5" i="1" s="1"/>
  <c r="H6" i="1" a="1"/>
  <c r="H6" i="1" s="1"/>
  <c r="H7" i="1" a="1"/>
  <c r="H7" i="1"/>
  <c r="H8" i="1" a="1"/>
  <c r="H8" i="1" s="1"/>
  <c r="H9" i="1" a="1"/>
  <c r="H9" i="1" s="1"/>
  <c r="H10" i="1" a="1"/>
  <c r="H10" i="1" s="1"/>
  <c r="H11" i="1" a="1"/>
  <c r="H11" i="1"/>
  <c r="H2" i="1" a="1"/>
  <c r="H2" i="1" s="1"/>
  <c r="G199" i="1"/>
  <c r="G200" i="1"/>
  <c r="G201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  <c r="E204" i="1"/>
  <c r="D204" i="1"/>
  <c r="C20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20DD0E-B1CE-4A8B-82B0-40550D31637A}" keepAlive="1" name="ModelConnection_ExternalData_1" description="Data Model" type="5" refreshedVersion="8" minRefreshableVersion="5" saveData="1">
    <dbPr connection="Data Model Connection" command="DRILLTHROUGH MAXROWS 1000 SELECT FROM [Model] WHERE (([Measures].[Average of Screen_Time],[Range].[Age group].&amp;[Senior (15-17)])) RETURN [$Range].[Student_ID],[$Range].[Age],[$Range].[Study_Hours],[$Range].[Screen_Time],[$Range].[Test_Scores],[$Range].[Extra_Curricular_Hours],[$Range].[Screen flag time],[$Range].[Age group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3E9345F9-1C3D-4E15-8F34-DE691E1EF9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75BDD6F-B612-41AE-9732-002632B9DCDA}" name="WorksheetConnection_student_screen_time_raw!$A$1:$H$2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udent_screen_time_rawA1H2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<sst xmlns="http://schemas.openxmlformats.org/spreadsheetml/2006/main" count="298" uniqueCount="37">
  <si>
    <t>Student_ID</t>
  </si>
  <si>
    <t>Age</t>
  </si>
  <si>
    <t>Study_Hours</t>
  </si>
  <si>
    <t>Screen_Time</t>
  </si>
  <si>
    <t>Test_Scores</t>
  </si>
  <si>
    <t>Extra_Curricular_Hours</t>
  </si>
  <si>
    <t>Screen flag time</t>
  </si>
  <si>
    <t>Age group</t>
  </si>
  <si>
    <t>Sum of Test_Scores</t>
  </si>
  <si>
    <t>Grand Total</t>
  </si>
  <si>
    <t>Sum of Extra_Curricular_Hours</t>
  </si>
  <si>
    <t>Screen_time</t>
  </si>
  <si>
    <t>Junior (13-14)</t>
  </si>
  <si>
    <t>Senior (15-17)</t>
  </si>
  <si>
    <t>High Screen Time (&gt;4h)</t>
  </si>
  <si>
    <t>Low  Screen Time (&lt;=4h)</t>
  </si>
  <si>
    <t>Screen time flag</t>
  </si>
  <si>
    <t>Average of Test_Scores</t>
  </si>
  <si>
    <t>Average of Screen_Time</t>
  </si>
  <si>
    <t>Average of Age</t>
  </si>
  <si>
    <t>Average of Study_Hours</t>
  </si>
  <si>
    <t>Average of Extra_Curricular_Hours</t>
  </si>
  <si>
    <t>Range[Student_ID]</t>
  </si>
  <si>
    <t>Range[Age]</t>
  </si>
  <si>
    <t>Range[Study_Hours]</t>
  </si>
  <si>
    <t>Range[Screen_Time]</t>
  </si>
  <si>
    <t>Range[Test_Scores]</t>
  </si>
  <si>
    <t>Range[Extra_Curricular_Hours]</t>
  </si>
  <si>
    <t>Range[Screen flag time]</t>
  </si>
  <si>
    <t>Range[Age group]</t>
  </si>
  <si>
    <t>Data returned for Average of Screen_Time, Senior (15-17) (First 1000 rows).</t>
  </si>
  <si>
    <t>Study Hrs</t>
  </si>
  <si>
    <r>
      <t>Screen Time Impact</t>
    </r>
    <r>
      <rPr>
        <sz val="14"/>
        <color theme="1"/>
        <rFont val="Aptos Narrow"/>
        <family val="2"/>
        <scheme val="minor"/>
      </rPr>
      <t>: Students with over 4 hours of screen time average lower test scores (~71.4%) compared to those with under 4 hours (~73.1%).</t>
    </r>
  </si>
  <si>
    <r>
      <t>The Study "Sweet Spot"</t>
    </r>
    <r>
      <rPr>
        <sz val="14"/>
        <color theme="1"/>
        <rFont val="Aptos Narrow"/>
        <family val="2"/>
        <scheme val="minor"/>
      </rPr>
      <t>: Peak academic performance is linked to moderate study (2–3 hours), whereas excessive studying over 4 hours shows diminishing returns.</t>
    </r>
  </si>
  <si>
    <r>
      <t>Activity Buffer</t>
    </r>
    <r>
      <rPr>
        <sz val="14"/>
        <color theme="1"/>
        <rFont val="Aptos Narrow"/>
        <family val="2"/>
        <scheme val="minor"/>
      </rPr>
      <t>: Engaging in 1–2 hours of extra-curricular activities correlates with an 8% increase in average marks compared to having no activities.</t>
    </r>
  </si>
  <si>
    <r>
      <t>High-Risk Outliers</t>
    </r>
    <r>
      <rPr>
        <sz val="14"/>
        <color theme="1"/>
        <rFont val="Aptos Narrow"/>
        <family val="2"/>
        <scheme val="minor"/>
      </rPr>
      <t>: Extreme screen usage (7+ hours) coincides with significant score volatility, with some students dropping into the 40–60% range.</t>
    </r>
  </si>
  <si>
    <r>
      <t>Optimal Balance</t>
    </r>
    <r>
      <rPr>
        <sz val="14"/>
        <color theme="1"/>
        <rFont val="Aptos Narrow"/>
        <family val="2"/>
        <scheme val="minor"/>
      </rPr>
      <t>: The highest-scoring students (85%+) typically maintain low screen time (under 3 hours) and consistent extra-curricular participation.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</si>
</sst>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vertical="center" indent="1"/>
    </xf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 challenge.xlsx]avg screen time!PivotTable2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screen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screen time'!$A$4:$A$64</c:f>
              <c:strCache>
                <c:ptCount val="60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</c:v>
                </c:pt>
                <c:pt idx="14">
                  <c:v>2.3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4.1</c:v>
                </c:pt>
                <c:pt idx="32">
                  <c:v>4.2</c:v>
                </c:pt>
                <c:pt idx="33">
                  <c:v>4.3</c:v>
                </c:pt>
                <c:pt idx="34">
                  <c:v>4.4</c:v>
                </c:pt>
                <c:pt idx="35">
                  <c:v>4.5</c:v>
                </c:pt>
                <c:pt idx="36">
                  <c:v>4.6</c:v>
                </c:pt>
                <c:pt idx="37">
                  <c:v>4.7</c:v>
                </c:pt>
                <c:pt idx="38">
                  <c:v>4.8</c:v>
                </c:pt>
                <c:pt idx="39">
                  <c:v>4.9</c:v>
                </c:pt>
                <c:pt idx="40">
                  <c:v>5</c:v>
                </c:pt>
                <c:pt idx="41">
                  <c:v>5.2</c:v>
                </c:pt>
                <c:pt idx="42">
                  <c:v>5.3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6</c:v>
                </c:pt>
                <c:pt idx="48">
                  <c:v>6.1</c:v>
                </c:pt>
                <c:pt idx="49">
                  <c:v>6.2</c:v>
                </c:pt>
                <c:pt idx="50">
                  <c:v>6.4</c:v>
                </c:pt>
                <c:pt idx="51">
                  <c:v>6.5</c:v>
                </c:pt>
                <c:pt idx="52">
                  <c:v>6.7</c:v>
                </c:pt>
                <c:pt idx="53">
                  <c:v>6.9</c:v>
                </c:pt>
                <c:pt idx="54">
                  <c:v>7</c:v>
                </c:pt>
                <c:pt idx="55">
                  <c:v>7.1</c:v>
                </c:pt>
                <c:pt idx="56">
                  <c:v>7.5</c:v>
                </c:pt>
                <c:pt idx="57">
                  <c:v>7.6</c:v>
                </c:pt>
                <c:pt idx="58">
                  <c:v>7.8</c:v>
                </c:pt>
                <c:pt idx="59">
                  <c:v>7.9</c:v>
                </c:pt>
              </c:strCache>
            </c:strRef>
          </c:cat>
          <c:val>
            <c:numRef>
              <c:f>'avg screen time'!$B$4:$B$64</c:f>
              <c:numCache>
                <c:formatCode>0.00</c:formatCode>
                <c:ptCount val="60"/>
                <c:pt idx="0">
                  <c:v>64</c:v>
                </c:pt>
                <c:pt idx="1">
                  <c:v>77.599999999999994</c:v>
                </c:pt>
                <c:pt idx="2">
                  <c:v>62.5</c:v>
                </c:pt>
                <c:pt idx="3">
                  <c:v>70.099999999999994</c:v>
                </c:pt>
                <c:pt idx="4">
                  <c:v>69.3</c:v>
                </c:pt>
                <c:pt idx="5">
                  <c:v>62.75</c:v>
                </c:pt>
                <c:pt idx="6">
                  <c:v>75.45</c:v>
                </c:pt>
                <c:pt idx="7">
                  <c:v>78.45</c:v>
                </c:pt>
                <c:pt idx="8">
                  <c:v>68.774999999999991</c:v>
                </c:pt>
                <c:pt idx="9">
                  <c:v>71</c:v>
                </c:pt>
                <c:pt idx="10">
                  <c:v>69.125</c:v>
                </c:pt>
                <c:pt idx="11">
                  <c:v>75.525000000000006</c:v>
                </c:pt>
                <c:pt idx="12">
                  <c:v>66.657142857142858</c:v>
                </c:pt>
                <c:pt idx="13">
                  <c:v>71.675000000000011</c:v>
                </c:pt>
                <c:pt idx="14">
                  <c:v>77.525000000000006</c:v>
                </c:pt>
                <c:pt idx="15">
                  <c:v>70.7</c:v>
                </c:pt>
                <c:pt idx="16">
                  <c:v>58.233333333333341</c:v>
                </c:pt>
                <c:pt idx="17">
                  <c:v>73.124999999999986</c:v>
                </c:pt>
                <c:pt idx="18">
                  <c:v>56.5</c:v>
                </c:pt>
                <c:pt idx="19">
                  <c:v>76.949999999999989</c:v>
                </c:pt>
                <c:pt idx="20">
                  <c:v>60.040000000000006</c:v>
                </c:pt>
                <c:pt idx="21">
                  <c:v>79.266666666666666</c:v>
                </c:pt>
                <c:pt idx="22">
                  <c:v>69.7</c:v>
                </c:pt>
                <c:pt idx="23">
                  <c:v>72.328571428571422</c:v>
                </c:pt>
                <c:pt idx="24">
                  <c:v>65.066666666666677</c:v>
                </c:pt>
                <c:pt idx="25">
                  <c:v>64.466666666666669</c:v>
                </c:pt>
                <c:pt idx="26">
                  <c:v>72.172222222222217</c:v>
                </c:pt>
                <c:pt idx="27">
                  <c:v>70.8</c:v>
                </c:pt>
                <c:pt idx="28">
                  <c:v>79.7</c:v>
                </c:pt>
                <c:pt idx="29">
                  <c:v>77.266666666666666</c:v>
                </c:pt>
                <c:pt idx="30">
                  <c:v>69.474999999999994</c:v>
                </c:pt>
                <c:pt idx="31">
                  <c:v>71.3</c:v>
                </c:pt>
                <c:pt idx="32">
                  <c:v>65.900000000000006</c:v>
                </c:pt>
                <c:pt idx="33">
                  <c:v>74.17</c:v>
                </c:pt>
                <c:pt idx="34">
                  <c:v>69.355555555555554</c:v>
                </c:pt>
                <c:pt idx="35">
                  <c:v>67.325000000000003</c:v>
                </c:pt>
                <c:pt idx="36">
                  <c:v>72.010000000000019</c:v>
                </c:pt>
                <c:pt idx="37">
                  <c:v>71.75</c:v>
                </c:pt>
                <c:pt idx="38">
                  <c:v>64.75</c:v>
                </c:pt>
                <c:pt idx="39">
                  <c:v>70.2</c:v>
                </c:pt>
                <c:pt idx="40">
                  <c:v>79.325000000000003</c:v>
                </c:pt>
                <c:pt idx="41">
                  <c:v>73.637500000000003</c:v>
                </c:pt>
                <c:pt idx="42">
                  <c:v>74.766666666666666</c:v>
                </c:pt>
                <c:pt idx="43">
                  <c:v>61.3</c:v>
                </c:pt>
                <c:pt idx="44">
                  <c:v>86.6</c:v>
                </c:pt>
                <c:pt idx="45">
                  <c:v>81.662499999999994</c:v>
                </c:pt>
                <c:pt idx="46">
                  <c:v>87.65</c:v>
                </c:pt>
                <c:pt idx="47">
                  <c:v>75.466666666666654</c:v>
                </c:pt>
                <c:pt idx="48">
                  <c:v>72.324999999999989</c:v>
                </c:pt>
                <c:pt idx="49">
                  <c:v>66.7</c:v>
                </c:pt>
                <c:pt idx="50">
                  <c:v>60.949999999999996</c:v>
                </c:pt>
                <c:pt idx="51">
                  <c:v>72.650000000000006</c:v>
                </c:pt>
                <c:pt idx="52">
                  <c:v>88</c:v>
                </c:pt>
                <c:pt idx="53">
                  <c:v>74.5</c:v>
                </c:pt>
                <c:pt idx="54">
                  <c:v>69</c:v>
                </c:pt>
                <c:pt idx="55">
                  <c:v>72.5</c:v>
                </c:pt>
                <c:pt idx="56">
                  <c:v>92.8</c:v>
                </c:pt>
                <c:pt idx="57">
                  <c:v>60</c:v>
                </c:pt>
                <c:pt idx="58">
                  <c:v>66.099999999999994</c:v>
                </c:pt>
                <c:pt idx="59">
                  <c:v>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D-45E8-9A04-BED5A9D88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854864"/>
        <c:axId val="1745855344"/>
      </c:barChart>
      <c:catAx>
        <c:axId val="17458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55344"/>
        <c:crosses val="autoZero"/>
        <c:auto val="1"/>
        <c:lblAlgn val="ctr"/>
        <c:lblOffset val="100"/>
        <c:noMultiLvlLbl val="0"/>
      </c:catAx>
      <c:valAx>
        <c:axId val="17458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 challenge.xlsx]Activity trends!PivotTable3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'Activity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'Activity trends'!$A$4:$A$64</c:f>
              <c:strCache>
                <c:ptCount val="60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</c:v>
                </c:pt>
                <c:pt idx="14">
                  <c:v>2.3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4.1</c:v>
                </c:pt>
                <c:pt idx="32">
                  <c:v>4.2</c:v>
                </c:pt>
                <c:pt idx="33">
                  <c:v>4.3</c:v>
                </c:pt>
                <c:pt idx="34">
                  <c:v>4.4</c:v>
                </c:pt>
                <c:pt idx="35">
                  <c:v>4.5</c:v>
                </c:pt>
                <c:pt idx="36">
                  <c:v>4.6</c:v>
                </c:pt>
                <c:pt idx="37">
                  <c:v>4.7</c:v>
                </c:pt>
                <c:pt idx="38">
                  <c:v>4.8</c:v>
                </c:pt>
                <c:pt idx="39">
                  <c:v>4.9</c:v>
                </c:pt>
                <c:pt idx="40">
                  <c:v>5</c:v>
                </c:pt>
                <c:pt idx="41">
                  <c:v>5.2</c:v>
                </c:pt>
                <c:pt idx="42">
                  <c:v>5.3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6</c:v>
                </c:pt>
                <c:pt idx="48">
                  <c:v>6.1</c:v>
                </c:pt>
                <c:pt idx="49">
                  <c:v>6.2</c:v>
                </c:pt>
                <c:pt idx="50">
                  <c:v>6.4</c:v>
                </c:pt>
                <c:pt idx="51">
                  <c:v>6.5</c:v>
                </c:pt>
                <c:pt idx="52">
                  <c:v>6.7</c:v>
                </c:pt>
                <c:pt idx="53">
                  <c:v>6.9</c:v>
                </c:pt>
                <c:pt idx="54">
                  <c:v>7</c:v>
                </c:pt>
                <c:pt idx="55">
                  <c:v>7.1</c:v>
                </c:pt>
                <c:pt idx="56">
                  <c:v>7.5</c:v>
                </c:pt>
                <c:pt idx="57">
                  <c:v>7.6</c:v>
                </c:pt>
                <c:pt idx="58">
                  <c:v>7.8</c:v>
                </c:pt>
                <c:pt idx="59">
                  <c:v>7.9</c:v>
                </c:pt>
              </c:strCache>
            </c:strRef>
          </c:cat>
          <c:val>
            <c:numRef>
              <c:f>'Activity trends'!$B$4:$B$64</c:f>
              <c:numCache>
                <c:formatCode>General</c:formatCode>
                <c:ptCount val="60"/>
                <c:pt idx="0">
                  <c:v>2.5</c:v>
                </c:pt>
                <c:pt idx="1">
                  <c:v>1.7</c:v>
                </c:pt>
                <c:pt idx="2">
                  <c:v>1.1000000000000001</c:v>
                </c:pt>
                <c:pt idx="3">
                  <c:v>1.5</c:v>
                </c:pt>
                <c:pt idx="4">
                  <c:v>0</c:v>
                </c:pt>
                <c:pt idx="5">
                  <c:v>2.7</c:v>
                </c:pt>
                <c:pt idx="6">
                  <c:v>3.6</c:v>
                </c:pt>
                <c:pt idx="7">
                  <c:v>3.2</c:v>
                </c:pt>
                <c:pt idx="8">
                  <c:v>6.2000000000000011</c:v>
                </c:pt>
                <c:pt idx="9">
                  <c:v>1.7999999999999998</c:v>
                </c:pt>
                <c:pt idx="10">
                  <c:v>3.6</c:v>
                </c:pt>
                <c:pt idx="11">
                  <c:v>6</c:v>
                </c:pt>
                <c:pt idx="12">
                  <c:v>7.9</c:v>
                </c:pt>
                <c:pt idx="13">
                  <c:v>7.3999999999999995</c:v>
                </c:pt>
                <c:pt idx="14">
                  <c:v>2.2000000000000002</c:v>
                </c:pt>
                <c:pt idx="15">
                  <c:v>1.9</c:v>
                </c:pt>
                <c:pt idx="16">
                  <c:v>1.4</c:v>
                </c:pt>
                <c:pt idx="17">
                  <c:v>8.6999999999999993</c:v>
                </c:pt>
                <c:pt idx="18">
                  <c:v>10</c:v>
                </c:pt>
                <c:pt idx="19">
                  <c:v>2.2000000000000002</c:v>
                </c:pt>
                <c:pt idx="20">
                  <c:v>9.1999999999999993</c:v>
                </c:pt>
                <c:pt idx="21">
                  <c:v>4.3</c:v>
                </c:pt>
                <c:pt idx="22">
                  <c:v>4.8000000000000007</c:v>
                </c:pt>
                <c:pt idx="23">
                  <c:v>8</c:v>
                </c:pt>
                <c:pt idx="24">
                  <c:v>4.3</c:v>
                </c:pt>
                <c:pt idx="25">
                  <c:v>6.2</c:v>
                </c:pt>
                <c:pt idx="26">
                  <c:v>16.899999999999999</c:v>
                </c:pt>
                <c:pt idx="27">
                  <c:v>4.7</c:v>
                </c:pt>
                <c:pt idx="28">
                  <c:v>2.2000000000000002</c:v>
                </c:pt>
                <c:pt idx="29">
                  <c:v>6.3</c:v>
                </c:pt>
                <c:pt idx="30">
                  <c:v>3</c:v>
                </c:pt>
                <c:pt idx="31">
                  <c:v>11.1</c:v>
                </c:pt>
                <c:pt idx="32">
                  <c:v>3.5</c:v>
                </c:pt>
                <c:pt idx="33">
                  <c:v>12.200000000000001</c:v>
                </c:pt>
                <c:pt idx="34">
                  <c:v>14.6</c:v>
                </c:pt>
                <c:pt idx="35">
                  <c:v>6.8000000000000007</c:v>
                </c:pt>
                <c:pt idx="36">
                  <c:v>7.8000000000000007</c:v>
                </c:pt>
                <c:pt idx="37">
                  <c:v>8.8000000000000007</c:v>
                </c:pt>
                <c:pt idx="38">
                  <c:v>9.1999999999999993</c:v>
                </c:pt>
                <c:pt idx="39">
                  <c:v>3.7</c:v>
                </c:pt>
                <c:pt idx="40">
                  <c:v>9</c:v>
                </c:pt>
                <c:pt idx="41">
                  <c:v>12.9</c:v>
                </c:pt>
                <c:pt idx="42">
                  <c:v>4.3</c:v>
                </c:pt>
                <c:pt idx="43">
                  <c:v>1.9</c:v>
                </c:pt>
                <c:pt idx="44">
                  <c:v>2.4</c:v>
                </c:pt>
                <c:pt idx="45">
                  <c:v>7.8</c:v>
                </c:pt>
                <c:pt idx="46">
                  <c:v>2</c:v>
                </c:pt>
                <c:pt idx="47">
                  <c:v>4.5999999999999996</c:v>
                </c:pt>
                <c:pt idx="48">
                  <c:v>5.9</c:v>
                </c:pt>
                <c:pt idx="49">
                  <c:v>2.8</c:v>
                </c:pt>
                <c:pt idx="50">
                  <c:v>10.7</c:v>
                </c:pt>
                <c:pt idx="51">
                  <c:v>3.4</c:v>
                </c:pt>
                <c:pt idx="52">
                  <c:v>2.9</c:v>
                </c:pt>
                <c:pt idx="53">
                  <c:v>2.5</c:v>
                </c:pt>
                <c:pt idx="54">
                  <c:v>1.8</c:v>
                </c:pt>
                <c:pt idx="55">
                  <c:v>1.3</c:v>
                </c:pt>
                <c:pt idx="56">
                  <c:v>2.4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D8-4769-B368-833F17AF9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821344"/>
        <c:axId val="1729832384"/>
      </c:lineChart>
      <c:catAx>
        <c:axId val="17298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32384"/>
        <c:crosses val="autoZero"/>
        <c:auto val="1"/>
        <c:lblAlgn val="ctr"/>
        <c:lblOffset val="100"/>
        <c:noMultiLvlLbl val="0"/>
      </c:catAx>
      <c:valAx>
        <c:axId val="172983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 challenge.xlsx]Age wise!PivotTable4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'Age wise'!$B$3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65-43B0-BC1D-20AD927961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65-43B0-BC1D-20AD927961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65-43B0-BC1D-20AD927961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65-43B0-BC1D-20AD927961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65-43B0-BC1D-20AD92796126}"/>
              </c:ext>
            </c:extLst>
          </c:dPt>
          <c:cat>
            <c:strRef>
              <c:f>'Age wise'!$A$4:$A$9</c:f>
              <c:strCach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strCache>
            </c:strRef>
          </c:cat>
          <c:val>
            <c:numRef>
              <c:f>'Age wise'!$B$4:$B$9</c:f>
              <c:numCache>
                <c:formatCode>General</c:formatCode>
                <c:ptCount val="5"/>
                <c:pt idx="0">
                  <c:v>3094.1000000000004</c:v>
                </c:pt>
                <c:pt idx="1">
                  <c:v>2560.2499999999995</c:v>
                </c:pt>
                <c:pt idx="2">
                  <c:v>2625.4999999999995</c:v>
                </c:pt>
                <c:pt idx="3">
                  <c:v>3459</c:v>
                </c:pt>
                <c:pt idx="4">
                  <c:v>2467.85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C-4132-A279-C921B7806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 challenge.xlsx]avg screen time!PivotTable2</c:name>
    <c:fmtId val="4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screen 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screen time'!$A$4:$A$64</c:f>
              <c:strCache>
                <c:ptCount val="60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</c:v>
                </c:pt>
                <c:pt idx="14">
                  <c:v>2.3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4.1</c:v>
                </c:pt>
                <c:pt idx="32">
                  <c:v>4.2</c:v>
                </c:pt>
                <c:pt idx="33">
                  <c:v>4.3</c:v>
                </c:pt>
                <c:pt idx="34">
                  <c:v>4.4</c:v>
                </c:pt>
                <c:pt idx="35">
                  <c:v>4.5</c:v>
                </c:pt>
                <c:pt idx="36">
                  <c:v>4.6</c:v>
                </c:pt>
                <c:pt idx="37">
                  <c:v>4.7</c:v>
                </c:pt>
                <c:pt idx="38">
                  <c:v>4.8</c:v>
                </c:pt>
                <c:pt idx="39">
                  <c:v>4.9</c:v>
                </c:pt>
                <c:pt idx="40">
                  <c:v>5</c:v>
                </c:pt>
                <c:pt idx="41">
                  <c:v>5.2</c:v>
                </c:pt>
                <c:pt idx="42">
                  <c:v>5.3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6</c:v>
                </c:pt>
                <c:pt idx="48">
                  <c:v>6.1</c:v>
                </c:pt>
                <c:pt idx="49">
                  <c:v>6.2</c:v>
                </c:pt>
                <c:pt idx="50">
                  <c:v>6.4</c:v>
                </c:pt>
                <c:pt idx="51">
                  <c:v>6.5</c:v>
                </c:pt>
                <c:pt idx="52">
                  <c:v>6.7</c:v>
                </c:pt>
                <c:pt idx="53">
                  <c:v>6.9</c:v>
                </c:pt>
                <c:pt idx="54">
                  <c:v>7</c:v>
                </c:pt>
                <c:pt idx="55">
                  <c:v>7.1</c:v>
                </c:pt>
                <c:pt idx="56">
                  <c:v>7.5</c:v>
                </c:pt>
                <c:pt idx="57">
                  <c:v>7.6</c:v>
                </c:pt>
                <c:pt idx="58">
                  <c:v>7.8</c:v>
                </c:pt>
                <c:pt idx="59">
                  <c:v>7.9</c:v>
                </c:pt>
              </c:strCache>
            </c:strRef>
          </c:cat>
          <c:val>
            <c:numRef>
              <c:f>'avg screen time'!$B$4:$B$64</c:f>
              <c:numCache>
                <c:formatCode>0.00</c:formatCode>
                <c:ptCount val="60"/>
                <c:pt idx="0">
                  <c:v>64</c:v>
                </c:pt>
                <c:pt idx="1">
                  <c:v>77.599999999999994</c:v>
                </c:pt>
                <c:pt idx="2">
                  <c:v>62.5</c:v>
                </c:pt>
                <c:pt idx="3">
                  <c:v>70.099999999999994</c:v>
                </c:pt>
                <c:pt idx="4">
                  <c:v>69.3</c:v>
                </c:pt>
                <c:pt idx="5">
                  <c:v>62.75</c:v>
                </c:pt>
                <c:pt idx="6">
                  <c:v>75.45</c:v>
                </c:pt>
                <c:pt idx="7">
                  <c:v>78.45</c:v>
                </c:pt>
                <c:pt idx="8">
                  <c:v>68.774999999999991</c:v>
                </c:pt>
                <c:pt idx="9">
                  <c:v>71</c:v>
                </c:pt>
                <c:pt idx="10">
                  <c:v>69.125</c:v>
                </c:pt>
                <c:pt idx="11">
                  <c:v>75.525000000000006</c:v>
                </c:pt>
                <c:pt idx="12">
                  <c:v>66.657142857142858</c:v>
                </c:pt>
                <c:pt idx="13">
                  <c:v>71.675000000000011</c:v>
                </c:pt>
                <c:pt idx="14">
                  <c:v>77.525000000000006</c:v>
                </c:pt>
                <c:pt idx="15">
                  <c:v>70.7</c:v>
                </c:pt>
                <c:pt idx="16">
                  <c:v>58.233333333333341</c:v>
                </c:pt>
                <c:pt idx="17">
                  <c:v>73.124999999999986</c:v>
                </c:pt>
                <c:pt idx="18">
                  <c:v>56.5</c:v>
                </c:pt>
                <c:pt idx="19">
                  <c:v>76.949999999999989</c:v>
                </c:pt>
                <c:pt idx="20">
                  <c:v>60.040000000000006</c:v>
                </c:pt>
                <c:pt idx="21">
                  <c:v>79.266666666666666</c:v>
                </c:pt>
                <c:pt idx="22">
                  <c:v>69.7</c:v>
                </c:pt>
                <c:pt idx="23">
                  <c:v>72.328571428571422</c:v>
                </c:pt>
                <c:pt idx="24">
                  <c:v>65.066666666666677</c:v>
                </c:pt>
                <c:pt idx="25">
                  <c:v>64.466666666666669</c:v>
                </c:pt>
                <c:pt idx="26">
                  <c:v>72.172222222222217</c:v>
                </c:pt>
                <c:pt idx="27">
                  <c:v>70.8</c:v>
                </c:pt>
                <c:pt idx="28">
                  <c:v>79.7</c:v>
                </c:pt>
                <c:pt idx="29">
                  <c:v>77.266666666666666</c:v>
                </c:pt>
                <c:pt idx="30">
                  <c:v>69.474999999999994</c:v>
                </c:pt>
                <c:pt idx="31">
                  <c:v>71.3</c:v>
                </c:pt>
                <c:pt idx="32">
                  <c:v>65.900000000000006</c:v>
                </c:pt>
                <c:pt idx="33">
                  <c:v>74.17</c:v>
                </c:pt>
                <c:pt idx="34">
                  <c:v>69.355555555555554</c:v>
                </c:pt>
                <c:pt idx="35">
                  <c:v>67.325000000000003</c:v>
                </c:pt>
                <c:pt idx="36">
                  <c:v>72.010000000000019</c:v>
                </c:pt>
                <c:pt idx="37">
                  <c:v>71.75</c:v>
                </c:pt>
                <c:pt idx="38">
                  <c:v>64.75</c:v>
                </c:pt>
                <c:pt idx="39">
                  <c:v>70.2</c:v>
                </c:pt>
                <c:pt idx="40">
                  <c:v>79.325000000000003</c:v>
                </c:pt>
                <c:pt idx="41">
                  <c:v>73.637500000000003</c:v>
                </c:pt>
                <c:pt idx="42">
                  <c:v>74.766666666666666</c:v>
                </c:pt>
                <c:pt idx="43">
                  <c:v>61.3</c:v>
                </c:pt>
                <c:pt idx="44">
                  <c:v>86.6</c:v>
                </c:pt>
                <c:pt idx="45">
                  <c:v>81.662499999999994</c:v>
                </c:pt>
                <c:pt idx="46">
                  <c:v>87.65</c:v>
                </c:pt>
                <c:pt idx="47">
                  <c:v>75.466666666666654</c:v>
                </c:pt>
                <c:pt idx="48">
                  <c:v>72.324999999999989</c:v>
                </c:pt>
                <c:pt idx="49">
                  <c:v>66.7</c:v>
                </c:pt>
                <c:pt idx="50">
                  <c:v>60.949999999999996</c:v>
                </c:pt>
                <c:pt idx="51">
                  <c:v>72.650000000000006</c:v>
                </c:pt>
                <c:pt idx="52">
                  <c:v>88</c:v>
                </c:pt>
                <c:pt idx="53">
                  <c:v>74.5</c:v>
                </c:pt>
                <c:pt idx="54">
                  <c:v>69</c:v>
                </c:pt>
                <c:pt idx="55">
                  <c:v>72.5</c:v>
                </c:pt>
                <c:pt idx="56">
                  <c:v>92.8</c:v>
                </c:pt>
                <c:pt idx="57">
                  <c:v>60</c:v>
                </c:pt>
                <c:pt idx="58">
                  <c:v>66.099999999999994</c:v>
                </c:pt>
                <c:pt idx="59">
                  <c:v>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F-47EA-B60F-BD48CEED5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854864"/>
        <c:axId val="1745855344"/>
      </c:barChart>
      <c:catAx>
        <c:axId val="174585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55344"/>
        <c:crosses val="autoZero"/>
        <c:auto val="1"/>
        <c:lblAlgn val="ctr"/>
        <c:lblOffset val="100"/>
        <c:noMultiLvlLbl val="0"/>
      </c:catAx>
      <c:valAx>
        <c:axId val="17458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 challenge.xlsx]Activity trends!PivotTable3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'Activity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'Activity trends'!$A$4:$A$64</c:f>
              <c:strCache>
                <c:ptCount val="60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0.9</c:v>
                </c:pt>
                <c:pt idx="4">
                  <c:v>1</c:v>
                </c:pt>
                <c:pt idx="5">
                  <c:v>1.2</c:v>
                </c:pt>
                <c:pt idx="6">
                  <c:v>1.5</c:v>
                </c:pt>
                <c:pt idx="7">
                  <c:v>1.6</c:v>
                </c:pt>
                <c:pt idx="8">
                  <c:v>1.7</c:v>
                </c:pt>
                <c:pt idx="9">
                  <c:v>1.8</c:v>
                </c:pt>
                <c:pt idx="10">
                  <c:v>1.9</c:v>
                </c:pt>
                <c:pt idx="11">
                  <c:v>2</c:v>
                </c:pt>
                <c:pt idx="12">
                  <c:v>2.1</c:v>
                </c:pt>
                <c:pt idx="13">
                  <c:v>2.2</c:v>
                </c:pt>
                <c:pt idx="14">
                  <c:v>2.3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4.1</c:v>
                </c:pt>
                <c:pt idx="32">
                  <c:v>4.2</c:v>
                </c:pt>
                <c:pt idx="33">
                  <c:v>4.3</c:v>
                </c:pt>
                <c:pt idx="34">
                  <c:v>4.4</c:v>
                </c:pt>
                <c:pt idx="35">
                  <c:v>4.5</c:v>
                </c:pt>
                <c:pt idx="36">
                  <c:v>4.6</c:v>
                </c:pt>
                <c:pt idx="37">
                  <c:v>4.7</c:v>
                </c:pt>
                <c:pt idx="38">
                  <c:v>4.8</c:v>
                </c:pt>
                <c:pt idx="39">
                  <c:v>4.9</c:v>
                </c:pt>
                <c:pt idx="40">
                  <c:v>5</c:v>
                </c:pt>
                <c:pt idx="41">
                  <c:v>5.2</c:v>
                </c:pt>
                <c:pt idx="42">
                  <c:v>5.3</c:v>
                </c:pt>
                <c:pt idx="43">
                  <c:v>5.5</c:v>
                </c:pt>
                <c:pt idx="44">
                  <c:v>5.6</c:v>
                </c:pt>
                <c:pt idx="45">
                  <c:v>5.7</c:v>
                </c:pt>
                <c:pt idx="46">
                  <c:v>5.8</c:v>
                </c:pt>
                <c:pt idx="47">
                  <c:v>6</c:v>
                </c:pt>
                <c:pt idx="48">
                  <c:v>6.1</c:v>
                </c:pt>
                <c:pt idx="49">
                  <c:v>6.2</c:v>
                </c:pt>
                <c:pt idx="50">
                  <c:v>6.4</c:v>
                </c:pt>
                <c:pt idx="51">
                  <c:v>6.5</c:v>
                </c:pt>
                <c:pt idx="52">
                  <c:v>6.7</c:v>
                </c:pt>
                <c:pt idx="53">
                  <c:v>6.9</c:v>
                </c:pt>
                <c:pt idx="54">
                  <c:v>7</c:v>
                </c:pt>
                <c:pt idx="55">
                  <c:v>7.1</c:v>
                </c:pt>
                <c:pt idx="56">
                  <c:v>7.5</c:v>
                </c:pt>
                <c:pt idx="57">
                  <c:v>7.6</c:v>
                </c:pt>
                <c:pt idx="58">
                  <c:v>7.8</c:v>
                </c:pt>
                <c:pt idx="59">
                  <c:v>7.9</c:v>
                </c:pt>
              </c:strCache>
            </c:strRef>
          </c:cat>
          <c:val>
            <c:numRef>
              <c:f>'Activity trends'!$B$4:$B$64</c:f>
              <c:numCache>
                <c:formatCode>General</c:formatCode>
                <c:ptCount val="60"/>
                <c:pt idx="0">
                  <c:v>2.5</c:v>
                </c:pt>
                <c:pt idx="1">
                  <c:v>1.7</c:v>
                </c:pt>
                <c:pt idx="2">
                  <c:v>1.1000000000000001</c:v>
                </c:pt>
                <c:pt idx="3">
                  <c:v>1.5</c:v>
                </c:pt>
                <c:pt idx="4">
                  <c:v>0</c:v>
                </c:pt>
                <c:pt idx="5">
                  <c:v>2.7</c:v>
                </c:pt>
                <c:pt idx="6">
                  <c:v>3.6</c:v>
                </c:pt>
                <c:pt idx="7">
                  <c:v>3.2</c:v>
                </c:pt>
                <c:pt idx="8">
                  <c:v>6.2000000000000011</c:v>
                </c:pt>
                <c:pt idx="9">
                  <c:v>1.7999999999999998</c:v>
                </c:pt>
                <c:pt idx="10">
                  <c:v>3.6</c:v>
                </c:pt>
                <c:pt idx="11">
                  <c:v>6</c:v>
                </c:pt>
                <c:pt idx="12">
                  <c:v>7.9</c:v>
                </c:pt>
                <c:pt idx="13">
                  <c:v>7.3999999999999995</c:v>
                </c:pt>
                <c:pt idx="14">
                  <c:v>2.2000000000000002</c:v>
                </c:pt>
                <c:pt idx="15">
                  <c:v>1.9</c:v>
                </c:pt>
                <c:pt idx="16">
                  <c:v>1.4</c:v>
                </c:pt>
                <c:pt idx="17">
                  <c:v>8.6999999999999993</c:v>
                </c:pt>
                <c:pt idx="18">
                  <c:v>10</c:v>
                </c:pt>
                <c:pt idx="19">
                  <c:v>2.2000000000000002</c:v>
                </c:pt>
                <c:pt idx="20">
                  <c:v>9.1999999999999993</c:v>
                </c:pt>
                <c:pt idx="21">
                  <c:v>4.3</c:v>
                </c:pt>
                <c:pt idx="22">
                  <c:v>4.8000000000000007</c:v>
                </c:pt>
                <c:pt idx="23">
                  <c:v>8</c:v>
                </c:pt>
                <c:pt idx="24">
                  <c:v>4.3</c:v>
                </c:pt>
                <c:pt idx="25">
                  <c:v>6.2</c:v>
                </c:pt>
                <c:pt idx="26">
                  <c:v>16.899999999999999</c:v>
                </c:pt>
                <c:pt idx="27">
                  <c:v>4.7</c:v>
                </c:pt>
                <c:pt idx="28">
                  <c:v>2.2000000000000002</c:v>
                </c:pt>
                <c:pt idx="29">
                  <c:v>6.3</c:v>
                </c:pt>
                <c:pt idx="30">
                  <c:v>3</c:v>
                </c:pt>
                <c:pt idx="31">
                  <c:v>11.1</c:v>
                </c:pt>
                <c:pt idx="32">
                  <c:v>3.5</c:v>
                </c:pt>
                <c:pt idx="33">
                  <c:v>12.200000000000001</c:v>
                </c:pt>
                <c:pt idx="34">
                  <c:v>14.6</c:v>
                </c:pt>
                <c:pt idx="35">
                  <c:v>6.8000000000000007</c:v>
                </c:pt>
                <c:pt idx="36">
                  <c:v>7.8000000000000007</c:v>
                </c:pt>
                <c:pt idx="37">
                  <c:v>8.8000000000000007</c:v>
                </c:pt>
                <c:pt idx="38">
                  <c:v>9.1999999999999993</c:v>
                </c:pt>
                <c:pt idx="39">
                  <c:v>3.7</c:v>
                </c:pt>
                <c:pt idx="40">
                  <c:v>9</c:v>
                </c:pt>
                <c:pt idx="41">
                  <c:v>12.9</c:v>
                </c:pt>
                <c:pt idx="42">
                  <c:v>4.3</c:v>
                </c:pt>
                <c:pt idx="43">
                  <c:v>1.9</c:v>
                </c:pt>
                <c:pt idx="44">
                  <c:v>2.4</c:v>
                </c:pt>
                <c:pt idx="45">
                  <c:v>7.8</c:v>
                </c:pt>
                <c:pt idx="46">
                  <c:v>2</c:v>
                </c:pt>
                <c:pt idx="47">
                  <c:v>4.5999999999999996</c:v>
                </c:pt>
                <c:pt idx="48">
                  <c:v>5.9</c:v>
                </c:pt>
                <c:pt idx="49">
                  <c:v>2.8</c:v>
                </c:pt>
                <c:pt idx="50">
                  <c:v>10.7</c:v>
                </c:pt>
                <c:pt idx="51">
                  <c:v>3.4</c:v>
                </c:pt>
                <c:pt idx="52">
                  <c:v>2.9</c:v>
                </c:pt>
                <c:pt idx="53">
                  <c:v>2.5</c:v>
                </c:pt>
                <c:pt idx="54">
                  <c:v>1.8</c:v>
                </c:pt>
                <c:pt idx="55">
                  <c:v>1.3</c:v>
                </c:pt>
                <c:pt idx="56">
                  <c:v>2.4</c:v>
                </c:pt>
                <c:pt idx="57">
                  <c:v>2.2999999999999998</c:v>
                </c:pt>
                <c:pt idx="58">
                  <c:v>2.2999999999999998</c:v>
                </c:pt>
                <c:pt idx="59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3-456C-B96A-9F263AD2E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9821344"/>
        <c:axId val="1729832384"/>
      </c:lineChart>
      <c:catAx>
        <c:axId val="17298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32384"/>
        <c:crosses val="autoZero"/>
        <c:auto val="1"/>
        <c:lblAlgn val="ctr"/>
        <c:lblOffset val="100"/>
        <c:noMultiLvlLbl val="0"/>
      </c:catAx>
      <c:valAx>
        <c:axId val="172983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 challenge.xlsx]Age wise!PivotTable4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'Age wise'!$B$3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B8-4E8E-9814-1FFD7F8B85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B8-4E8E-9814-1FFD7F8B85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B8-4E8E-9814-1FFD7F8B85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B8-4E8E-9814-1FFD7F8B85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B8-4E8E-9814-1FFD7F8B85B6}"/>
              </c:ext>
            </c:extLst>
          </c:dPt>
          <c:cat>
            <c:strRef>
              <c:f>'Age wise'!$A$4:$A$9</c:f>
              <c:strCache>
                <c:ptCount val="5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</c:strCache>
            </c:strRef>
          </c:cat>
          <c:val>
            <c:numRef>
              <c:f>'Age wise'!$B$4:$B$9</c:f>
              <c:numCache>
                <c:formatCode>General</c:formatCode>
                <c:ptCount val="5"/>
                <c:pt idx="0">
                  <c:v>3094.1000000000004</c:v>
                </c:pt>
                <c:pt idx="1">
                  <c:v>2560.2499999999995</c:v>
                </c:pt>
                <c:pt idx="2">
                  <c:v>2625.4999999999995</c:v>
                </c:pt>
                <c:pt idx="3">
                  <c:v>3459</c:v>
                </c:pt>
                <c:pt idx="4">
                  <c:v>2467.85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B8-4E8E-9814-1FFD7F8B8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4.emf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emf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8</xdr:row>
      <xdr:rowOff>133350</xdr:rowOff>
    </xdr:from>
    <xdr:to>
      <xdr:col>23</xdr:col>
      <xdr:colOff>198120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F5404A-59B5-5B47-2478-C7B6BC404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464820</xdr:colOff>
      <xdr:row>10</xdr:row>
      <xdr:rowOff>156210</xdr:rowOff>
    </xdr:from>
    <xdr:to>
      <xdr:col>10</xdr:col>
      <xdr:colOff>160020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35A88-7CDF-77AD-3CC2-6AB8B8C44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8</xdr:row>
      <xdr:rowOff>133350</xdr:rowOff>
    </xdr:from>
    <xdr:to>
      <xdr:col>11</xdr:col>
      <xdr:colOff>198120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AA0426-6F1D-37D9-1107-252FF5D5B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3</xdr:row>
      <xdr:rowOff>83820</xdr:rowOff>
    </xdr:from>
    <xdr:to>
      <xdr:col>21</xdr:col>
      <xdr:colOff>304800</xdr:colOff>
      <xdr:row>30</xdr:row>
      <xdr:rowOff>167640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6257D87-857B-AD20-16FB-8056AEFA5E48}"/>
            </a:ext>
          </a:extLst>
        </xdr:cNvPr>
        <xdr:cNvSpPr/>
      </xdr:nvSpPr>
      <xdr:spPr>
        <a:xfrm>
          <a:off x="899160" y="632460"/>
          <a:ext cx="12207240" cy="50215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>
              <a:solidFill>
                <a:schemeClr val="accent2">
                  <a:lumMod val="75000"/>
                </a:schemeClr>
              </a:solidFill>
            </a:rPr>
            <a:t>Educational Analytics: Impact of Screen Time on Student Performance </a:t>
          </a:r>
          <a:endParaRPr lang="en-IN" sz="2400" b="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76200</xdr:colOff>
      <xdr:row>3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52CE43FA-6478-456E-8DC6-FD03AC6FF474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685800" cy="5486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IN" sz="1100" b="0" i="0" u="none" strike="noStrike" baseline="0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1</xdr:col>
      <xdr:colOff>502920</xdr:colOff>
      <xdr:row>14</xdr:row>
      <xdr:rowOff>83820</xdr:rowOff>
    </xdr:from>
    <xdr:to>
      <xdr:col>8</xdr:col>
      <xdr:colOff>419100</xdr:colOff>
      <xdr:row>27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4E5A1-743C-42A5-98EE-0BDC11C9A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14</xdr:row>
      <xdr:rowOff>60960</xdr:rowOff>
    </xdr:from>
    <xdr:to>
      <xdr:col>14</xdr:col>
      <xdr:colOff>381000</xdr:colOff>
      <xdr:row>27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FAE8ACD-0173-4E70-887C-5B7150011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518160</xdr:colOff>
      <xdr:row>14</xdr:row>
      <xdr:rowOff>38100</xdr:rowOff>
    </xdr:from>
    <xdr:to>
      <xdr:col>19</xdr:col>
      <xdr:colOff>327660</xdr:colOff>
      <xdr:row>27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6F327CF-EB1C-43AB-9FBE-209E4AB12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434340</xdr:colOff>
      <xdr:row>6</xdr:row>
      <xdr:rowOff>91440</xdr:rowOff>
    </xdr:from>
    <xdr:to>
      <xdr:col>5</xdr:col>
      <xdr:colOff>243840</xdr:colOff>
      <xdr:row>10</xdr:row>
      <xdr:rowOff>99060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E94839-548B-9BE7-7711-5A79D7BC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1188720"/>
          <a:ext cx="224790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342900</xdr:colOff>
      <xdr:row>6</xdr:row>
      <xdr:rowOff>99060</xdr:rowOff>
    </xdr:from>
    <xdr:to>
      <xdr:col>9</xdr:col>
      <xdr:colOff>190500</xdr:colOff>
      <xdr:row>10</xdr:row>
      <xdr:rowOff>106680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7A34FF4-F3AE-A9C9-3B3C-13608A98D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0" y="1196340"/>
          <a:ext cx="228600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289560</xdr:colOff>
      <xdr:row>6</xdr:row>
      <xdr:rowOff>91440</xdr:rowOff>
    </xdr:from>
    <xdr:to>
      <xdr:col>14</xdr:col>
      <xdr:colOff>91440</xdr:colOff>
      <xdr:row>10</xdr:row>
      <xdr:rowOff>99060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66F58A7-A068-14D0-E771-CAD33EAF5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960" y="1188720"/>
          <a:ext cx="284988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320040</xdr:colOff>
      <xdr:row>6</xdr:row>
      <xdr:rowOff>91440</xdr:rowOff>
    </xdr:from>
    <xdr:to>
      <xdr:col>18</xdr:col>
      <xdr:colOff>129540</xdr:colOff>
      <xdr:row>10</xdr:row>
      <xdr:rowOff>99060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D5E6E23-73A6-C152-6428-BC10C5B07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4440" y="1188720"/>
          <a:ext cx="224790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avanthi Belide" refreshedDate="46098.833936342591" createdVersion="8" refreshedVersion="8" minRefreshableVersion="3" recordCount="200" xr:uid="{BBA08A28-26FA-4AB9-BC56-370D785D4B5C}">
  <cacheSource type="worksheet">
    <worksheetSource ref="A1:H201" sheet="student_screen_time_raw"/>
  </cacheSource>
  <cacheFields count="8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 count="5">
        <n v="16"/>
        <n v="17"/>
        <n v="15"/>
        <n v="14"/>
        <n v="13"/>
      </sharedItems>
    </cacheField>
    <cacheField name="Study_Hours" numFmtId="0">
      <sharedItems containsSemiMixedTypes="0" containsString="0" containsNumber="1" minValue="0.2" maxValue="5.8" count="44">
        <n v="2.5"/>
        <n v="2.7"/>
        <n v="3"/>
        <n v="3.5"/>
        <n v="1.3"/>
        <n v="3.3"/>
        <n v="2.9"/>
        <n v="1.4"/>
        <n v="1.8"/>
        <n v="3.4"/>
        <n v="3.1"/>
        <n v="2.2000000000000002"/>
        <n v="2.4"/>
        <n v="3.7"/>
        <n v="2.6"/>
        <n v="1.1000000000000001"/>
        <n v="1.5"/>
        <n v="3.2"/>
        <n v="0.8"/>
        <n v="1.9"/>
        <n v="1.7"/>
        <n v="3.6"/>
        <n v="4.3"/>
        <n v="2.2999999999999998"/>
        <n v="0.6"/>
        <n v="1.2"/>
        <n v="3.8"/>
        <n v="5.6"/>
        <n v="2.8"/>
        <n v="3.9"/>
        <n v="2.1"/>
        <n v="5.3"/>
        <n v="2"/>
        <n v="0.2"/>
        <n v="4.4000000000000004"/>
        <n v="1.6"/>
        <n v="0.5"/>
        <n v="4.2"/>
        <n v="4.0999999999999996"/>
        <n v="4.7"/>
        <n v="0.4"/>
        <n v="4.5"/>
        <n v="1"/>
        <n v="5.8"/>
      </sharedItems>
    </cacheField>
    <cacheField name="Screen_Time" numFmtId="0">
      <sharedItems containsSemiMixedTypes="0" containsString="0" containsNumber="1" minValue="0" maxValue="7.9" count="60">
        <n v="2.7"/>
        <n v="4"/>
        <n v="4.3"/>
        <n v="2.8"/>
        <n v="1.8"/>
        <n v="4.4000000000000004"/>
        <n v="6.7"/>
        <n v="4.5999999999999996"/>
        <n v="4.0999999999999996"/>
        <n v="3.6"/>
        <n v="5.8"/>
        <n v="2.1"/>
        <n v="2"/>
        <n v="1.6"/>
        <n v="5.6"/>
        <n v="3.5"/>
        <n v="4.7"/>
        <n v="5.2"/>
        <n v="6"/>
        <n v="2.6"/>
        <n v="0.5"/>
        <n v="2.5"/>
        <n v="2.9"/>
        <n v="1.2"/>
        <n v="3.1"/>
        <n v="6.4"/>
        <n v="5"/>
        <n v="4.8"/>
        <n v="5.3"/>
        <n v="5.7"/>
        <n v="3.2"/>
        <n v="1.9"/>
        <n v="3.9"/>
        <n v="0.2"/>
        <n v="4.9000000000000004"/>
        <n v="3.7"/>
        <n v="3.3"/>
        <n v="2.2000000000000002"/>
        <n v="3"/>
        <n v="1.7"/>
        <n v="3.8"/>
        <n v="4.2"/>
        <n v="6.1"/>
        <n v="4.5"/>
        <n v="3.4"/>
        <n v="6.9"/>
        <n v="0"/>
        <n v="7.8"/>
        <n v="7.1"/>
        <n v="1"/>
        <n v="0.9"/>
        <n v="7.5"/>
        <n v="2.2999999999999998"/>
        <n v="5.5"/>
        <n v="6.5"/>
        <n v="7.6"/>
        <n v="1.5"/>
        <n v="7.9"/>
        <n v="6.2"/>
        <n v="7"/>
      </sharedItems>
    </cacheField>
    <cacheField name="Test_Scores" numFmtId="0">
      <sharedItems containsSemiMixedTypes="0" containsString="0" containsNumber="1" minValue="34.299999999999997" maxValue="100" count="159">
        <n v="75"/>
        <n v="68.099999999999994"/>
        <n v="67.900000000000006"/>
        <n v="47.2"/>
        <n v="78"/>
        <n v="71.5"/>
        <n v="88"/>
        <n v="69.3"/>
        <n v="75.7"/>
        <n v="78.3"/>
        <n v="52.5"/>
        <n v="96.2"/>
        <n v="65.7"/>
        <n v="74.900000000000006"/>
        <n v="76.400000000000006"/>
        <n v="61.9"/>
        <n v="88.5"/>
        <n v="72.7"/>
        <n v="71.400000000000006"/>
        <n v="77.599999999999994"/>
        <n v="70.099999999999994"/>
        <n v="78.8"/>
        <n v="53.2"/>
        <n v="62.5"/>
        <n v="48.6"/>
        <n v="90"/>
        <n v="89.8"/>
        <n v="76.3"/>
        <n v="59.9"/>
        <n v="93.9"/>
        <n v="64"/>
        <n v="71.599999999999994"/>
        <n v="74.5"/>
        <n v="76.8"/>
        <n v="74.849999999999994"/>
        <n v="76.7"/>
        <n v="75.8"/>
        <n v="65.599999999999994"/>
        <n v="74.599999999999994"/>
        <n v="76.5"/>
        <n v="57.1"/>
        <n v="67.3"/>
        <n v="76.099999999999994"/>
        <n v="87.1"/>
        <n v="78.2"/>
        <n v="87.7"/>
        <n v="66"/>
        <n v="72.5"/>
        <n v="78.099999999999994"/>
        <n v="46.7"/>
        <n v="51.4"/>
        <n v="80"/>
        <n v="76.900000000000006"/>
        <n v="46.6"/>
        <n v="47.1"/>
        <n v="82.1"/>
        <n v="61.2"/>
        <n v="75.099999999999994"/>
        <n v="69.900000000000006"/>
        <n v="80.5"/>
        <n v="74.8"/>
        <n v="85.8"/>
        <n v="79.7"/>
        <n v="77.2"/>
        <n v="66.5"/>
        <n v="69.5"/>
        <n v="88.4"/>
        <n v="65.900000000000006"/>
        <n v="72.599999999999994"/>
        <n v="47.6"/>
        <n v="92.6"/>
        <n v="60.7"/>
        <n v="100"/>
        <n v="71.8"/>
        <n v="44.3"/>
        <n v="66.099999999999994"/>
        <n v="83.3"/>
        <n v="85.7"/>
        <n v="58.2"/>
        <n v="63.2"/>
        <n v="63.9"/>
        <n v="72.099999999999994"/>
        <n v="78.7"/>
        <n v="60.6"/>
        <n v="72"/>
        <n v="83"/>
        <n v="63.7"/>
        <n v="65"/>
        <n v="74.2"/>
        <n v="57.7"/>
        <n v="59"/>
        <n v="75.400000000000006"/>
        <n v="56.4"/>
        <n v="84"/>
        <n v="63.1"/>
        <n v="76.2"/>
        <n v="60.8"/>
        <n v="67.5"/>
        <n v="78.400000000000006"/>
        <n v="69.599999999999994"/>
        <n v="70.8"/>
        <n v="73.099999999999994"/>
        <n v="58.1"/>
        <n v="72.8"/>
        <n v="62.8"/>
        <n v="79.099999999999994"/>
        <n v="63.3"/>
        <n v="63.4"/>
        <n v="92.8"/>
        <n v="71.099999999999994"/>
        <n v="81.3"/>
        <n v="64.2"/>
        <n v="60.9"/>
        <n v="61.3"/>
        <n v="53.9"/>
        <n v="83.5"/>
        <n v="66.7"/>
        <n v="65.5"/>
        <n v="48.8"/>
        <n v="55.7"/>
        <n v="84.7"/>
        <n v="73"/>
        <n v="81.7"/>
        <n v="80.400000000000006"/>
        <n v="60"/>
        <n v="94.3"/>
        <n v="89.5"/>
        <n v="64.400000000000006"/>
        <n v="34.299999999999997"/>
        <n v="66.400000000000006"/>
        <n v="72.400000000000006"/>
        <n v="64.3"/>
        <n v="67.8"/>
        <n v="61.7"/>
        <n v="79.2"/>
        <n v="70.599999999999994"/>
        <n v="79.5"/>
        <n v="82.2"/>
        <n v="48.3"/>
        <n v="62.3"/>
        <n v="63.8"/>
        <n v="95.7"/>
        <n v="51.2"/>
        <n v="79.8"/>
        <n v="78.599999999999994"/>
        <n v="53.1"/>
        <n v="61"/>
        <n v="72.3"/>
        <n v="74.7"/>
        <n v="83.7"/>
        <n v="79.599999999999994"/>
        <n v="77.5"/>
        <n v="80.099999999999994"/>
        <n v="64.900000000000006"/>
        <n v="69"/>
        <n v="65.2"/>
        <n v="80.2"/>
        <n v="82.5"/>
        <n v="66.3"/>
      </sharedItems>
    </cacheField>
    <cacheField name="Extra_Curricular_Hours" numFmtId="0">
      <sharedItems containsSemiMixedTypes="0" containsString="0" containsNumber="1" minValue="0" maxValue="3.7"/>
    </cacheField>
    <cacheField name="Screen flag time" numFmtId="0">
      <sharedItems count="2">
        <s v="Low  Screen Time (&lt;=4h)"/>
        <s v="High Screen Time (&gt;4h)"/>
      </sharedItems>
    </cacheField>
    <cacheField name="Age group" numFmtId="0">
      <sharedItems count="2">
        <s v="Senior (15-17)"/>
        <s v="Junior (13-14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avanthi Belide" refreshedDate="46098.886124537035" backgroundQuery="1" createdVersion="8" refreshedVersion="8" minRefreshableVersion="3" recordCount="0" supportSubquery="1" supportAdvancedDrill="1" xr:uid="{ADBFBE03-5CE1-48C3-91A5-2DF816C18DDB}">
  <cacheSource type="external" connectionId="2"/>
  <cacheFields count="2">
    <cacheField name="[Range].[Age group].[Age group]" caption="Age group" numFmtId="0" hierarchy="7" level="1">
      <sharedItems count="2">
        <s v="Junior (13-14)"/>
        <s v="Senior (15-17)"/>
      </sharedItems>
    </cacheField>
    <cacheField name="[Measures].[Average of Screen_Time]" caption="Average of Screen_Time" numFmtId="0" hierarchy="12" level="32767"/>
  </cacheFields>
  <cacheHierarchies count="13">
    <cacheHierarchy uniqueName="[Range].[Student_ID]" caption="Student_ID" attribute="1" defaultMemberUniqueName="[Range].[Student_ID].[All]" allUniqueName="[Range].[Student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Study_Hours]" caption="Study_Hours" attribute="1" defaultMemberUniqueName="[Range].[Study_Hours].[All]" allUniqueName="[Range].[Study_Hours].[All]" dimensionUniqueName="[Range]" displayFolder="" count="0" memberValueDatatype="5" unbalanced="0"/>
    <cacheHierarchy uniqueName="[Range].[Screen_Time]" caption="Screen_Time" attribute="1" defaultMemberUniqueName="[Range].[Screen_Time].[All]" allUniqueName="[Range].[Screen_Time].[All]" dimensionUniqueName="[Range]" displayFolder="" count="0" memberValueDatatype="5" unbalanced="0"/>
    <cacheHierarchy uniqueName="[Range].[Test_Scores]" caption="Test_Scores" attribute="1" defaultMemberUniqueName="[Range].[Test_Scores].[All]" allUniqueName="[Range].[Test_Scores].[All]" dimensionUniqueName="[Range]" displayFolder="" count="0" memberValueDatatype="5" unbalanced="0"/>
    <cacheHierarchy uniqueName="[Range].[Extra_Curricular_Hours]" caption="Extra_Curricular_Hours" attribute="1" defaultMemberUniqueName="[Range].[Extra_Curricular_Hours].[All]" allUniqueName="[Range].[Extra_Curricular_Hours].[All]" dimensionUniqueName="[Range]" displayFolder="" count="0" memberValueDatatype="5" unbalanced="0"/>
    <cacheHierarchy uniqueName="[Range].[Screen flag time]" caption="Screen flag time" attribute="1" defaultMemberUniqueName="[Range].[Screen flag time].[All]" allUniqueName="[Range].[Screen flag time].[All]" dimensionUniqueName="[Range]" displayFolder="" count="0" memberValueDatatype="130" unbalanced="0"/>
    <cacheHierarchy uniqueName="[Range].[Age group]" caption="Age group" attribute="1" defaultMemberUniqueName="[Range].[Age group].[All]" allUniqueName="[Range].[Age group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creen_Time]" caption="Sum of Screen_Ti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Screen_Time]" caption="Average of Screen_Ti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x v="0"/>
    <x v="0"/>
    <n v="1.6"/>
    <x v="0"/>
    <x v="0"/>
  </r>
  <r>
    <n v="2"/>
    <x v="1"/>
    <x v="1"/>
    <x v="1"/>
    <x v="1"/>
    <n v="0.7"/>
    <x v="0"/>
    <x v="0"/>
  </r>
  <r>
    <n v="3"/>
    <x v="2"/>
    <x v="2"/>
    <x v="2"/>
    <x v="2"/>
    <n v="1.5"/>
    <x v="1"/>
    <x v="0"/>
  </r>
  <r>
    <n v="4"/>
    <x v="1"/>
    <x v="2"/>
    <x v="3"/>
    <x v="3"/>
    <n v="1.8"/>
    <x v="0"/>
    <x v="0"/>
  </r>
  <r>
    <n v="5"/>
    <x v="1"/>
    <x v="3"/>
    <x v="4"/>
    <x v="4"/>
    <n v="1.4"/>
    <x v="0"/>
    <x v="0"/>
  </r>
  <r>
    <n v="6"/>
    <x v="3"/>
    <x v="4"/>
    <x v="5"/>
    <x v="5"/>
    <n v="0.4"/>
    <x v="1"/>
    <x v="1"/>
  </r>
  <r>
    <n v="7"/>
    <x v="2"/>
    <x v="5"/>
    <x v="6"/>
    <x v="6"/>
    <n v="2.9"/>
    <x v="1"/>
    <x v="0"/>
  </r>
  <r>
    <n v="8"/>
    <x v="2"/>
    <x v="6"/>
    <x v="7"/>
    <x v="7"/>
    <n v="1.6"/>
    <x v="1"/>
    <x v="0"/>
  </r>
  <r>
    <n v="9"/>
    <x v="2"/>
    <x v="7"/>
    <x v="8"/>
    <x v="8"/>
    <n v="0.9"/>
    <x v="1"/>
    <x v="0"/>
  </r>
  <r>
    <n v="10"/>
    <x v="1"/>
    <x v="8"/>
    <x v="8"/>
    <x v="9"/>
    <n v="2.8"/>
    <x v="1"/>
    <x v="0"/>
  </r>
  <r>
    <n v="11"/>
    <x v="0"/>
    <x v="9"/>
    <x v="9"/>
    <x v="10"/>
    <n v="2"/>
    <x v="0"/>
    <x v="0"/>
  </r>
  <r>
    <n v="12"/>
    <x v="2"/>
    <x v="10"/>
    <x v="10"/>
    <x v="11"/>
    <n v="0.5"/>
    <x v="1"/>
    <x v="0"/>
  </r>
  <r>
    <n v="13"/>
    <x v="1"/>
    <x v="8"/>
    <x v="11"/>
    <x v="12"/>
    <n v="0.7"/>
    <x v="0"/>
    <x v="0"/>
  </r>
  <r>
    <n v="14"/>
    <x v="3"/>
    <x v="11"/>
    <x v="12"/>
    <x v="13"/>
    <n v="1.3"/>
    <x v="0"/>
    <x v="1"/>
  </r>
  <r>
    <n v="15"/>
    <x v="0"/>
    <x v="12"/>
    <x v="13"/>
    <x v="14"/>
    <n v="1.7"/>
    <x v="0"/>
    <x v="0"/>
  </r>
  <r>
    <n v="16"/>
    <x v="3"/>
    <x v="10"/>
    <x v="8"/>
    <x v="15"/>
    <n v="2"/>
    <x v="1"/>
    <x v="1"/>
  </r>
  <r>
    <n v="17"/>
    <x v="0"/>
    <x v="13"/>
    <x v="14"/>
    <x v="16"/>
    <n v="2.2999999999999998"/>
    <x v="1"/>
    <x v="0"/>
  </r>
  <r>
    <n v="18"/>
    <x v="1"/>
    <x v="14"/>
    <x v="5"/>
    <x v="17"/>
    <n v="1.9"/>
    <x v="1"/>
    <x v="0"/>
  </r>
  <r>
    <n v="19"/>
    <x v="4"/>
    <x v="3"/>
    <x v="15"/>
    <x v="2"/>
    <n v="2.6"/>
    <x v="0"/>
    <x v="1"/>
  </r>
  <r>
    <n v="20"/>
    <x v="0"/>
    <x v="9"/>
    <x v="16"/>
    <x v="18"/>
    <n v="1.6"/>
    <x v="1"/>
    <x v="0"/>
  </r>
  <r>
    <n v="21"/>
    <x v="3"/>
    <x v="1"/>
    <x v="2"/>
    <x v="19"/>
    <n v="0.9"/>
    <x v="1"/>
    <x v="1"/>
  </r>
  <r>
    <n v="22"/>
    <x v="1"/>
    <x v="15"/>
    <x v="17"/>
    <x v="20"/>
    <n v="1.5"/>
    <x v="1"/>
    <x v="0"/>
  </r>
  <r>
    <n v="23"/>
    <x v="0"/>
    <x v="16"/>
    <x v="18"/>
    <x v="21"/>
    <n v="1.4"/>
    <x v="1"/>
    <x v="0"/>
  </r>
  <r>
    <n v="24"/>
    <x v="4"/>
    <x v="17"/>
    <x v="19"/>
    <x v="22"/>
    <n v="0"/>
    <x v="0"/>
    <x v="1"/>
  </r>
  <r>
    <n v="25"/>
    <x v="4"/>
    <x v="18"/>
    <x v="20"/>
    <x v="23"/>
    <n v="1.1000000000000001"/>
    <x v="0"/>
    <x v="1"/>
  </r>
  <r>
    <n v="26"/>
    <x v="2"/>
    <x v="14"/>
    <x v="15"/>
    <x v="24"/>
    <n v="1.8"/>
    <x v="0"/>
    <x v="0"/>
  </r>
  <r>
    <n v="27"/>
    <x v="2"/>
    <x v="3"/>
    <x v="21"/>
    <x v="25"/>
    <n v="1.2"/>
    <x v="0"/>
    <x v="0"/>
  </r>
  <r>
    <n v="28"/>
    <x v="3"/>
    <x v="1"/>
    <x v="17"/>
    <x v="26"/>
    <n v="1"/>
    <x v="1"/>
    <x v="1"/>
  </r>
  <r>
    <n v="29"/>
    <x v="0"/>
    <x v="19"/>
    <x v="22"/>
    <x v="27"/>
    <n v="2.2000000000000002"/>
    <x v="0"/>
    <x v="0"/>
  </r>
  <r>
    <n v="30"/>
    <x v="0"/>
    <x v="20"/>
    <x v="23"/>
    <x v="28"/>
    <n v="0.8"/>
    <x v="0"/>
    <x v="0"/>
  </r>
  <r>
    <n v="31"/>
    <x v="2"/>
    <x v="5"/>
    <x v="24"/>
    <x v="29"/>
    <n v="2.1"/>
    <x v="0"/>
    <x v="0"/>
  </r>
  <r>
    <n v="32"/>
    <x v="0"/>
    <x v="2"/>
    <x v="4"/>
    <x v="30"/>
    <n v="0.4"/>
    <x v="0"/>
    <x v="0"/>
  </r>
  <r>
    <n v="33"/>
    <x v="0"/>
    <x v="11"/>
    <x v="25"/>
    <x v="2"/>
    <n v="3.7"/>
    <x v="1"/>
    <x v="0"/>
  </r>
  <r>
    <n v="34"/>
    <x v="4"/>
    <x v="21"/>
    <x v="16"/>
    <x v="31"/>
    <n v="1.3"/>
    <x v="1"/>
    <x v="1"/>
  </r>
  <r>
    <n v="35"/>
    <x v="2"/>
    <x v="9"/>
    <x v="26"/>
    <x v="32"/>
    <n v="1.2"/>
    <x v="1"/>
    <x v="0"/>
  </r>
  <r>
    <n v="36"/>
    <x v="1"/>
    <x v="22"/>
    <x v="27"/>
    <x v="14"/>
    <n v="2.4"/>
    <x v="1"/>
    <x v="0"/>
  </r>
  <r>
    <n v="37"/>
    <x v="2"/>
    <x v="10"/>
    <x v="28"/>
    <x v="33"/>
    <n v="1.2"/>
    <x v="1"/>
    <x v="0"/>
  </r>
  <r>
    <n v="38"/>
    <x v="1"/>
    <x v="23"/>
    <x v="29"/>
    <x v="34"/>
    <n v="2.7"/>
    <x v="1"/>
    <x v="0"/>
  </r>
  <r>
    <n v="39"/>
    <x v="4"/>
    <x v="12"/>
    <x v="30"/>
    <x v="35"/>
    <n v="1.8"/>
    <x v="0"/>
    <x v="1"/>
  </r>
  <r>
    <n v="40"/>
    <x v="3"/>
    <x v="24"/>
    <x v="31"/>
    <x v="34"/>
    <n v="1.4"/>
    <x v="0"/>
    <x v="1"/>
  </r>
  <r>
    <n v="41"/>
    <x v="0"/>
    <x v="1"/>
    <x v="0"/>
    <x v="36"/>
    <n v="1.3"/>
    <x v="0"/>
    <x v="0"/>
  </r>
  <r>
    <n v="42"/>
    <x v="4"/>
    <x v="3"/>
    <x v="32"/>
    <x v="0"/>
    <n v="2.5"/>
    <x v="0"/>
    <x v="1"/>
  </r>
  <r>
    <n v="43"/>
    <x v="0"/>
    <x v="25"/>
    <x v="33"/>
    <x v="19"/>
    <n v="1.7"/>
    <x v="0"/>
    <x v="0"/>
  </r>
  <r>
    <n v="44"/>
    <x v="3"/>
    <x v="0"/>
    <x v="29"/>
    <x v="14"/>
    <n v="1.8"/>
    <x v="1"/>
    <x v="1"/>
  </r>
  <r>
    <n v="45"/>
    <x v="3"/>
    <x v="26"/>
    <x v="23"/>
    <x v="37"/>
    <n v="1.9"/>
    <x v="0"/>
    <x v="1"/>
  </r>
  <r>
    <n v="46"/>
    <x v="4"/>
    <x v="8"/>
    <x v="34"/>
    <x v="38"/>
    <n v="1.6"/>
    <x v="1"/>
    <x v="1"/>
  </r>
  <r>
    <n v="47"/>
    <x v="3"/>
    <x v="16"/>
    <x v="35"/>
    <x v="39"/>
    <n v="1.9"/>
    <x v="0"/>
    <x v="1"/>
  </r>
  <r>
    <n v="48"/>
    <x v="1"/>
    <x v="21"/>
    <x v="5"/>
    <x v="40"/>
    <n v="1.4"/>
    <x v="1"/>
    <x v="0"/>
  </r>
  <r>
    <n v="49"/>
    <x v="3"/>
    <x v="10"/>
    <x v="36"/>
    <x v="41"/>
    <n v="1.5"/>
    <x v="0"/>
    <x v="1"/>
  </r>
  <r>
    <n v="50"/>
    <x v="0"/>
    <x v="27"/>
    <x v="2"/>
    <x v="42"/>
    <n v="0.6"/>
    <x v="1"/>
    <x v="0"/>
  </r>
  <r>
    <n v="51"/>
    <x v="0"/>
    <x v="25"/>
    <x v="36"/>
    <x v="43"/>
    <n v="1.7"/>
    <x v="0"/>
    <x v="0"/>
  </r>
  <r>
    <n v="52"/>
    <x v="0"/>
    <x v="17"/>
    <x v="30"/>
    <x v="44"/>
    <n v="0.1"/>
    <x v="0"/>
    <x v="0"/>
  </r>
  <r>
    <n v="53"/>
    <x v="0"/>
    <x v="28"/>
    <x v="0"/>
    <x v="45"/>
    <n v="1.7"/>
    <x v="0"/>
    <x v="0"/>
  </r>
  <r>
    <n v="54"/>
    <x v="1"/>
    <x v="14"/>
    <x v="11"/>
    <x v="46"/>
    <n v="1.3"/>
    <x v="0"/>
    <x v="0"/>
  </r>
  <r>
    <n v="55"/>
    <x v="2"/>
    <x v="9"/>
    <x v="7"/>
    <x v="47"/>
    <n v="1.8"/>
    <x v="1"/>
    <x v="0"/>
  </r>
  <r>
    <n v="56"/>
    <x v="4"/>
    <x v="0"/>
    <x v="2"/>
    <x v="48"/>
    <n v="0.7"/>
    <x v="1"/>
    <x v="1"/>
  </r>
  <r>
    <n v="57"/>
    <x v="0"/>
    <x v="24"/>
    <x v="0"/>
    <x v="49"/>
    <n v="0"/>
    <x v="0"/>
    <x v="0"/>
  </r>
  <r>
    <n v="58"/>
    <x v="3"/>
    <x v="20"/>
    <x v="9"/>
    <x v="34"/>
    <n v="1.2"/>
    <x v="0"/>
    <x v="1"/>
  </r>
  <r>
    <n v="59"/>
    <x v="0"/>
    <x v="29"/>
    <x v="21"/>
    <x v="50"/>
    <n v="0.7"/>
    <x v="0"/>
    <x v="0"/>
  </r>
  <r>
    <n v="60"/>
    <x v="3"/>
    <x v="13"/>
    <x v="36"/>
    <x v="51"/>
    <n v="0.1"/>
    <x v="0"/>
    <x v="1"/>
  </r>
  <r>
    <n v="61"/>
    <x v="3"/>
    <x v="30"/>
    <x v="37"/>
    <x v="52"/>
    <n v="2.1"/>
    <x v="0"/>
    <x v="1"/>
  </r>
  <r>
    <n v="62"/>
    <x v="0"/>
    <x v="2"/>
    <x v="25"/>
    <x v="53"/>
    <n v="2.8"/>
    <x v="1"/>
    <x v="0"/>
  </r>
  <r>
    <n v="63"/>
    <x v="1"/>
    <x v="31"/>
    <x v="11"/>
    <x v="54"/>
    <n v="0.9"/>
    <x v="0"/>
    <x v="0"/>
  </r>
  <r>
    <n v="64"/>
    <x v="3"/>
    <x v="0"/>
    <x v="0"/>
    <x v="34"/>
    <n v="1.4"/>
    <x v="0"/>
    <x v="1"/>
  </r>
  <r>
    <n v="65"/>
    <x v="3"/>
    <x v="0"/>
    <x v="12"/>
    <x v="55"/>
    <n v="1.3"/>
    <x v="0"/>
    <x v="1"/>
  </r>
  <r>
    <n v="66"/>
    <x v="0"/>
    <x v="1"/>
    <x v="3"/>
    <x v="56"/>
    <n v="1"/>
    <x v="0"/>
    <x v="0"/>
  </r>
  <r>
    <n v="67"/>
    <x v="3"/>
    <x v="10"/>
    <x v="36"/>
    <x v="56"/>
    <n v="2"/>
    <x v="0"/>
    <x v="1"/>
  </r>
  <r>
    <n v="68"/>
    <x v="3"/>
    <x v="11"/>
    <x v="32"/>
    <x v="57"/>
    <n v="2.2999999999999998"/>
    <x v="0"/>
    <x v="1"/>
  </r>
  <r>
    <n v="69"/>
    <x v="0"/>
    <x v="10"/>
    <x v="38"/>
    <x v="58"/>
    <n v="0.8"/>
    <x v="0"/>
    <x v="0"/>
  </r>
  <r>
    <n v="70"/>
    <x v="0"/>
    <x v="24"/>
    <x v="13"/>
    <x v="59"/>
    <n v="1.5"/>
    <x v="0"/>
    <x v="0"/>
  </r>
  <r>
    <n v="71"/>
    <x v="4"/>
    <x v="28"/>
    <x v="39"/>
    <x v="60"/>
    <n v="2.5"/>
    <x v="0"/>
    <x v="1"/>
  </r>
  <r>
    <n v="72"/>
    <x v="1"/>
    <x v="14"/>
    <x v="26"/>
    <x v="61"/>
    <n v="2.1"/>
    <x v="1"/>
    <x v="0"/>
  </r>
  <r>
    <n v="73"/>
    <x v="1"/>
    <x v="23"/>
    <x v="40"/>
    <x v="62"/>
    <n v="2.2000000000000002"/>
    <x v="0"/>
    <x v="0"/>
  </r>
  <r>
    <n v="74"/>
    <x v="3"/>
    <x v="32"/>
    <x v="26"/>
    <x v="63"/>
    <n v="2.6"/>
    <x v="1"/>
    <x v="1"/>
  </r>
  <r>
    <n v="75"/>
    <x v="1"/>
    <x v="19"/>
    <x v="17"/>
    <x v="64"/>
    <n v="2.6"/>
    <x v="1"/>
    <x v="0"/>
  </r>
  <r>
    <n v="76"/>
    <x v="3"/>
    <x v="20"/>
    <x v="41"/>
    <x v="12"/>
    <n v="2.2999999999999998"/>
    <x v="1"/>
    <x v="1"/>
  </r>
  <r>
    <n v="77"/>
    <x v="4"/>
    <x v="33"/>
    <x v="37"/>
    <x v="65"/>
    <n v="1.6"/>
    <x v="0"/>
    <x v="1"/>
  </r>
  <r>
    <n v="78"/>
    <x v="0"/>
    <x v="11"/>
    <x v="2"/>
    <x v="66"/>
    <n v="1.2"/>
    <x v="1"/>
    <x v="0"/>
  </r>
  <r>
    <n v="79"/>
    <x v="0"/>
    <x v="21"/>
    <x v="42"/>
    <x v="67"/>
    <n v="1.6"/>
    <x v="1"/>
    <x v="0"/>
  </r>
  <r>
    <n v="80"/>
    <x v="0"/>
    <x v="11"/>
    <x v="36"/>
    <x v="68"/>
    <n v="1.1000000000000001"/>
    <x v="0"/>
    <x v="0"/>
  </r>
  <r>
    <n v="81"/>
    <x v="1"/>
    <x v="10"/>
    <x v="43"/>
    <x v="69"/>
    <n v="0"/>
    <x v="1"/>
    <x v="0"/>
  </r>
  <r>
    <n v="82"/>
    <x v="4"/>
    <x v="7"/>
    <x v="1"/>
    <x v="33"/>
    <n v="1.3"/>
    <x v="0"/>
    <x v="1"/>
  </r>
  <r>
    <n v="83"/>
    <x v="1"/>
    <x v="25"/>
    <x v="42"/>
    <x v="70"/>
    <n v="1.8"/>
    <x v="1"/>
    <x v="0"/>
  </r>
  <r>
    <n v="84"/>
    <x v="1"/>
    <x v="20"/>
    <x v="38"/>
    <x v="71"/>
    <n v="1"/>
    <x v="0"/>
    <x v="0"/>
  </r>
  <r>
    <n v="85"/>
    <x v="4"/>
    <x v="16"/>
    <x v="29"/>
    <x v="72"/>
    <n v="1.3"/>
    <x v="1"/>
    <x v="1"/>
  </r>
  <r>
    <n v="86"/>
    <x v="4"/>
    <x v="4"/>
    <x v="44"/>
    <x v="73"/>
    <n v="1.4"/>
    <x v="0"/>
    <x v="1"/>
  </r>
  <r>
    <n v="87"/>
    <x v="4"/>
    <x v="6"/>
    <x v="38"/>
    <x v="74"/>
    <n v="2.6"/>
    <x v="0"/>
    <x v="1"/>
  </r>
  <r>
    <n v="88"/>
    <x v="4"/>
    <x v="22"/>
    <x v="41"/>
    <x v="75"/>
    <n v="1.2"/>
    <x v="1"/>
    <x v="1"/>
  </r>
  <r>
    <n v="89"/>
    <x v="0"/>
    <x v="8"/>
    <x v="43"/>
    <x v="76"/>
    <n v="2.6"/>
    <x v="1"/>
    <x v="0"/>
  </r>
  <r>
    <n v="90"/>
    <x v="2"/>
    <x v="3"/>
    <x v="45"/>
    <x v="25"/>
    <n v="0"/>
    <x v="1"/>
    <x v="0"/>
  </r>
  <r>
    <n v="91"/>
    <x v="2"/>
    <x v="17"/>
    <x v="43"/>
    <x v="63"/>
    <n v="2.6"/>
    <x v="1"/>
    <x v="0"/>
  </r>
  <r>
    <n v="92"/>
    <x v="4"/>
    <x v="15"/>
    <x v="2"/>
    <x v="77"/>
    <n v="2.5"/>
    <x v="1"/>
    <x v="1"/>
  </r>
  <r>
    <n v="93"/>
    <x v="2"/>
    <x v="4"/>
    <x v="25"/>
    <x v="78"/>
    <n v="2.2000000000000002"/>
    <x v="1"/>
    <x v="0"/>
  </r>
  <r>
    <n v="94"/>
    <x v="2"/>
    <x v="2"/>
    <x v="34"/>
    <x v="79"/>
    <n v="0"/>
    <x v="1"/>
    <x v="0"/>
  </r>
  <r>
    <n v="95"/>
    <x v="4"/>
    <x v="23"/>
    <x v="38"/>
    <x v="22"/>
    <n v="2.2999999999999998"/>
    <x v="0"/>
    <x v="1"/>
  </r>
  <r>
    <n v="96"/>
    <x v="2"/>
    <x v="8"/>
    <x v="18"/>
    <x v="80"/>
    <n v="1.5"/>
    <x v="1"/>
    <x v="0"/>
  </r>
  <r>
    <n v="97"/>
    <x v="1"/>
    <x v="14"/>
    <x v="22"/>
    <x v="19"/>
    <n v="0"/>
    <x v="0"/>
    <x v="0"/>
  </r>
  <r>
    <n v="98"/>
    <x v="3"/>
    <x v="30"/>
    <x v="38"/>
    <x v="81"/>
    <n v="2.5"/>
    <x v="0"/>
    <x v="1"/>
  </r>
  <r>
    <n v="99"/>
    <x v="3"/>
    <x v="34"/>
    <x v="0"/>
    <x v="82"/>
    <n v="2.7"/>
    <x v="0"/>
    <x v="1"/>
  </r>
  <r>
    <n v="100"/>
    <x v="4"/>
    <x v="8"/>
    <x v="19"/>
    <x v="83"/>
    <n v="0"/>
    <x v="0"/>
    <x v="1"/>
  </r>
  <r>
    <n v="101"/>
    <x v="0"/>
    <x v="35"/>
    <x v="43"/>
    <x v="56"/>
    <n v="1.6"/>
    <x v="1"/>
    <x v="0"/>
  </r>
  <r>
    <n v="102"/>
    <x v="4"/>
    <x v="32"/>
    <x v="9"/>
    <x v="84"/>
    <n v="2.6"/>
    <x v="0"/>
    <x v="1"/>
  </r>
  <r>
    <n v="103"/>
    <x v="0"/>
    <x v="30"/>
    <x v="46"/>
    <x v="30"/>
    <n v="2.5"/>
    <x v="0"/>
    <x v="0"/>
  </r>
  <r>
    <n v="104"/>
    <x v="3"/>
    <x v="3"/>
    <x v="9"/>
    <x v="85"/>
    <n v="2.2000000000000002"/>
    <x v="0"/>
    <x v="1"/>
  </r>
  <r>
    <n v="105"/>
    <x v="4"/>
    <x v="36"/>
    <x v="30"/>
    <x v="86"/>
    <n v="0"/>
    <x v="0"/>
    <x v="1"/>
  </r>
  <r>
    <n v="106"/>
    <x v="1"/>
    <x v="6"/>
    <x v="28"/>
    <x v="87"/>
    <n v="2.1"/>
    <x v="1"/>
    <x v="0"/>
  </r>
  <r>
    <n v="107"/>
    <x v="2"/>
    <x v="32"/>
    <x v="30"/>
    <x v="88"/>
    <n v="1.3"/>
    <x v="0"/>
    <x v="0"/>
  </r>
  <r>
    <n v="108"/>
    <x v="0"/>
    <x v="5"/>
    <x v="47"/>
    <x v="75"/>
    <n v="2.2999999999999998"/>
    <x v="1"/>
    <x v="0"/>
  </r>
  <r>
    <n v="109"/>
    <x v="2"/>
    <x v="0"/>
    <x v="42"/>
    <x v="89"/>
    <n v="1.7"/>
    <x v="1"/>
    <x v="0"/>
  </r>
  <r>
    <n v="110"/>
    <x v="2"/>
    <x v="2"/>
    <x v="44"/>
    <x v="90"/>
    <n v="1.5"/>
    <x v="0"/>
    <x v="0"/>
  </r>
  <r>
    <n v="111"/>
    <x v="4"/>
    <x v="30"/>
    <x v="29"/>
    <x v="91"/>
    <n v="2"/>
    <x v="1"/>
    <x v="1"/>
  </r>
  <r>
    <n v="112"/>
    <x v="2"/>
    <x v="6"/>
    <x v="11"/>
    <x v="92"/>
    <n v="1.4"/>
    <x v="0"/>
    <x v="0"/>
  </r>
  <r>
    <n v="113"/>
    <x v="1"/>
    <x v="37"/>
    <x v="5"/>
    <x v="93"/>
    <n v="1.5"/>
    <x v="1"/>
    <x v="0"/>
  </r>
  <r>
    <n v="114"/>
    <x v="2"/>
    <x v="8"/>
    <x v="17"/>
    <x v="94"/>
    <n v="1.1000000000000001"/>
    <x v="1"/>
    <x v="0"/>
  </r>
  <r>
    <n v="115"/>
    <x v="4"/>
    <x v="12"/>
    <x v="8"/>
    <x v="95"/>
    <n v="0.2"/>
    <x v="1"/>
    <x v="1"/>
  </r>
  <r>
    <n v="116"/>
    <x v="1"/>
    <x v="32"/>
    <x v="5"/>
    <x v="86"/>
    <n v="2"/>
    <x v="1"/>
    <x v="0"/>
  </r>
  <r>
    <n v="117"/>
    <x v="3"/>
    <x v="38"/>
    <x v="17"/>
    <x v="96"/>
    <n v="0.9"/>
    <x v="1"/>
    <x v="1"/>
  </r>
  <r>
    <n v="118"/>
    <x v="2"/>
    <x v="30"/>
    <x v="48"/>
    <x v="47"/>
    <n v="1.3"/>
    <x v="1"/>
    <x v="0"/>
  </r>
  <r>
    <n v="119"/>
    <x v="4"/>
    <x v="8"/>
    <x v="5"/>
    <x v="59"/>
    <n v="1.7"/>
    <x v="1"/>
    <x v="1"/>
  </r>
  <r>
    <n v="120"/>
    <x v="3"/>
    <x v="19"/>
    <x v="36"/>
    <x v="97"/>
    <n v="0"/>
    <x v="0"/>
    <x v="1"/>
  </r>
  <r>
    <n v="121"/>
    <x v="3"/>
    <x v="12"/>
    <x v="49"/>
    <x v="7"/>
    <n v="0"/>
    <x v="0"/>
    <x v="1"/>
  </r>
  <r>
    <n v="122"/>
    <x v="0"/>
    <x v="20"/>
    <x v="45"/>
    <x v="48"/>
    <n v="1.3"/>
    <x v="1"/>
    <x v="0"/>
  </r>
  <r>
    <n v="123"/>
    <x v="1"/>
    <x v="30"/>
    <x v="9"/>
    <x v="98"/>
    <n v="1.9"/>
    <x v="0"/>
    <x v="0"/>
  </r>
  <r>
    <n v="124"/>
    <x v="2"/>
    <x v="1"/>
    <x v="27"/>
    <x v="99"/>
    <n v="2.1"/>
    <x v="1"/>
    <x v="0"/>
  </r>
  <r>
    <n v="125"/>
    <x v="4"/>
    <x v="12"/>
    <x v="45"/>
    <x v="37"/>
    <n v="0.2"/>
    <x v="1"/>
    <x v="1"/>
  </r>
  <r>
    <n v="126"/>
    <x v="0"/>
    <x v="5"/>
    <x v="2"/>
    <x v="100"/>
    <n v="2"/>
    <x v="1"/>
    <x v="0"/>
  </r>
  <r>
    <n v="127"/>
    <x v="1"/>
    <x v="11"/>
    <x v="35"/>
    <x v="1"/>
    <n v="1.3"/>
    <x v="0"/>
    <x v="0"/>
  </r>
  <r>
    <n v="128"/>
    <x v="0"/>
    <x v="23"/>
    <x v="42"/>
    <x v="101"/>
    <n v="0.8"/>
    <x v="1"/>
    <x v="0"/>
  </r>
  <r>
    <n v="129"/>
    <x v="1"/>
    <x v="28"/>
    <x v="16"/>
    <x v="102"/>
    <n v="1"/>
    <x v="1"/>
    <x v="0"/>
  </r>
  <r>
    <n v="130"/>
    <x v="1"/>
    <x v="39"/>
    <x v="34"/>
    <x v="103"/>
    <n v="2.1"/>
    <x v="1"/>
    <x v="0"/>
  </r>
  <r>
    <n v="131"/>
    <x v="2"/>
    <x v="20"/>
    <x v="39"/>
    <x v="104"/>
    <n v="1.7"/>
    <x v="0"/>
    <x v="0"/>
  </r>
  <r>
    <n v="132"/>
    <x v="1"/>
    <x v="34"/>
    <x v="10"/>
    <x v="105"/>
    <n v="1.5"/>
    <x v="1"/>
    <x v="0"/>
  </r>
  <r>
    <n v="133"/>
    <x v="0"/>
    <x v="4"/>
    <x v="7"/>
    <x v="106"/>
    <n v="1.7"/>
    <x v="1"/>
    <x v="0"/>
  </r>
  <r>
    <n v="134"/>
    <x v="1"/>
    <x v="1"/>
    <x v="31"/>
    <x v="107"/>
    <n v="2.2000000000000002"/>
    <x v="0"/>
    <x v="0"/>
  </r>
  <r>
    <n v="135"/>
    <x v="2"/>
    <x v="3"/>
    <x v="16"/>
    <x v="32"/>
    <n v="1.4"/>
    <x v="1"/>
    <x v="0"/>
  </r>
  <r>
    <n v="136"/>
    <x v="2"/>
    <x v="20"/>
    <x v="50"/>
    <x v="20"/>
    <n v="1.5"/>
    <x v="0"/>
    <x v="0"/>
  </r>
  <r>
    <n v="137"/>
    <x v="0"/>
    <x v="17"/>
    <x v="51"/>
    <x v="108"/>
    <n v="2.4"/>
    <x v="1"/>
    <x v="0"/>
  </r>
  <r>
    <n v="138"/>
    <x v="3"/>
    <x v="10"/>
    <x v="52"/>
    <x v="34"/>
    <n v="1.2"/>
    <x v="0"/>
    <x v="1"/>
  </r>
  <r>
    <n v="139"/>
    <x v="3"/>
    <x v="32"/>
    <x v="25"/>
    <x v="109"/>
    <n v="2"/>
    <x v="1"/>
    <x v="1"/>
  </r>
  <r>
    <n v="140"/>
    <x v="1"/>
    <x v="40"/>
    <x v="3"/>
    <x v="110"/>
    <n v="1.1000000000000001"/>
    <x v="0"/>
    <x v="0"/>
  </r>
  <r>
    <n v="141"/>
    <x v="4"/>
    <x v="30"/>
    <x v="27"/>
    <x v="111"/>
    <n v="1.2"/>
    <x v="1"/>
    <x v="1"/>
  </r>
  <r>
    <n v="142"/>
    <x v="1"/>
    <x v="14"/>
    <x v="19"/>
    <x v="112"/>
    <n v="1.4"/>
    <x v="0"/>
    <x v="0"/>
  </r>
  <r>
    <n v="143"/>
    <x v="0"/>
    <x v="0"/>
    <x v="53"/>
    <x v="113"/>
    <n v="1.9"/>
    <x v="1"/>
    <x v="0"/>
  </r>
  <r>
    <n v="144"/>
    <x v="0"/>
    <x v="5"/>
    <x v="9"/>
    <x v="114"/>
    <n v="2.5"/>
    <x v="0"/>
    <x v="0"/>
  </r>
  <r>
    <n v="145"/>
    <x v="0"/>
    <x v="34"/>
    <x v="16"/>
    <x v="115"/>
    <n v="1.6"/>
    <x v="1"/>
    <x v="0"/>
  </r>
  <r>
    <n v="146"/>
    <x v="0"/>
    <x v="6"/>
    <x v="1"/>
    <x v="116"/>
    <n v="0.3"/>
    <x v="0"/>
    <x v="0"/>
  </r>
  <r>
    <n v="147"/>
    <x v="0"/>
    <x v="10"/>
    <x v="12"/>
    <x v="117"/>
    <n v="2"/>
    <x v="0"/>
    <x v="0"/>
  </r>
  <r>
    <n v="148"/>
    <x v="2"/>
    <x v="14"/>
    <x v="27"/>
    <x v="118"/>
    <n v="3.5"/>
    <x v="1"/>
    <x v="0"/>
  </r>
  <r>
    <n v="149"/>
    <x v="3"/>
    <x v="13"/>
    <x v="30"/>
    <x v="119"/>
    <n v="1.6"/>
    <x v="0"/>
    <x v="1"/>
  </r>
  <r>
    <n v="150"/>
    <x v="0"/>
    <x v="2"/>
    <x v="14"/>
    <x v="120"/>
    <n v="0.1"/>
    <x v="1"/>
    <x v="0"/>
  </r>
  <r>
    <n v="151"/>
    <x v="4"/>
    <x v="17"/>
    <x v="9"/>
    <x v="121"/>
    <n v="1.6"/>
    <x v="0"/>
    <x v="1"/>
  </r>
  <r>
    <n v="152"/>
    <x v="4"/>
    <x v="22"/>
    <x v="32"/>
    <x v="122"/>
    <n v="1.5"/>
    <x v="0"/>
    <x v="1"/>
  </r>
  <r>
    <n v="153"/>
    <x v="4"/>
    <x v="1"/>
    <x v="54"/>
    <x v="123"/>
    <n v="1.4"/>
    <x v="1"/>
    <x v="1"/>
  </r>
  <r>
    <n v="154"/>
    <x v="4"/>
    <x v="11"/>
    <x v="55"/>
    <x v="124"/>
    <n v="2.2999999999999998"/>
    <x v="1"/>
    <x v="1"/>
  </r>
  <r>
    <n v="155"/>
    <x v="2"/>
    <x v="6"/>
    <x v="17"/>
    <x v="125"/>
    <n v="2.6"/>
    <x v="1"/>
    <x v="0"/>
  </r>
  <r>
    <n v="156"/>
    <x v="4"/>
    <x v="21"/>
    <x v="9"/>
    <x v="126"/>
    <n v="2"/>
    <x v="0"/>
    <x v="1"/>
  </r>
  <r>
    <n v="157"/>
    <x v="0"/>
    <x v="2"/>
    <x v="44"/>
    <x v="127"/>
    <n v="1.4"/>
    <x v="0"/>
    <x v="0"/>
  </r>
  <r>
    <n v="158"/>
    <x v="1"/>
    <x v="21"/>
    <x v="3"/>
    <x v="128"/>
    <n v="2.4"/>
    <x v="0"/>
    <x v="0"/>
  </r>
  <r>
    <n v="159"/>
    <x v="4"/>
    <x v="8"/>
    <x v="24"/>
    <x v="129"/>
    <n v="0.3"/>
    <x v="0"/>
    <x v="1"/>
  </r>
  <r>
    <n v="160"/>
    <x v="2"/>
    <x v="35"/>
    <x v="9"/>
    <x v="130"/>
    <n v="0.9"/>
    <x v="0"/>
    <x v="0"/>
  </r>
  <r>
    <n v="161"/>
    <x v="2"/>
    <x v="32"/>
    <x v="45"/>
    <x v="131"/>
    <n v="1"/>
    <x v="1"/>
    <x v="0"/>
  </r>
  <r>
    <n v="162"/>
    <x v="4"/>
    <x v="25"/>
    <x v="35"/>
    <x v="132"/>
    <n v="1.5"/>
    <x v="0"/>
    <x v="1"/>
  </r>
  <r>
    <n v="163"/>
    <x v="1"/>
    <x v="14"/>
    <x v="37"/>
    <x v="133"/>
    <n v="1.9"/>
    <x v="0"/>
    <x v="0"/>
  </r>
  <r>
    <n v="164"/>
    <x v="4"/>
    <x v="30"/>
    <x v="8"/>
    <x v="134"/>
    <n v="1.3"/>
    <x v="1"/>
    <x v="1"/>
  </r>
  <r>
    <n v="165"/>
    <x v="2"/>
    <x v="13"/>
    <x v="2"/>
    <x v="135"/>
    <n v="0.8"/>
    <x v="1"/>
    <x v="0"/>
  </r>
  <r>
    <n v="166"/>
    <x v="3"/>
    <x v="25"/>
    <x v="8"/>
    <x v="136"/>
    <n v="2.2999999999999998"/>
    <x v="1"/>
    <x v="1"/>
  </r>
  <r>
    <n v="167"/>
    <x v="0"/>
    <x v="38"/>
    <x v="17"/>
    <x v="137"/>
    <n v="1.3"/>
    <x v="1"/>
    <x v="0"/>
  </r>
  <r>
    <n v="168"/>
    <x v="2"/>
    <x v="16"/>
    <x v="8"/>
    <x v="138"/>
    <n v="1.6"/>
    <x v="1"/>
    <x v="0"/>
  </r>
  <r>
    <n v="169"/>
    <x v="4"/>
    <x v="4"/>
    <x v="17"/>
    <x v="139"/>
    <n v="1.9"/>
    <x v="1"/>
    <x v="1"/>
  </r>
  <r>
    <n v="170"/>
    <x v="0"/>
    <x v="20"/>
    <x v="3"/>
    <x v="140"/>
    <n v="1.5"/>
    <x v="0"/>
    <x v="0"/>
  </r>
  <r>
    <n v="171"/>
    <x v="4"/>
    <x v="41"/>
    <x v="11"/>
    <x v="141"/>
    <n v="1.5"/>
    <x v="0"/>
    <x v="1"/>
  </r>
  <r>
    <n v="172"/>
    <x v="4"/>
    <x v="0"/>
    <x v="5"/>
    <x v="5"/>
    <n v="2.2999999999999998"/>
    <x v="1"/>
    <x v="1"/>
  </r>
  <r>
    <n v="173"/>
    <x v="3"/>
    <x v="2"/>
    <x v="7"/>
    <x v="34"/>
    <n v="1.6"/>
    <x v="1"/>
    <x v="1"/>
  </r>
  <r>
    <n v="174"/>
    <x v="0"/>
    <x v="23"/>
    <x v="3"/>
    <x v="142"/>
    <n v="2.2000000000000002"/>
    <x v="0"/>
    <x v="0"/>
  </r>
  <r>
    <n v="175"/>
    <x v="0"/>
    <x v="12"/>
    <x v="16"/>
    <x v="18"/>
    <n v="1.9"/>
    <x v="1"/>
    <x v="0"/>
  </r>
  <r>
    <n v="176"/>
    <x v="3"/>
    <x v="32"/>
    <x v="26"/>
    <x v="143"/>
    <n v="3.1"/>
    <x v="1"/>
    <x v="1"/>
  </r>
  <r>
    <n v="177"/>
    <x v="2"/>
    <x v="14"/>
    <x v="37"/>
    <x v="144"/>
    <n v="1.8"/>
    <x v="0"/>
    <x v="0"/>
  </r>
  <r>
    <n v="178"/>
    <x v="4"/>
    <x v="2"/>
    <x v="56"/>
    <x v="95"/>
    <n v="2"/>
    <x v="0"/>
    <x v="1"/>
  </r>
  <r>
    <n v="179"/>
    <x v="1"/>
    <x v="37"/>
    <x v="5"/>
    <x v="20"/>
    <n v="2.4"/>
    <x v="1"/>
    <x v="0"/>
  </r>
  <r>
    <n v="180"/>
    <x v="4"/>
    <x v="24"/>
    <x v="36"/>
    <x v="135"/>
    <n v="1.6"/>
    <x v="0"/>
    <x v="1"/>
  </r>
  <r>
    <n v="181"/>
    <x v="4"/>
    <x v="38"/>
    <x v="5"/>
    <x v="145"/>
    <n v="1"/>
    <x v="1"/>
    <x v="1"/>
  </r>
  <r>
    <n v="182"/>
    <x v="2"/>
    <x v="2"/>
    <x v="11"/>
    <x v="146"/>
    <n v="1.1000000000000001"/>
    <x v="0"/>
    <x v="0"/>
  </r>
  <r>
    <n v="183"/>
    <x v="4"/>
    <x v="30"/>
    <x v="39"/>
    <x v="147"/>
    <n v="1.1000000000000001"/>
    <x v="0"/>
    <x v="1"/>
  </r>
  <r>
    <n v="184"/>
    <x v="3"/>
    <x v="32"/>
    <x v="2"/>
    <x v="104"/>
    <n v="0.7"/>
    <x v="1"/>
    <x v="1"/>
  </r>
  <r>
    <n v="185"/>
    <x v="3"/>
    <x v="3"/>
    <x v="15"/>
    <x v="52"/>
    <n v="1.8"/>
    <x v="0"/>
    <x v="1"/>
  </r>
  <r>
    <n v="186"/>
    <x v="0"/>
    <x v="1"/>
    <x v="11"/>
    <x v="148"/>
    <n v="1"/>
    <x v="0"/>
    <x v="0"/>
  </r>
  <r>
    <n v="187"/>
    <x v="1"/>
    <x v="42"/>
    <x v="18"/>
    <x v="149"/>
    <n v="1.7"/>
    <x v="1"/>
    <x v="0"/>
  </r>
  <r>
    <n v="188"/>
    <x v="4"/>
    <x v="6"/>
    <x v="12"/>
    <x v="150"/>
    <n v="1.4"/>
    <x v="0"/>
    <x v="1"/>
  </r>
  <r>
    <n v="189"/>
    <x v="4"/>
    <x v="21"/>
    <x v="57"/>
    <x v="147"/>
    <n v="1.5"/>
    <x v="1"/>
    <x v="1"/>
  </r>
  <r>
    <n v="190"/>
    <x v="2"/>
    <x v="9"/>
    <x v="24"/>
    <x v="151"/>
    <n v="1.9"/>
    <x v="0"/>
    <x v="0"/>
  </r>
  <r>
    <n v="191"/>
    <x v="3"/>
    <x v="19"/>
    <x v="7"/>
    <x v="152"/>
    <n v="1.1000000000000001"/>
    <x v="1"/>
    <x v="1"/>
  </r>
  <r>
    <n v="192"/>
    <x v="1"/>
    <x v="25"/>
    <x v="54"/>
    <x v="153"/>
    <n v="2"/>
    <x v="1"/>
    <x v="0"/>
  </r>
  <r>
    <n v="193"/>
    <x v="0"/>
    <x v="11"/>
    <x v="58"/>
    <x v="116"/>
    <n v="2.8"/>
    <x v="1"/>
    <x v="0"/>
  </r>
  <r>
    <n v="194"/>
    <x v="3"/>
    <x v="43"/>
    <x v="59"/>
    <x v="154"/>
    <n v="1.8"/>
    <x v="1"/>
    <x v="1"/>
  </r>
  <r>
    <n v="195"/>
    <x v="0"/>
    <x v="42"/>
    <x v="39"/>
    <x v="155"/>
    <n v="0.9"/>
    <x v="0"/>
    <x v="0"/>
  </r>
  <r>
    <n v="196"/>
    <x v="2"/>
    <x v="20"/>
    <x v="52"/>
    <x v="156"/>
    <n v="1"/>
    <x v="0"/>
    <x v="0"/>
  </r>
  <r>
    <n v="197"/>
    <x v="2"/>
    <x v="6"/>
    <x v="2"/>
    <x v="86"/>
    <n v="1.3"/>
    <x v="1"/>
    <x v="0"/>
  </r>
  <r>
    <n v="198"/>
    <x v="4"/>
    <x v="12"/>
    <x v="28"/>
    <x v="157"/>
    <n v="1"/>
    <x v="1"/>
    <x v="1"/>
  </r>
  <r>
    <n v="199"/>
    <x v="1"/>
    <x v="23"/>
    <x v="1"/>
    <x v="158"/>
    <n v="0.7"/>
    <x v="0"/>
    <x v="0"/>
  </r>
  <r>
    <n v="200"/>
    <x v="0"/>
    <x v="41"/>
    <x v="56"/>
    <x v="148"/>
    <n v="1.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145DFE-E11B-468E-B194-0FC9A0A7412E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2" rowHeaderCaption="Screen_time">
  <location ref="A3:B64" firstHeaderRow="1" firstDataRow="1" firstDataCol="1"/>
  <pivotFields count="8">
    <pivotField showAll="0"/>
    <pivotField showAll="0"/>
    <pivotField showAll="0"/>
    <pivotField axis="axisRow" showAll="0" avgSubtotal="1">
      <items count="61">
        <item x="46"/>
        <item x="33"/>
        <item x="20"/>
        <item x="50"/>
        <item x="49"/>
        <item x="23"/>
        <item x="56"/>
        <item x="13"/>
        <item x="39"/>
        <item x="4"/>
        <item x="31"/>
        <item x="12"/>
        <item x="11"/>
        <item x="37"/>
        <item x="52"/>
        <item x="21"/>
        <item x="19"/>
        <item x="0"/>
        <item x="3"/>
        <item x="22"/>
        <item x="38"/>
        <item x="24"/>
        <item x="30"/>
        <item x="36"/>
        <item x="44"/>
        <item x="15"/>
        <item x="9"/>
        <item x="35"/>
        <item x="40"/>
        <item x="32"/>
        <item x="1"/>
        <item x="8"/>
        <item x="41"/>
        <item x="2"/>
        <item x="5"/>
        <item x="43"/>
        <item x="7"/>
        <item x="16"/>
        <item x="27"/>
        <item x="34"/>
        <item x="26"/>
        <item x="17"/>
        <item x="28"/>
        <item x="53"/>
        <item x="14"/>
        <item x="29"/>
        <item x="10"/>
        <item x="18"/>
        <item x="42"/>
        <item x="58"/>
        <item x="25"/>
        <item x="54"/>
        <item x="6"/>
        <item x="45"/>
        <item x="59"/>
        <item x="48"/>
        <item x="51"/>
        <item x="55"/>
        <item x="47"/>
        <item x="57"/>
        <item t="avg"/>
      </items>
    </pivotField>
    <pivotField dataField="1" showAll="0">
      <items count="160">
        <item x="128"/>
        <item x="74"/>
        <item x="53"/>
        <item x="49"/>
        <item x="54"/>
        <item x="3"/>
        <item x="69"/>
        <item x="138"/>
        <item x="24"/>
        <item x="118"/>
        <item x="142"/>
        <item x="50"/>
        <item x="10"/>
        <item x="145"/>
        <item x="22"/>
        <item x="114"/>
        <item x="119"/>
        <item x="92"/>
        <item x="40"/>
        <item x="89"/>
        <item x="102"/>
        <item x="78"/>
        <item x="90"/>
        <item x="28"/>
        <item x="124"/>
        <item x="83"/>
        <item x="71"/>
        <item x="96"/>
        <item x="112"/>
        <item x="146"/>
        <item x="56"/>
        <item x="113"/>
        <item x="133"/>
        <item x="15"/>
        <item x="139"/>
        <item x="23"/>
        <item x="104"/>
        <item x="94"/>
        <item x="79"/>
        <item x="106"/>
        <item x="107"/>
        <item x="86"/>
        <item x="140"/>
        <item x="80"/>
        <item x="30"/>
        <item x="111"/>
        <item x="131"/>
        <item x="127"/>
        <item x="153"/>
        <item x="87"/>
        <item x="155"/>
        <item x="117"/>
        <item x="37"/>
        <item x="12"/>
        <item x="67"/>
        <item x="46"/>
        <item x="75"/>
        <item x="158"/>
        <item x="129"/>
        <item x="64"/>
        <item x="116"/>
        <item x="41"/>
        <item x="97"/>
        <item x="132"/>
        <item x="2"/>
        <item x="1"/>
        <item x="154"/>
        <item x="7"/>
        <item x="65"/>
        <item x="99"/>
        <item x="58"/>
        <item x="20"/>
        <item x="135"/>
        <item x="100"/>
        <item x="109"/>
        <item x="18"/>
        <item x="5"/>
        <item x="31"/>
        <item x="73"/>
        <item x="84"/>
        <item x="81"/>
        <item x="147"/>
        <item x="130"/>
        <item x="47"/>
        <item x="68"/>
        <item x="17"/>
        <item x="103"/>
        <item x="121"/>
        <item x="101"/>
        <item x="88"/>
        <item x="32"/>
        <item x="38"/>
        <item x="148"/>
        <item x="60"/>
        <item x="34"/>
        <item x="13"/>
        <item x="0"/>
        <item x="57"/>
        <item x="91"/>
        <item x="8"/>
        <item x="36"/>
        <item x="42"/>
        <item x="95"/>
        <item x="27"/>
        <item x="14"/>
        <item x="39"/>
        <item x="35"/>
        <item x="33"/>
        <item x="52"/>
        <item x="63"/>
        <item x="151"/>
        <item x="19"/>
        <item x="4"/>
        <item x="48"/>
        <item x="44"/>
        <item x="9"/>
        <item x="98"/>
        <item x="144"/>
        <item x="82"/>
        <item x="21"/>
        <item x="105"/>
        <item x="134"/>
        <item x="136"/>
        <item x="150"/>
        <item x="62"/>
        <item x="143"/>
        <item x="51"/>
        <item x="152"/>
        <item x="156"/>
        <item x="123"/>
        <item x="59"/>
        <item x="110"/>
        <item x="122"/>
        <item x="55"/>
        <item x="137"/>
        <item x="157"/>
        <item x="85"/>
        <item x="76"/>
        <item x="115"/>
        <item x="149"/>
        <item x="93"/>
        <item x="120"/>
        <item x="77"/>
        <item x="61"/>
        <item x="43"/>
        <item x="45"/>
        <item x="6"/>
        <item x="66"/>
        <item x="16"/>
        <item x="126"/>
        <item x="26"/>
        <item x="25"/>
        <item x="70"/>
        <item x="108"/>
        <item x="29"/>
        <item x="125"/>
        <item x="141"/>
        <item x="11"/>
        <item x="72"/>
        <item t="default"/>
      </items>
    </pivotField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Average of Test_Scores" fld="4" subtotal="average" baseField="3" baseItem="0" numFmtId="2"/>
  </dataFields>
  <chartFormats count="5">
    <chartFormat chart="2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9B72F-E1AB-4BAB-8D50-B5B50BA9CA25}" name="PivotTable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creen_time">
  <location ref="A3:B64" firstHeaderRow="1" firstDataRow="1" firstDataCol="1"/>
  <pivotFields count="8">
    <pivotField showAll="0"/>
    <pivotField showAll="0"/>
    <pivotField showAll="0"/>
    <pivotField axis="axisRow" showAll="0">
      <items count="61">
        <item x="46"/>
        <item x="33"/>
        <item x="20"/>
        <item x="50"/>
        <item x="49"/>
        <item x="23"/>
        <item x="56"/>
        <item x="13"/>
        <item x="39"/>
        <item x="4"/>
        <item x="31"/>
        <item x="12"/>
        <item x="11"/>
        <item x="37"/>
        <item x="52"/>
        <item x="21"/>
        <item x="19"/>
        <item x="0"/>
        <item x="3"/>
        <item x="22"/>
        <item x="38"/>
        <item x="24"/>
        <item x="30"/>
        <item x="36"/>
        <item x="44"/>
        <item x="15"/>
        <item x="9"/>
        <item x="35"/>
        <item x="40"/>
        <item x="32"/>
        <item x="1"/>
        <item x="8"/>
        <item x="41"/>
        <item x="2"/>
        <item x="5"/>
        <item x="43"/>
        <item x="7"/>
        <item x="16"/>
        <item x="27"/>
        <item x="34"/>
        <item x="26"/>
        <item x="17"/>
        <item x="28"/>
        <item x="53"/>
        <item x="14"/>
        <item x="29"/>
        <item x="10"/>
        <item x="18"/>
        <item x="42"/>
        <item x="58"/>
        <item x="25"/>
        <item x="54"/>
        <item x="6"/>
        <item x="45"/>
        <item x="59"/>
        <item x="48"/>
        <item x="51"/>
        <item x="55"/>
        <item x="47"/>
        <item x="57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Extra_Curricular_Hours" fld="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607B4-E62D-4F10-B33C-C9B5243ABB95}" name="PivotTable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">
  <location ref="A3:B9" firstHeaderRow="1" firstDataRow="1" firstDataCol="1"/>
  <pivotFields count="8"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est_Scores" fld="4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82F1F-3027-4865-8847-1B4F76CC3F05}" name="PivotTable1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udy Hrs">
  <location ref="D11:E56" firstHeaderRow="1" firstDataRow="1" firstDataCol="1"/>
  <pivotFields count="8">
    <pivotField showAll="0"/>
    <pivotField showAll="0"/>
    <pivotField axis="axisRow" showAll="0" avgSubtotal="1">
      <items count="45">
        <item x="33"/>
        <item x="40"/>
        <item x="36"/>
        <item x="24"/>
        <item x="18"/>
        <item x="42"/>
        <item x="15"/>
        <item x="25"/>
        <item x="4"/>
        <item x="7"/>
        <item x="16"/>
        <item x="35"/>
        <item x="20"/>
        <item x="8"/>
        <item x="19"/>
        <item x="32"/>
        <item x="30"/>
        <item x="11"/>
        <item x="23"/>
        <item x="12"/>
        <item x="0"/>
        <item x="14"/>
        <item x="1"/>
        <item x="28"/>
        <item x="6"/>
        <item x="2"/>
        <item x="10"/>
        <item x="17"/>
        <item x="5"/>
        <item x="9"/>
        <item x="3"/>
        <item x="21"/>
        <item x="13"/>
        <item x="26"/>
        <item x="29"/>
        <item x="38"/>
        <item x="37"/>
        <item x="22"/>
        <item x="34"/>
        <item x="41"/>
        <item x="39"/>
        <item x="31"/>
        <item x="27"/>
        <item x="43"/>
        <item t="avg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Average of Test_Scores" fld="4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175FF-1B94-436F-899B-45F204401CEA}" name="PivotTable8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G5:H8" firstHeaderRow="1" firstDataRow="1" firstDataCol="1"/>
  <pivotFields count="8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Extra_Curricular_Hours" fld="5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9DBD8-644A-418E-BBFF-C13D79068862}" name="PivotTable7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creen time flag">
  <location ref="D4:E7" firstHeaderRow="1" firstDataRow="1" firstDataCol="1"/>
  <pivotFields count="8"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Age" fld="1" subtotal="average" baseField="6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B1175B-1BF5-45BF-AC88-1C5AD7E21D20}" name="PivotTable6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ge group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creen_Time" fld="1" subtotal="average" baseField="0" baseItem="0" numFmtId="2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creen_Time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_screen_time_raw!$A$1:$H$2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809FB-0238-4371-AE6D-6009FC08CFE5}" name="PivotTable9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11:B14" firstHeaderRow="1" firstDataRow="1" firstDataCol="1"/>
  <pivotFields count="8">
    <pivotField showAll="0"/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Average of Study_Hours" fld="2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99ED8D6-20B2-459B-BA4E-64FED8D6977E}" autoFormatId="16" applyNumberFormats="0" applyBorderFormats="0" applyFontFormats="0" applyPatternFormats="0" applyAlignmentFormats="0" applyWidthHeightFormats="0">
  <queryTableRefresh nextId="9">
    <queryTableFields count="8">
      <queryTableField id="1" name="Range[Student_ID]" tableColumnId="1"/>
      <queryTableField id="2" name="Range[Age]" tableColumnId="2"/>
      <queryTableField id="3" name="Range[Study_Hours]" tableColumnId="3"/>
      <queryTableField id="4" name="Range[Screen_Time]" tableColumnId="4"/>
      <queryTableField id="5" name="Range[Test_Scores]" tableColumnId="5"/>
      <queryTableField id="6" name="Range[Extra_Curricular_Hours]" tableColumnId="6"/>
      <queryTableField id="7" name="Range[Screen flag time]" tableColumnId="7"/>
      <queryTableField id="8" name="Range[Age group]" tableColumnId="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3436A-A6D0-49EF-B791-6C27F4957B45}" name="Table_ExternalData_1" displayName="Table_ExternalData_1" ref="A3:H125" tableType="queryTable" totalsRowShown="0">
  <autoFilter ref="A3:H125" xr:uid="{44F3436A-A6D0-49EF-B791-6C27F4957B45}"/>
  <tableColumns count="8">
    <tableColumn id="1" xr3:uid="{58EBC404-537B-4CA3-81B2-45ACBBA9891A}" uniqueName="1" name="Range[Student_ID]" queryTableFieldId="1"/>
    <tableColumn id="2" xr3:uid="{9C22ED57-7B1B-47D0-ADC0-B99EA8D944EA}" uniqueName="2" name="Range[Age]" queryTableFieldId="2"/>
    <tableColumn id="3" xr3:uid="{CDE022C5-A6AC-4280-8D25-7EF7084F6ACF}" uniqueName="3" name="Range[Study_Hours]" queryTableFieldId="3"/>
    <tableColumn id="4" xr3:uid="{D372AA56-7AD9-4E2F-9C2D-49DAB27F7C52}" uniqueName="4" name="Range[Screen_Time]" queryTableFieldId="4"/>
    <tableColumn id="5" xr3:uid="{5DB290F8-C269-40B4-8086-8CAF29F2E1C6}" uniqueName="5" name="Range[Test_Scores]" queryTableFieldId="5"/>
    <tableColumn id="6" xr3:uid="{32ADABD9-40DD-4212-9AE7-497D8D0E4C1D}" uniqueName="6" name="Range[Extra_Curricular_Hours]" queryTableFieldId="6"/>
    <tableColumn id="7" xr3:uid="{E54DAF8D-FCDF-441E-AB19-CF7F90635B97}" uniqueName="7" name="Range[Screen flag time]" queryTableFieldId="7"/>
    <tableColumn id="8" xr3:uid="{CEEFDBED-D8BA-402E-AB3D-6F4D1AB2FDAC}" uniqueName="8" name="Range[Age group]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3BE8-6A26-433E-8AA1-8AEFE654E4E0}">
  <dimension ref="A3:B64"/>
  <sheetViews>
    <sheetView workbookViewId="0">
      <selection activeCell="B11" sqref="B11"/>
    </sheetView>
  </sheetViews>
  <sheetFormatPr defaultRowHeight="14.4"/>
  <cols>
    <col min="1" max="1" width="13.6640625" bestFit="1" customWidth="1"/>
    <col min="2" max="2" width="19.88671875" bestFit="1" customWidth="1"/>
    <col min="3" max="5" width="4" bestFit="1" customWidth="1"/>
    <col min="6" max="6" width="2" bestFit="1" customWidth="1"/>
    <col min="7" max="12" width="4" bestFit="1" customWidth="1"/>
    <col min="13" max="13" width="2" bestFit="1" customWidth="1"/>
    <col min="14" max="21" width="4" bestFit="1" customWidth="1"/>
    <col min="22" max="22" width="2" bestFit="1" customWidth="1"/>
    <col min="23" max="31" width="4" bestFit="1" customWidth="1"/>
    <col min="32" max="32" width="2" bestFit="1" customWidth="1"/>
    <col min="33" max="41" width="4" bestFit="1" customWidth="1"/>
    <col min="42" max="42" width="2" bestFit="1" customWidth="1"/>
    <col min="43" max="48" width="4" bestFit="1" customWidth="1"/>
    <col min="49" max="49" width="2" bestFit="1" customWidth="1"/>
    <col min="50" max="55" width="4" bestFit="1" customWidth="1"/>
    <col min="56" max="56" width="2" bestFit="1" customWidth="1"/>
    <col min="57" max="61" width="4" bestFit="1" customWidth="1"/>
    <col min="62" max="62" width="10.5546875" bestFit="1" customWidth="1"/>
  </cols>
  <sheetData>
    <row r="3" spans="1:2">
      <c r="A3" s="3" t="s">
        <v>11</v>
      </c>
      <c r="B3" t="s">
        <v>17</v>
      </c>
    </row>
    <row r="4" spans="1:2">
      <c r="A4" s="4">
        <v>0</v>
      </c>
      <c r="B4" s="5">
        <v>64</v>
      </c>
    </row>
    <row r="5" spans="1:2">
      <c r="A5" s="4">
        <v>0.2</v>
      </c>
      <c r="B5" s="5">
        <v>77.599999999999994</v>
      </c>
    </row>
    <row r="6" spans="1:2">
      <c r="A6" s="4">
        <v>0.5</v>
      </c>
      <c r="B6" s="5">
        <v>62.5</v>
      </c>
    </row>
    <row r="7" spans="1:2">
      <c r="A7" s="4">
        <v>0.9</v>
      </c>
      <c r="B7" s="5">
        <v>70.099999999999994</v>
      </c>
    </row>
    <row r="8" spans="1:2">
      <c r="A8" s="4">
        <v>1</v>
      </c>
      <c r="B8" s="5">
        <v>69.3</v>
      </c>
    </row>
    <row r="9" spans="1:2">
      <c r="A9" s="4">
        <v>1.2</v>
      </c>
      <c r="B9" s="5">
        <v>62.75</v>
      </c>
    </row>
    <row r="10" spans="1:2">
      <c r="A10" s="4">
        <v>1.5</v>
      </c>
      <c r="B10" s="5">
        <v>75.45</v>
      </c>
    </row>
    <row r="11" spans="1:2">
      <c r="A11" s="4">
        <v>1.6</v>
      </c>
      <c r="B11" s="5">
        <v>78.45</v>
      </c>
    </row>
    <row r="12" spans="1:2">
      <c r="A12" s="4">
        <v>1.7</v>
      </c>
      <c r="B12" s="5">
        <v>68.774999999999991</v>
      </c>
    </row>
    <row r="13" spans="1:2">
      <c r="A13" s="4">
        <v>1.8</v>
      </c>
      <c r="B13" s="5">
        <v>71</v>
      </c>
    </row>
    <row r="14" spans="1:2">
      <c r="A14" s="4">
        <v>1.9</v>
      </c>
      <c r="B14" s="5">
        <v>69.125</v>
      </c>
    </row>
    <row r="15" spans="1:2">
      <c r="A15" s="4">
        <v>2</v>
      </c>
      <c r="B15" s="5">
        <v>75.525000000000006</v>
      </c>
    </row>
    <row r="16" spans="1:2">
      <c r="A16" s="4">
        <v>2.1</v>
      </c>
      <c r="B16" s="5">
        <v>66.657142857142858</v>
      </c>
    </row>
    <row r="17" spans="1:2">
      <c r="A17" s="4">
        <v>2.2000000000000002</v>
      </c>
      <c r="B17" s="5">
        <v>71.675000000000011</v>
      </c>
    </row>
    <row r="18" spans="1:2">
      <c r="A18" s="4">
        <v>2.2999999999999998</v>
      </c>
      <c r="B18" s="5">
        <v>77.525000000000006</v>
      </c>
    </row>
    <row r="19" spans="1:2">
      <c r="A19" s="4">
        <v>2.5</v>
      </c>
      <c r="B19" s="5">
        <v>70.7</v>
      </c>
    </row>
    <row r="20" spans="1:2">
      <c r="A20" s="4">
        <v>2.6</v>
      </c>
      <c r="B20" s="5">
        <v>58.233333333333341</v>
      </c>
    </row>
    <row r="21" spans="1:2">
      <c r="A21" s="4">
        <v>2.7</v>
      </c>
      <c r="B21" s="5">
        <v>73.124999999999986</v>
      </c>
    </row>
    <row r="22" spans="1:2">
      <c r="A22" s="4">
        <v>2.8</v>
      </c>
      <c r="B22" s="5">
        <v>56.5</v>
      </c>
    </row>
    <row r="23" spans="1:2">
      <c r="A23" s="4">
        <v>2.9</v>
      </c>
      <c r="B23" s="5">
        <v>76.949999999999989</v>
      </c>
    </row>
    <row r="24" spans="1:2">
      <c r="A24" s="4">
        <v>3</v>
      </c>
      <c r="B24" s="5">
        <v>60.040000000000006</v>
      </c>
    </row>
    <row r="25" spans="1:2">
      <c r="A25" s="4">
        <v>3.1</v>
      </c>
      <c r="B25" s="5">
        <v>79.266666666666666</v>
      </c>
    </row>
    <row r="26" spans="1:2">
      <c r="A26" s="4">
        <v>3.2</v>
      </c>
      <c r="B26" s="5">
        <v>69.7</v>
      </c>
    </row>
    <row r="27" spans="1:2">
      <c r="A27" s="4">
        <v>3.3</v>
      </c>
      <c r="B27" s="5">
        <v>72.328571428571422</v>
      </c>
    </row>
    <row r="28" spans="1:2">
      <c r="A28" s="4">
        <v>3.4</v>
      </c>
      <c r="B28" s="5">
        <v>65.066666666666677</v>
      </c>
    </row>
    <row r="29" spans="1:2">
      <c r="A29" s="4">
        <v>3.5</v>
      </c>
      <c r="B29" s="5">
        <v>64.466666666666669</v>
      </c>
    </row>
    <row r="30" spans="1:2">
      <c r="A30" s="4">
        <v>3.6</v>
      </c>
      <c r="B30" s="5">
        <v>72.172222222222217</v>
      </c>
    </row>
    <row r="31" spans="1:2">
      <c r="A31" s="4">
        <v>3.7</v>
      </c>
      <c r="B31" s="5">
        <v>70.8</v>
      </c>
    </row>
    <row r="32" spans="1:2">
      <c r="A32" s="4">
        <v>3.8</v>
      </c>
      <c r="B32" s="5">
        <v>79.7</v>
      </c>
    </row>
    <row r="33" spans="1:2">
      <c r="A33" s="4">
        <v>3.9</v>
      </c>
      <c r="B33" s="5">
        <v>77.266666666666666</v>
      </c>
    </row>
    <row r="34" spans="1:2">
      <c r="A34" s="4">
        <v>4</v>
      </c>
      <c r="B34" s="5">
        <v>69.474999999999994</v>
      </c>
    </row>
    <row r="35" spans="1:2">
      <c r="A35" s="4">
        <v>4.0999999999999996</v>
      </c>
      <c r="B35" s="5">
        <v>71.3</v>
      </c>
    </row>
    <row r="36" spans="1:2">
      <c r="A36" s="4">
        <v>4.2</v>
      </c>
      <c r="B36" s="5">
        <v>65.900000000000006</v>
      </c>
    </row>
    <row r="37" spans="1:2">
      <c r="A37" s="4">
        <v>4.3</v>
      </c>
      <c r="B37" s="5">
        <v>74.17</v>
      </c>
    </row>
    <row r="38" spans="1:2">
      <c r="A38" s="4">
        <v>4.4000000000000004</v>
      </c>
      <c r="B38" s="5">
        <v>69.355555555555554</v>
      </c>
    </row>
    <row r="39" spans="1:2">
      <c r="A39" s="4">
        <v>4.5</v>
      </c>
      <c r="B39" s="5">
        <v>67.325000000000003</v>
      </c>
    </row>
    <row r="40" spans="1:2">
      <c r="A40" s="4">
        <v>4.5999999999999996</v>
      </c>
      <c r="B40" s="5">
        <v>72.010000000000019</v>
      </c>
    </row>
    <row r="41" spans="1:2">
      <c r="A41" s="4">
        <v>4.7</v>
      </c>
      <c r="B41" s="5">
        <v>71.75</v>
      </c>
    </row>
    <row r="42" spans="1:2">
      <c r="A42" s="4">
        <v>4.8</v>
      </c>
      <c r="B42" s="5">
        <v>64.75</v>
      </c>
    </row>
    <row r="43" spans="1:2">
      <c r="A43" s="4">
        <v>4.9000000000000004</v>
      </c>
      <c r="B43" s="5">
        <v>70.2</v>
      </c>
    </row>
    <row r="44" spans="1:2">
      <c r="A44" s="4">
        <v>5</v>
      </c>
      <c r="B44" s="5">
        <v>79.325000000000003</v>
      </c>
    </row>
    <row r="45" spans="1:2">
      <c r="A45" s="4">
        <v>5.2</v>
      </c>
      <c r="B45" s="5">
        <v>73.637500000000003</v>
      </c>
    </row>
    <row r="46" spans="1:2">
      <c r="A46" s="4">
        <v>5.3</v>
      </c>
      <c r="B46" s="5">
        <v>74.766666666666666</v>
      </c>
    </row>
    <row r="47" spans="1:2">
      <c r="A47" s="4">
        <v>5.5</v>
      </c>
      <c r="B47" s="5">
        <v>61.3</v>
      </c>
    </row>
    <row r="48" spans="1:2">
      <c r="A48" s="4">
        <v>5.6</v>
      </c>
      <c r="B48" s="5">
        <v>86.6</v>
      </c>
    </row>
    <row r="49" spans="1:2">
      <c r="A49" s="4">
        <v>5.7</v>
      </c>
      <c r="B49" s="5">
        <v>81.662499999999994</v>
      </c>
    </row>
    <row r="50" spans="1:2">
      <c r="A50" s="4">
        <v>5.8</v>
      </c>
      <c r="B50" s="5">
        <v>87.65</v>
      </c>
    </row>
    <row r="51" spans="1:2">
      <c r="A51" s="4">
        <v>6</v>
      </c>
      <c r="B51" s="5">
        <v>75.466666666666654</v>
      </c>
    </row>
    <row r="52" spans="1:2">
      <c r="A52" s="4">
        <v>6.1</v>
      </c>
      <c r="B52" s="5">
        <v>72.324999999999989</v>
      </c>
    </row>
    <row r="53" spans="1:2">
      <c r="A53" s="4">
        <v>6.2</v>
      </c>
      <c r="B53" s="5">
        <v>66.7</v>
      </c>
    </row>
    <row r="54" spans="1:2">
      <c r="A54" s="4">
        <v>6.4</v>
      </c>
      <c r="B54" s="5">
        <v>60.949999999999996</v>
      </c>
    </row>
    <row r="55" spans="1:2">
      <c r="A55" s="4">
        <v>6.5</v>
      </c>
      <c r="B55" s="5">
        <v>72.650000000000006</v>
      </c>
    </row>
    <row r="56" spans="1:2">
      <c r="A56" s="4">
        <v>6.7</v>
      </c>
      <c r="B56" s="5">
        <v>88</v>
      </c>
    </row>
    <row r="57" spans="1:2">
      <c r="A57" s="4">
        <v>6.9</v>
      </c>
      <c r="B57" s="5">
        <v>74.5</v>
      </c>
    </row>
    <row r="58" spans="1:2">
      <c r="A58" s="4">
        <v>7</v>
      </c>
      <c r="B58" s="5">
        <v>69</v>
      </c>
    </row>
    <row r="59" spans="1:2">
      <c r="A59" s="4">
        <v>7.1</v>
      </c>
      <c r="B59" s="5">
        <v>72.5</v>
      </c>
    </row>
    <row r="60" spans="1:2">
      <c r="A60" s="4">
        <v>7.5</v>
      </c>
      <c r="B60" s="5">
        <v>92.8</v>
      </c>
    </row>
    <row r="61" spans="1:2">
      <c r="A61" s="4">
        <v>7.6</v>
      </c>
      <c r="B61" s="5">
        <v>60</v>
      </c>
    </row>
    <row r="62" spans="1:2">
      <c r="A62" s="4">
        <v>7.8</v>
      </c>
      <c r="B62" s="5">
        <v>66.099999999999994</v>
      </c>
    </row>
    <row r="63" spans="1:2">
      <c r="A63" s="4">
        <v>7.9</v>
      </c>
      <c r="B63" s="5">
        <v>72.3</v>
      </c>
    </row>
    <row r="64" spans="1:2">
      <c r="A64" s="4" t="s">
        <v>9</v>
      </c>
      <c r="B64" s="5">
        <v>71.033500000000004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0589A-1CC7-46A1-AC73-61B74AFC192E}">
  <dimension ref="A3:B64"/>
  <sheetViews>
    <sheetView workbookViewId="0">
      <selection activeCell="B15" sqref="B15"/>
    </sheetView>
  </sheetViews>
  <sheetFormatPr defaultRowHeight="14.4"/>
  <cols>
    <col min="1" max="1" width="12.44140625" bestFit="1" customWidth="1"/>
    <col min="2" max="2" width="26.44140625" bestFit="1" customWidth="1"/>
  </cols>
  <sheetData>
    <row r="3" spans="1:2">
      <c r="A3" s="3" t="s">
        <v>11</v>
      </c>
      <c r="B3" t="s">
        <v>10</v>
      </c>
    </row>
    <row r="4" spans="1:2">
      <c r="A4" s="4">
        <v>0</v>
      </c>
      <c r="B4">
        <v>2.5</v>
      </c>
    </row>
    <row r="5" spans="1:2">
      <c r="A5" s="4">
        <v>0.2</v>
      </c>
      <c r="B5">
        <v>1.7</v>
      </c>
    </row>
    <row r="6" spans="1:2">
      <c r="A6" s="4">
        <v>0.5</v>
      </c>
      <c r="B6">
        <v>1.1000000000000001</v>
      </c>
    </row>
    <row r="7" spans="1:2">
      <c r="A7" s="4">
        <v>0.9</v>
      </c>
      <c r="B7">
        <v>1.5</v>
      </c>
    </row>
    <row r="8" spans="1:2">
      <c r="A8" s="4">
        <v>1</v>
      </c>
      <c r="B8">
        <v>0</v>
      </c>
    </row>
    <row r="9" spans="1:2">
      <c r="A9" s="4">
        <v>1.2</v>
      </c>
      <c r="B9">
        <v>2.7</v>
      </c>
    </row>
    <row r="10" spans="1:2">
      <c r="A10" s="4">
        <v>1.5</v>
      </c>
      <c r="B10">
        <v>3.6</v>
      </c>
    </row>
    <row r="11" spans="1:2">
      <c r="A11" s="4">
        <v>1.6</v>
      </c>
      <c r="B11">
        <v>3.2</v>
      </c>
    </row>
    <row r="12" spans="1:2">
      <c r="A12" s="4">
        <v>1.7</v>
      </c>
      <c r="B12">
        <v>6.2000000000000011</v>
      </c>
    </row>
    <row r="13" spans="1:2">
      <c r="A13" s="4">
        <v>1.8</v>
      </c>
      <c r="B13">
        <v>1.7999999999999998</v>
      </c>
    </row>
    <row r="14" spans="1:2">
      <c r="A14" s="4">
        <v>1.9</v>
      </c>
      <c r="B14">
        <v>3.6</v>
      </c>
    </row>
    <row r="15" spans="1:2">
      <c r="A15" s="4">
        <v>2</v>
      </c>
      <c r="B15">
        <v>6</v>
      </c>
    </row>
    <row r="16" spans="1:2">
      <c r="A16" s="4">
        <v>2.1</v>
      </c>
      <c r="B16">
        <v>7.9</v>
      </c>
    </row>
    <row r="17" spans="1:2">
      <c r="A17" s="4">
        <v>2.2000000000000002</v>
      </c>
      <c r="B17">
        <v>7.3999999999999995</v>
      </c>
    </row>
    <row r="18" spans="1:2">
      <c r="A18" s="4">
        <v>2.2999999999999998</v>
      </c>
      <c r="B18">
        <v>2.2000000000000002</v>
      </c>
    </row>
    <row r="19" spans="1:2">
      <c r="A19" s="4">
        <v>2.5</v>
      </c>
      <c r="B19">
        <v>1.9</v>
      </c>
    </row>
    <row r="20" spans="1:2">
      <c r="A20" s="4">
        <v>2.6</v>
      </c>
      <c r="B20">
        <v>1.4</v>
      </c>
    </row>
    <row r="21" spans="1:2">
      <c r="A21" s="4">
        <v>2.7</v>
      </c>
      <c r="B21">
        <v>8.6999999999999993</v>
      </c>
    </row>
    <row r="22" spans="1:2">
      <c r="A22" s="4">
        <v>2.8</v>
      </c>
      <c r="B22">
        <v>10</v>
      </c>
    </row>
    <row r="23" spans="1:2">
      <c r="A23" s="4">
        <v>2.9</v>
      </c>
      <c r="B23">
        <v>2.2000000000000002</v>
      </c>
    </row>
    <row r="24" spans="1:2">
      <c r="A24" s="4">
        <v>3</v>
      </c>
      <c r="B24">
        <v>9.1999999999999993</v>
      </c>
    </row>
    <row r="25" spans="1:2">
      <c r="A25" s="4">
        <v>3.1</v>
      </c>
      <c r="B25">
        <v>4.3</v>
      </c>
    </row>
    <row r="26" spans="1:2">
      <c r="A26" s="4">
        <v>3.2</v>
      </c>
      <c r="B26">
        <v>4.8000000000000007</v>
      </c>
    </row>
    <row r="27" spans="1:2">
      <c r="A27" s="4">
        <v>3.3</v>
      </c>
      <c r="B27">
        <v>8</v>
      </c>
    </row>
    <row r="28" spans="1:2">
      <c r="A28" s="4">
        <v>3.4</v>
      </c>
      <c r="B28">
        <v>4.3</v>
      </c>
    </row>
    <row r="29" spans="1:2">
      <c r="A29" s="4">
        <v>3.5</v>
      </c>
      <c r="B29">
        <v>6.2</v>
      </c>
    </row>
    <row r="30" spans="1:2">
      <c r="A30" s="4">
        <v>3.6</v>
      </c>
      <c r="B30">
        <v>16.899999999999999</v>
      </c>
    </row>
    <row r="31" spans="1:2">
      <c r="A31" s="4">
        <v>3.7</v>
      </c>
      <c r="B31">
        <v>4.7</v>
      </c>
    </row>
    <row r="32" spans="1:2">
      <c r="A32" s="4">
        <v>3.8</v>
      </c>
      <c r="B32">
        <v>2.2000000000000002</v>
      </c>
    </row>
    <row r="33" spans="1:2">
      <c r="A33" s="4">
        <v>3.9</v>
      </c>
      <c r="B33">
        <v>6.3</v>
      </c>
    </row>
    <row r="34" spans="1:2">
      <c r="A34" s="4">
        <v>4</v>
      </c>
      <c r="B34">
        <v>3</v>
      </c>
    </row>
    <row r="35" spans="1:2">
      <c r="A35" s="4">
        <v>4.0999999999999996</v>
      </c>
      <c r="B35">
        <v>11.1</v>
      </c>
    </row>
    <row r="36" spans="1:2">
      <c r="A36" s="4">
        <v>4.2</v>
      </c>
      <c r="B36">
        <v>3.5</v>
      </c>
    </row>
    <row r="37" spans="1:2">
      <c r="A37" s="4">
        <v>4.3</v>
      </c>
      <c r="B37">
        <v>12.200000000000001</v>
      </c>
    </row>
    <row r="38" spans="1:2">
      <c r="A38" s="4">
        <v>4.4000000000000004</v>
      </c>
      <c r="B38">
        <v>14.6</v>
      </c>
    </row>
    <row r="39" spans="1:2">
      <c r="A39" s="4">
        <v>4.5</v>
      </c>
      <c r="B39">
        <v>6.8000000000000007</v>
      </c>
    </row>
    <row r="40" spans="1:2">
      <c r="A40" s="4">
        <v>4.5999999999999996</v>
      </c>
      <c r="B40">
        <v>7.8000000000000007</v>
      </c>
    </row>
    <row r="41" spans="1:2">
      <c r="A41" s="4">
        <v>4.7</v>
      </c>
      <c r="B41">
        <v>8.8000000000000007</v>
      </c>
    </row>
    <row r="42" spans="1:2">
      <c r="A42" s="4">
        <v>4.8</v>
      </c>
      <c r="B42">
        <v>9.1999999999999993</v>
      </c>
    </row>
    <row r="43" spans="1:2">
      <c r="A43" s="4">
        <v>4.9000000000000004</v>
      </c>
      <c r="B43">
        <v>3.7</v>
      </c>
    </row>
    <row r="44" spans="1:2">
      <c r="A44" s="4">
        <v>5</v>
      </c>
      <c r="B44">
        <v>9</v>
      </c>
    </row>
    <row r="45" spans="1:2">
      <c r="A45" s="4">
        <v>5.2</v>
      </c>
      <c r="B45">
        <v>12.9</v>
      </c>
    </row>
    <row r="46" spans="1:2">
      <c r="A46" s="4">
        <v>5.3</v>
      </c>
      <c r="B46">
        <v>4.3</v>
      </c>
    </row>
    <row r="47" spans="1:2">
      <c r="A47" s="4">
        <v>5.5</v>
      </c>
      <c r="B47">
        <v>1.9</v>
      </c>
    </row>
    <row r="48" spans="1:2">
      <c r="A48" s="4">
        <v>5.6</v>
      </c>
      <c r="B48">
        <v>2.4</v>
      </c>
    </row>
    <row r="49" spans="1:2">
      <c r="A49" s="4">
        <v>5.7</v>
      </c>
      <c r="B49">
        <v>7.8</v>
      </c>
    </row>
    <row r="50" spans="1:2">
      <c r="A50" s="4">
        <v>5.8</v>
      </c>
      <c r="B50">
        <v>2</v>
      </c>
    </row>
    <row r="51" spans="1:2">
      <c r="A51" s="4">
        <v>6</v>
      </c>
      <c r="B51">
        <v>4.5999999999999996</v>
      </c>
    </row>
    <row r="52" spans="1:2">
      <c r="A52" s="4">
        <v>6.1</v>
      </c>
      <c r="B52">
        <v>5.9</v>
      </c>
    </row>
    <row r="53" spans="1:2">
      <c r="A53" s="4">
        <v>6.2</v>
      </c>
      <c r="B53">
        <v>2.8</v>
      </c>
    </row>
    <row r="54" spans="1:2">
      <c r="A54" s="4">
        <v>6.4</v>
      </c>
      <c r="B54">
        <v>10.7</v>
      </c>
    </row>
    <row r="55" spans="1:2">
      <c r="A55" s="4">
        <v>6.5</v>
      </c>
      <c r="B55">
        <v>3.4</v>
      </c>
    </row>
    <row r="56" spans="1:2">
      <c r="A56" s="4">
        <v>6.7</v>
      </c>
      <c r="B56">
        <v>2.9</v>
      </c>
    </row>
    <row r="57" spans="1:2">
      <c r="A57" s="4">
        <v>6.9</v>
      </c>
      <c r="B57">
        <v>2.5</v>
      </c>
    </row>
    <row r="58" spans="1:2">
      <c r="A58" s="4">
        <v>7</v>
      </c>
      <c r="B58">
        <v>1.8</v>
      </c>
    </row>
    <row r="59" spans="1:2">
      <c r="A59" s="4">
        <v>7.1</v>
      </c>
      <c r="B59">
        <v>1.3</v>
      </c>
    </row>
    <row r="60" spans="1:2">
      <c r="A60" s="4">
        <v>7.5</v>
      </c>
      <c r="B60">
        <v>2.4</v>
      </c>
    </row>
    <row r="61" spans="1:2">
      <c r="A61" s="4">
        <v>7.6</v>
      </c>
      <c r="B61">
        <v>2.2999999999999998</v>
      </c>
    </row>
    <row r="62" spans="1:2">
      <c r="A62" s="4">
        <v>7.8</v>
      </c>
      <c r="B62">
        <v>2.2999999999999998</v>
      </c>
    </row>
    <row r="63" spans="1:2">
      <c r="A63" s="4">
        <v>7.9</v>
      </c>
      <c r="B63">
        <v>1.5</v>
      </c>
    </row>
    <row r="64" spans="1:2">
      <c r="A64" s="4" t="s">
        <v>9</v>
      </c>
      <c r="B64">
        <v>307.89999999999998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15CB-CC74-4771-810A-CCEDE877F69E}">
  <dimension ref="A3:B9"/>
  <sheetViews>
    <sheetView workbookViewId="0">
      <selection activeCell="A3" sqref="A3:B9"/>
    </sheetView>
  </sheetViews>
  <sheetFormatPr defaultRowHeight="14.4"/>
  <cols>
    <col min="1" max="1" width="12.44140625" bestFit="1" customWidth="1"/>
    <col min="2" max="2" width="17" bestFit="1" customWidth="1"/>
  </cols>
  <sheetData>
    <row r="3" spans="1:2">
      <c r="A3" s="3" t="s">
        <v>1</v>
      </c>
      <c r="B3" t="s">
        <v>8</v>
      </c>
    </row>
    <row r="4" spans="1:2">
      <c r="A4" s="4">
        <v>13</v>
      </c>
      <c r="B4">
        <v>3094.1000000000004</v>
      </c>
    </row>
    <row r="5" spans="1:2">
      <c r="A5" s="4">
        <v>14</v>
      </c>
      <c r="B5">
        <v>2560.2499999999995</v>
      </c>
    </row>
    <row r="6" spans="1:2">
      <c r="A6" s="4">
        <v>15</v>
      </c>
      <c r="B6">
        <v>2625.4999999999995</v>
      </c>
    </row>
    <row r="7" spans="1:2">
      <c r="A7" s="4">
        <v>16</v>
      </c>
      <c r="B7">
        <v>3459</v>
      </c>
    </row>
    <row r="8" spans="1:2">
      <c r="A8" s="4">
        <v>17</v>
      </c>
      <c r="B8">
        <v>2467.85</v>
      </c>
    </row>
    <row r="9" spans="1:2">
      <c r="A9" s="4" t="s">
        <v>9</v>
      </c>
      <c r="B9">
        <v>14206.7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4E28-A359-4D71-BC5A-6EB4C0F16CE4}">
  <dimension ref="A1:H125"/>
  <sheetViews>
    <sheetView workbookViewId="0"/>
  </sheetViews>
  <sheetFormatPr defaultRowHeight="14.4"/>
  <cols>
    <col min="1" max="1" width="18.5546875" bestFit="1" customWidth="1"/>
    <col min="2" max="2" width="12.33203125" bestFit="1" customWidth="1"/>
    <col min="3" max="3" width="20" bestFit="1" customWidth="1"/>
    <col min="4" max="4" width="20.21875" bestFit="1" customWidth="1"/>
    <col min="5" max="5" width="19.44140625" bestFit="1" customWidth="1"/>
    <col min="6" max="6" width="28.77734375" bestFit="1" customWidth="1"/>
    <col min="7" max="7" width="22.88671875" bestFit="1" customWidth="1"/>
    <col min="8" max="8" width="17.44140625" bestFit="1" customWidth="1"/>
  </cols>
  <sheetData>
    <row r="1" spans="1:8">
      <c r="A1" s="7" t="s">
        <v>30</v>
      </c>
    </row>
    <row r="3" spans="1:8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</row>
    <row r="4" spans="1:8">
      <c r="A4">
        <v>1</v>
      </c>
      <c r="B4">
        <v>16</v>
      </c>
      <c r="C4">
        <v>2.5</v>
      </c>
      <c r="D4">
        <v>2.7</v>
      </c>
      <c r="E4">
        <v>75</v>
      </c>
      <c r="F4">
        <v>1.6</v>
      </c>
      <c r="G4" t="s">
        <v>15</v>
      </c>
      <c r="H4" t="s">
        <v>13</v>
      </c>
    </row>
    <row r="5" spans="1:8">
      <c r="A5">
        <v>2</v>
      </c>
      <c r="B5">
        <v>17</v>
      </c>
      <c r="C5">
        <v>2.7</v>
      </c>
      <c r="D5">
        <v>4</v>
      </c>
      <c r="E5">
        <v>68.099999999999994</v>
      </c>
      <c r="F5">
        <v>0.7</v>
      </c>
      <c r="G5" t="s">
        <v>15</v>
      </c>
      <c r="H5" t="s">
        <v>13</v>
      </c>
    </row>
    <row r="6" spans="1:8">
      <c r="A6">
        <v>3</v>
      </c>
      <c r="B6">
        <v>15</v>
      </c>
      <c r="C6">
        <v>3</v>
      </c>
      <c r="D6">
        <v>4.3</v>
      </c>
      <c r="E6">
        <v>67.900000000000006</v>
      </c>
      <c r="F6">
        <v>1.5</v>
      </c>
      <c r="G6" t="s">
        <v>14</v>
      </c>
      <c r="H6" t="s">
        <v>13</v>
      </c>
    </row>
    <row r="7" spans="1:8">
      <c r="A7">
        <v>4</v>
      </c>
      <c r="B7">
        <v>17</v>
      </c>
      <c r="C7">
        <v>3</v>
      </c>
      <c r="D7">
        <v>2.8</v>
      </c>
      <c r="E7">
        <v>47.2</v>
      </c>
      <c r="F7">
        <v>1.8</v>
      </c>
      <c r="G7" t="s">
        <v>15</v>
      </c>
      <c r="H7" t="s">
        <v>13</v>
      </c>
    </row>
    <row r="8" spans="1:8">
      <c r="A8">
        <v>5</v>
      </c>
      <c r="B8">
        <v>17</v>
      </c>
      <c r="C8">
        <v>3.5</v>
      </c>
      <c r="D8">
        <v>1.8</v>
      </c>
      <c r="E8">
        <v>78</v>
      </c>
      <c r="F8">
        <v>1.4</v>
      </c>
      <c r="G8" t="s">
        <v>15</v>
      </c>
      <c r="H8" t="s">
        <v>13</v>
      </c>
    </row>
    <row r="9" spans="1:8">
      <c r="A9">
        <v>7</v>
      </c>
      <c r="B9">
        <v>15</v>
      </c>
      <c r="C9">
        <v>3.3</v>
      </c>
      <c r="D9">
        <v>6.7</v>
      </c>
      <c r="E9">
        <v>88</v>
      </c>
      <c r="F9">
        <v>2.9</v>
      </c>
      <c r="G9" t="s">
        <v>14</v>
      </c>
      <c r="H9" t="s">
        <v>13</v>
      </c>
    </row>
    <row r="10" spans="1:8">
      <c r="A10">
        <v>8</v>
      </c>
      <c r="B10">
        <v>15</v>
      </c>
      <c r="C10">
        <v>2.9</v>
      </c>
      <c r="D10">
        <v>4.5999999999999996</v>
      </c>
      <c r="E10">
        <v>69.3</v>
      </c>
      <c r="F10">
        <v>1.6</v>
      </c>
      <c r="G10" t="s">
        <v>14</v>
      </c>
      <c r="H10" t="s">
        <v>13</v>
      </c>
    </row>
    <row r="11" spans="1:8">
      <c r="A11">
        <v>9</v>
      </c>
      <c r="B11">
        <v>15</v>
      </c>
      <c r="C11">
        <v>1.4</v>
      </c>
      <c r="D11">
        <v>4.0999999999999996</v>
      </c>
      <c r="E11">
        <v>75.7</v>
      </c>
      <c r="F11">
        <v>0.9</v>
      </c>
      <c r="G11" t="s">
        <v>14</v>
      </c>
      <c r="H11" t="s">
        <v>13</v>
      </c>
    </row>
    <row r="12" spans="1:8">
      <c r="A12">
        <v>10</v>
      </c>
      <c r="B12">
        <v>17</v>
      </c>
      <c r="C12">
        <v>1.8</v>
      </c>
      <c r="D12">
        <v>4.0999999999999996</v>
      </c>
      <c r="E12">
        <v>78.3</v>
      </c>
      <c r="F12">
        <v>2.8</v>
      </c>
      <c r="G12" t="s">
        <v>14</v>
      </c>
      <c r="H12" t="s">
        <v>13</v>
      </c>
    </row>
    <row r="13" spans="1:8">
      <c r="A13">
        <v>11</v>
      </c>
      <c r="B13">
        <v>16</v>
      </c>
      <c r="C13">
        <v>3.4</v>
      </c>
      <c r="D13">
        <v>3.6</v>
      </c>
      <c r="E13">
        <v>52.5</v>
      </c>
      <c r="F13">
        <v>2</v>
      </c>
      <c r="G13" t="s">
        <v>15</v>
      </c>
      <c r="H13" t="s">
        <v>13</v>
      </c>
    </row>
    <row r="14" spans="1:8">
      <c r="A14">
        <v>12</v>
      </c>
      <c r="B14">
        <v>15</v>
      </c>
      <c r="C14">
        <v>3.1</v>
      </c>
      <c r="D14">
        <v>5.8</v>
      </c>
      <c r="E14">
        <v>96.2</v>
      </c>
      <c r="F14">
        <v>0.5</v>
      </c>
      <c r="G14" t="s">
        <v>14</v>
      </c>
      <c r="H14" t="s">
        <v>13</v>
      </c>
    </row>
    <row r="15" spans="1:8">
      <c r="A15">
        <v>13</v>
      </c>
      <c r="B15">
        <v>17</v>
      </c>
      <c r="C15">
        <v>1.8</v>
      </c>
      <c r="D15">
        <v>2.1</v>
      </c>
      <c r="E15">
        <v>65.7</v>
      </c>
      <c r="F15">
        <v>0.7</v>
      </c>
      <c r="G15" t="s">
        <v>15</v>
      </c>
      <c r="H15" t="s">
        <v>13</v>
      </c>
    </row>
    <row r="16" spans="1:8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  <c r="G16" t="s">
        <v>15</v>
      </c>
      <c r="H16" t="s">
        <v>13</v>
      </c>
    </row>
    <row r="17" spans="1:8">
      <c r="A17">
        <v>17</v>
      </c>
      <c r="B17">
        <v>16</v>
      </c>
      <c r="C17">
        <v>3.7</v>
      </c>
      <c r="D17">
        <v>5.6</v>
      </c>
      <c r="E17">
        <v>88.5</v>
      </c>
      <c r="F17">
        <v>2.2999999999999998</v>
      </c>
      <c r="G17" t="s">
        <v>14</v>
      </c>
      <c r="H17" t="s">
        <v>13</v>
      </c>
    </row>
    <row r="18" spans="1:8">
      <c r="A18">
        <v>18</v>
      </c>
      <c r="B18">
        <v>17</v>
      </c>
      <c r="C18">
        <v>2.6</v>
      </c>
      <c r="D18">
        <v>4.4000000000000004</v>
      </c>
      <c r="E18">
        <v>72.7</v>
      </c>
      <c r="F18">
        <v>1.9</v>
      </c>
      <c r="G18" t="s">
        <v>14</v>
      </c>
      <c r="H18" t="s">
        <v>13</v>
      </c>
    </row>
    <row r="19" spans="1:8">
      <c r="A19">
        <v>20</v>
      </c>
      <c r="B19">
        <v>16</v>
      </c>
      <c r="C19">
        <v>3.4</v>
      </c>
      <c r="D19">
        <v>4.7</v>
      </c>
      <c r="E19">
        <v>71.400000000000006</v>
      </c>
      <c r="F19">
        <v>1.6</v>
      </c>
      <c r="G19" t="s">
        <v>14</v>
      </c>
      <c r="H19" t="s">
        <v>13</v>
      </c>
    </row>
    <row r="20" spans="1:8">
      <c r="A20">
        <v>22</v>
      </c>
      <c r="B20">
        <v>17</v>
      </c>
      <c r="C20">
        <v>1.1000000000000001</v>
      </c>
      <c r="D20">
        <v>5.2</v>
      </c>
      <c r="E20">
        <v>70.099999999999994</v>
      </c>
      <c r="F20">
        <v>1.5</v>
      </c>
      <c r="G20" t="s">
        <v>14</v>
      </c>
      <c r="H20" t="s">
        <v>13</v>
      </c>
    </row>
    <row r="21" spans="1:8">
      <c r="A21">
        <v>23</v>
      </c>
      <c r="B21">
        <v>16</v>
      </c>
      <c r="C21">
        <v>1.5</v>
      </c>
      <c r="D21">
        <v>6</v>
      </c>
      <c r="E21">
        <v>78.8</v>
      </c>
      <c r="F21">
        <v>1.4</v>
      </c>
      <c r="G21" t="s">
        <v>14</v>
      </c>
      <c r="H21" t="s">
        <v>13</v>
      </c>
    </row>
    <row r="22" spans="1:8">
      <c r="A22">
        <v>26</v>
      </c>
      <c r="B22">
        <v>15</v>
      </c>
      <c r="C22">
        <v>2.6</v>
      </c>
      <c r="D22">
        <v>3.5</v>
      </c>
      <c r="E22">
        <v>48.6</v>
      </c>
      <c r="F22">
        <v>1.8</v>
      </c>
      <c r="G22" t="s">
        <v>15</v>
      </c>
      <c r="H22" t="s">
        <v>13</v>
      </c>
    </row>
    <row r="23" spans="1:8">
      <c r="A23">
        <v>27</v>
      </c>
      <c r="B23">
        <v>15</v>
      </c>
      <c r="C23">
        <v>3.5</v>
      </c>
      <c r="D23">
        <v>2.5</v>
      </c>
      <c r="E23">
        <v>90</v>
      </c>
      <c r="F23">
        <v>1.2</v>
      </c>
      <c r="G23" t="s">
        <v>15</v>
      </c>
      <c r="H23" t="s">
        <v>13</v>
      </c>
    </row>
    <row r="24" spans="1:8">
      <c r="A24">
        <v>29</v>
      </c>
      <c r="B24">
        <v>16</v>
      </c>
      <c r="C24">
        <v>1.9</v>
      </c>
      <c r="D24">
        <v>2.9</v>
      </c>
      <c r="E24">
        <v>76.3</v>
      </c>
      <c r="F24">
        <v>2.2000000000000002</v>
      </c>
      <c r="G24" t="s">
        <v>15</v>
      </c>
      <c r="H24" t="s">
        <v>13</v>
      </c>
    </row>
    <row r="25" spans="1:8">
      <c r="A25">
        <v>30</v>
      </c>
      <c r="B25">
        <v>16</v>
      </c>
      <c r="C25">
        <v>1.7</v>
      </c>
      <c r="D25">
        <v>1.2</v>
      </c>
      <c r="E25">
        <v>59.9</v>
      </c>
      <c r="F25">
        <v>0.8</v>
      </c>
      <c r="G25" t="s">
        <v>15</v>
      </c>
      <c r="H25" t="s">
        <v>13</v>
      </c>
    </row>
    <row r="26" spans="1:8">
      <c r="A26">
        <v>31</v>
      </c>
      <c r="B26">
        <v>15</v>
      </c>
      <c r="C26">
        <v>3.3</v>
      </c>
      <c r="D26">
        <v>3.1</v>
      </c>
      <c r="E26">
        <v>93.9</v>
      </c>
      <c r="F26">
        <v>2.1</v>
      </c>
      <c r="G26" t="s">
        <v>15</v>
      </c>
      <c r="H26" t="s">
        <v>13</v>
      </c>
    </row>
    <row r="27" spans="1:8">
      <c r="A27">
        <v>32</v>
      </c>
      <c r="B27">
        <v>16</v>
      </c>
      <c r="C27">
        <v>3</v>
      </c>
      <c r="D27">
        <v>1.8</v>
      </c>
      <c r="E27">
        <v>64</v>
      </c>
      <c r="F27">
        <v>0.4</v>
      </c>
      <c r="G27" t="s">
        <v>15</v>
      </c>
      <c r="H27" t="s">
        <v>13</v>
      </c>
    </row>
    <row r="28" spans="1:8">
      <c r="A28">
        <v>33</v>
      </c>
      <c r="B28">
        <v>16</v>
      </c>
      <c r="C28">
        <v>2.2000000000000002</v>
      </c>
      <c r="D28">
        <v>6.4</v>
      </c>
      <c r="E28">
        <v>67.900000000000006</v>
      </c>
      <c r="F28">
        <v>3.7</v>
      </c>
      <c r="G28" t="s">
        <v>14</v>
      </c>
      <c r="H28" t="s">
        <v>13</v>
      </c>
    </row>
    <row r="29" spans="1:8">
      <c r="A29">
        <v>35</v>
      </c>
      <c r="B29">
        <v>15</v>
      </c>
      <c r="C29">
        <v>3.4</v>
      </c>
      <c r="D29">
        <v>5</v>
      </c>
      <c r="E29">
        <v>74.5</v>
      </c>
      <c r="F29">
        <v>1.2</v>
      </c>
      <c r="G29" t="s">
        <v>14</v>
      </c>
      <c r="H29" t="s">
        <v>13</v>
      </c>
    </row>
    <row r="30" spans="1:8">
      <c r="A30">
        <v>36</v>
      </c>
      <c r="B30">
        <v>17</v>
      </c>
      <c r="C30">
        <v>4.3</v>
      </c>
      <c r="D30">
        <v>4.8</v>
      </c>
      <c r="E30">
        <v>76.400000000000006</v>
      </c>
      <c r="F30">
        <v>2.4</v>
      </c>
      <c r="G30" t="s">
        <v>14</v>
      </c>
      <c r="H30" t="s">
        <v>13</v>
      </c>
    </row>
    <row r="31" spans="1:8">
      <c r="A31">
        <v>37</v>
      </c>
      <c r="B31">
        <v>15</v>
      </c>
      <c r="C31">
        <v>3.1</v>
      </c>
      <c r="D31">
        <v>5.3</v>
      </c>
      <c r="E31">
        <v>76.8</v>
      </c>
      <c r="F31">
        <v>1.2</v>
      </c>
      <c r="G31" t="s">
        <v>14</v>
      </c>
      <c r="H31" t="s">
        <v>13</v>
      </c>
    </row>
    <row r="32" spans="1:8">
      <c r="A32">
        <v>38</v>
      </c>
      <c r="B32">
        <v>17</v>
      </c>
      <c r="C32">
        <v>2.2999999999999998</v>
      </c>
      <c r="D32">
        <v>5.7</v>
      </c>
      <c r="E32">
        <v>74.849999999999994</v>
      </c>
      <c r="F32">
        <v>2.7</v>
      </c>
      <c r="G32" t="s">
        <v>14</v>
      </c>
      <c r="H32" t="s">
        <v>13</v>
      </c>
    </row>
    <row r="33" spans="1:8">
      <c r="A33">
        <v>41</v>
      </c>
      <c r="B33">
        <v>16</v>
      </c>
      <c r="C33">
        <v>2.7</v>
      </c>
      <c r="D33">
        <v>2.7</v>
      </c>
      <c r="E33">
        <v>75.8</v>
      </c>
      <c r="F33">
        <v>1.3</v>
      </c>
      <c r="G33" t="s">
        <v>15</v>
      </c>
      <c r="H33" t="s">
        <v>13</v>
      </c>
    </row>
    <row r="34" spans="1:8">
      <c r="A34">
        <v>43</v>
      </c>
      <c r="B34">
        <v>16</v>
      </c>
      <c r="C34">
        <v>1.2</v>
      </c>
      <c r="D34">
        <v>0.2</v>
      </c>
      <c r="E34">
        <v>77.599999999999994</v>
      </c>
      <c r="F34">
        <v>1.7</v>
      </c>
      <c r="G34" t="s">
        <v>15</v>
      </c>
      <c r="H34" t="s">
        <v>13</v>
      </c>
    </row>
    <row r="35" spans="1:8">
      <c r="A35">
        <v>48</v>
      </c>
      <c r="B35">
        <v>17</v>
      </c>
      <c r="C35">
        <v>3.6</v>
      </c>
      <c r="D35">
        <v>4.4000000000000004</v>
      </c>
      <c r="E35">
        <v>57.1</v>
      </c>
      <c r="F35">
        <v>1.4</v>
      </c>
      <c r="G35" t="s">
        <v>14</v>
      </c>
      <c r="H35" t="s">
        <v>13</v>
      </c>
    </row>
    <row r="36" spans="1:8">
      <c r="A36">
        <v>50</v>
      </c>
      <c r="B36">
        <v>16</v>
      </c>
      <c r="C36">
        <v>5.6</v>
      </c>
      <c r="D36">
        <v>4.3</v>
      </c>
      <c r="E36">
        <v>76.099999999999994</v>
      </c>
      <c r="F36">
        <v>0.6</v>
      </c>
      <c r="G36" t="s">
        <v>14</v>
      </c>
      <c r="H36" t="s">
        <v>13</v>
      </c>
    </row>
    <row r="37" spans="1:8">
      <c r="A37">
        <v>51</v>
      </c>
      <c r="B37">
        <v>16</v>
      </c>
      <c r="C37">
        <v>1.2</v>
      </c>
      <c r="D37">
        <v>3.3</v>
      </c>
      <c r="E37">
        <v>87.1</v>
      </c>
      <c r="F37">
        <v>1.7</v>
      </c>
      <c r="G37" t="s">
        <v>15</v>
      </c>
      <c r="H37" t="s">
        <v>13</v>
      </c>
    </row>
    <row r="38" spans="1:8">
      <c r="A38">
        <v>52</v>
      </c>
      <c r="B38">
        <v>16</v>
      </c>
      <c r="C38">
        <v>3.2</v>
      </c>
      <c r="D38">
        <v>3.2</v>
      </c>
      <c r="E38">
        <v>78.2</v>
      </c>
      <c r="F38">
        <v>0.1</v>
      </c>
      <c r="G38" t="s">
        <v>15</v>
      </c>
      <c r="H38" t="s">
        <v>13</v>
      </c>
    </row>
    <row r="39" spans="1:8">
      <c r="A39">
        <v>53</v>
      </c>
      <c r="B39">
        <v>16</v>
      </c>
      <c r="C39">
        <v>2.8</v>
      </c>
      <c r="D39">
        <v>2.7</v>
      </c>
      <c r="E39">
        <v>87.7</v>
      </c>
      <c r="F39">
        <v>1.7</v>
      </c>
      <c r="G39" t="s">
        <v>15</v>
      </c>
      <c r="H39" t="s">
        <v>13</v>
      </c>
    </row>
    <row r="40" spans="1:8">
      <c r="A40">
        <v>54</v>
      </c>
      <c r="B40">
        <v>17</v>
      </c>
      <c r="C40">
        <v>2.6</v>
      </c>
      <c r="D40">
        <v>2.1</v>
      </c>
      <c r="E40">
        <v>66</v>
      </c>
      <c r="F40">
        <v>1.3</v>
      </c>
      <c r="G40" t="s">
        <v>15</v>
      </c>
      <c r="H40" t="s">
        <v>13</v>
      </c>
    </row>
    <row r="41" spans="1:8">
      <c r="A41">
        <v>55</v>
      </c>
      <c r="B41">
        <v>15</v>
      </c>
      <c r="C41">
        <v>3.4</v>
      </c>
      <c r="D41">
        <v>4.5999999999999996</v>
      </c>
      <c r="E41">
        <v>72.5</v>
      </c>
      <c r="F41">
        <v>1.8</v>
      </c>
      <c r="G41" t="s">
        <v>14</v>
      </c>
      <c r="H41" t="s">
        <v>13</v>
      </c>
    </row>
    <row r="42" spans="1:8">
      <c r="A42">
        <v>57</v>
      </c>
      <c r="B42">
        <v>16</v>
      </c>
      <c r="C42">
        <v>0.6</v>
      </c>
      <c r="D42">
        <v>2.7</v>
      </c>
      <c r="E42">
        <v>46.7</v>
      </c>
      <c r="F42">
        <v>0</v>
      </c>
      <c r="G42" t="s">
        <v>15</v>
      </c>
      <c r="H42" t="s">
        <v>13</v>
      </c>
    </row>
    <row r="43" spans="1:8">
      <c r="A43">
        <v>59</v>
      </c>
      <c r="B43">
        <v>16</v>
      </c>
      <c r="C43">
        <v>3.9</v>
      </c>
      <c r="D43">
        <v>2.5</v>
      </c>
      <c r="E43">
        <v>51.4</v>
      </c>
      <c r="F43">
        <v>0.7</v>
      </c>
      <c r="G43" t="s">
        <v>15</v>
      </c>
      <c r="H43" t="s">
        <v>13</v>
      </c>
    </row>
    <row r="44" spans="1:8">
      <c r="A44">
        <v>62</v>
      </c>
      <c r="B44">
        <v>16</v>
      </c>
      <c r="C44">
        <v>3</v>
      </c>
      <c r="D44">
        <v>6.4</v>
      </c>
      <c r="E44">
        <v>46.6</v>
      </c>
      <c r="F44">
        <v>2.8</v>
      </c>
      <c r="G44" t="s">
        <v>14</v>
      </c>
      <c r="H44" t="s">
        <v>13</v>
      </c>
    </row>
    <row r="45" spans="1:8">
      <c r="A45">
        <v>63</v>
      </c>
      <c r="B45">
        <v>17</v>
      </c>
      <c r="C45">
        <v>5.3</v>
      </c>
      <c r="D45">
        <v>2.1</v>
      </c>
      <c r="E45">
        <v>47.1</v>
      </c>
      <c r="F45">
        <v>0.9</v>
      </c>
      <c r="G45" t="s">
        <v>15</v>
      </c>
      <c r="H45" t="s">
        <v>13</v>
      </c>
    </row>
    <row r="46" spans="1:8">
      <c r="A46">
        <v>66</v>
      </c>
      <c r="B46">
        <v>16</v>
      </c>
      <c r="C46">
        <v>2.7</v>
      </c>
      <c r="D46">
        <v>2.8</v>
      </c>
      <c r="E46">
        <v>61.2</v>
      </c>
      <c r="F46">
        <v>1</v>
      </c>
      <c r="G46" t="s">
        <v>15</v>
      </c>
      <c r="H46" t="s">
        <v>13</v>
      </c>
    </row>
    <row r="47" spans="1:8">
      <c r="A47">
        <v>69</v>
      </c>
      <c r="B47">
        <v>16</v>
      </c>
      <c r="C47">
        <v>3.1</v>
      </c>
      <c r="D47">
        <v>3</v>
      </c>
      <c r="E47">
        <v>69.900000000000006</v>
      </c>
      <c r="F47">
        <v>0.8</v>
      </c>
      <c r="G47" t="s">
        <v>15</v>
      </c>
      <c r="H47" t="s">
        <v>13</v>
      </c>
    </row>
    <row r="48" spans="1:8">
      <c r="A48">
        <v>70</v>
      </c>
      <c r="B48">
        <v>16</v>
      </c>
      <c r="C48">
        <v>0.6</v>
      </c>
      <c r="D48">
        <v>1.6</v>
      </c>
      <c r="E48">
        <v>80.5</v>
      </c>
      <c r="F48">
        <v>1.5</v>
      </c>
      <c r="G48" t="s">
        <v>15</v>
      </c>
      <c r="H48" t="s">
        <v>13</v>
      </c>
    </row>
    <row r="49" spans="1:8">
      <c r="A49">
        <v>72</v>
      </c>
      <c r="B49">
        <v>17</v>
      </c>
      <c r="C49">
        <v>2.6</v>
      </c>
      <c r="D49">
        <v>5</v>
      </c>
      <c r="E49">
        <v>85.8</v>
      </c>
      <c r="F49">
        <v>2.1</v>
      </c>
      <c r="G49" t="s">
        <v>14</v>
      </c>
      <c r="H49" t="s">
        <v>13</v>
      </c>
    </row>
    <row r="50" spans="1:8">
      <c r="A50">
        <v>73</v>
      </c>
      <c r="B50">
        <v>17</v>
      </c>
      <c r="C50">
        <v>2.2999999999999998</v>
      </c>
      <c r="D50">
        <v>3.8</v>
      </c>
      <c r="E50">
        <v>79.7</v>
      </c>
      <c r="F50">
        <v>2.2000000000000002</v>
      </c>
      <c r="G50" t="s">
        <v>15</v>
      </c>
      <c r="H50" t="s">
        <v>13</v>
      </c>
    </row>
    <row r="51" spans="1:8">
      <c r="A51">
        <v>75</v>
      </c>
      <c r="B51">
        <v>17</v>
      </c>
      <c r="C51">
        <v>1.9</v>
      </c>
      <c r="D51">
        <v>5.2</v>
      </c>
      <c r="E51">
        <v>66.5</v>
      </c>
      <c r="F51">
        <v>2.6</v>
      </c>
      <c r="G51" t="s">
        <v>14</v>
      </c>
      <c r="H51" t="s">
        <v>13</v>
      </c>
    </row>
    <row r="52" spans="1:8">
      <c r="A52">
        <v>78</v>
      </c>
      <c r="B52">
        <v>16</v>
      </c>
      <c r="C52">
        <v>2.2000000000000002</v>
      </c>
      <c r="D52">
        <v>4.3</v>
      </c>
      <c r="E52">
        <v>88.4</v>
      </c>
      <c r="F52">
        <v>1.2</v>
      </c>
      <c r="G52" t="s">
        <v>14</v>
      </c>
      <c r="H52" t="s">
        <v>13</v>
      </c>
    </row>
    <row r="53" spans="1:8">
      <c r="A53">
        <v>79</v>
      </c>
      <c r="B53">
        <v>16</v>
      </c>
      <c r="C53">
        <v>3.6</v>
      </c>
      <c r="D53">
        <v>6.1</v>
      </c>
      <c r="E53">
        <v>65.900000000000006</v>
      </c>
      <c r="F53">
        <v>1.6</v>
      </c>
      <c r="G53" t="s">
        <v>14</v>
      </c>
      <c r="H53" t="s">
        <v>13</v>
      </c>
    </row>
    <row r="54" spans="1:8">
      <c r="A54">
        <v>80</v>
      </c>
      <c r="B54">
        <v>16</v>
      </c>
      <c r="C54">
        <v>2.2000000000000002</v>
      </c>
      <c r="D54">
        <v>3.3</v>
      </c>
      <c r="E54">
        <v>72.599999999999994</v>
      </c>
      <c r="F54">
        <v>1.1000000000000001</v>
      </c>
      <c r="G54" t="s">
        <v>15</v>
      </c>
      <c r="H54" t="s">
        <v>13</v>
      </c>
    </row>
    <row r="55" spans="1:8">
      <c r="A55">
        <v>81</v>
      </c>
      <c r="B55">
        <v>17</v>
      </c>
      <c r="C55">
        <v>3.1</v>
      </c>
      <c r="D55">
        <v>4.5</v>
      </c>
      <c r="E55">
        <v>47.6</v>
      </c>
      <c r="F55">
        <v>0</v>
      </c>
      <c r="G55" t="s">
        <v>14</v>
      </c>
      <c r="H55" t="s">
        <v>13</v>
      </c>
    </row>
    <row r="56" spans="1:8">
      <c r="A56">
        <v>83</v>
      </c>
      <c r="B56">
        <v>17</v>
      </c>
      <c r="C56">
        <v>1.2</v>
      </c>
      <c r="D56">
        <v>6.1</v>
      </c>
      <c r="E56">
        <v>92.6</v>
      </c>
      <c r="F56">
        <v>1.8</v>
      </c>
      <c r="G56" t="s">
        <v>14</v>
      </c>
      <c r="H56" t="s">
        <v>13</v>
      </c>
    </row>
    <row r="57" spans="1:8">
      <c r="A57">
        <v>84</v>
      </c>
      <c r="B57">
        <v>17</v>
      </c>
      <c r="C57">
        <v>1.7</v>
      </c>
      <c r="D57">
        <v>3</v>
      </c>
      <c r="E57">
        <v>60.7</v>
      </c>
      <c r="F57">
        <v>1</v>
      </c>
      <c r="G57" t="s">
        <v>15</v>
      </c>
      <c r="H57" t="s">
        <v>13</v>
      </c>
    </row>
    <row r="58" spans="1:8">
      <c r="A58">
        <v>89</v>
      </c>
      <c r="B58">
        <v>16</v>
      </c>
      <c r="C58">
        <v>1.8</v>
      </c>
      <c r="D58">
        <v>4.5</v>
      </c>
      <c r="E58">
        <v>83.3</v>
      </c>
      <c r="F58">
        <v>2.6</v>
      </c>
      <c r="G58" t="s">
        <v>14</v>
      </c>
      <c r="H58" t="s">
        <v>13</v>
      </c>
    </row>
    <row r="59" spans="1:8">
      <c r="A59">
        <v>90</v>
      </c>
      <c r="B59">
        <v>15</v>
      </c>
      <c r="C59">
        <v>3.5</v>
      </c>
      <c r="D59">
        <v>6.9</v>
      </c>
      <c r="E59">
        <v>90</v>
      </c>
      <c r="F59">
        <v>0</v>
      </c>
      <c r="G59" t="s">
        <v>14</v>
      </c>
      <c r="H59" t="s">
        <v>13</v>
      </c>
    </row>
    <row r="60" spans="1:8">
      <c r="A60">
        <v>91</v>
      </c>
      <c r="B60">
        <v>15</v>
      </c>
      <c r="C60">
        <v>3.2</v>
      </c>
      <c r="D60">
        <v>4.5</v>
      </c>
      <c r="E60">
        <v>77.2</v>
      </c>
      <c r="F60">
        <v>2.6</v>
      </c>
      <c r="G60" t="s">
        <v>14</v>
      </c>
      <c r="H60" t="s">
        <v>13</v>
      </c>
    </row>
    <row r="61" spans="1:8">
      <c r="A61">
        <v>93</v>
      </c>
      <c r="B61">
        <v>15</v>
      </c>
      <c r="C61">
        <v>1.3</v>
      </c>
      <c r="D61">
        <v>6.4</v>
      </c>
      <c r="E61">
        <v>58.2</v>
      </c>
      <c r="F61">
        <v>2.2000000000000002</v>
      </c>
      <c r="G61" t="s">
        <v>14</v>
      </c>
      <c r="H61" t="s">
        <v>13</v>
      </c>
    </row>
    <row r="62" spans="1:8">
      <c r="A62">
        <v>94</v>
      </c>
      <c r="B62">
        <v>15</v>
      </c>
      <c r="C62">
        <v>3</v>
      </c>
      <c r="D62">
        <v>4.9000000000000004</v>
      </c>
      <c r="E62">
        <v>63.2</v>
      </c>
      <c r="F62">
        <v>0</v>
      </c>
      <c r="G62" t="s">
        <v>14</v>
      </c>
      <c r="H62" t="s">
        <v>13</v>
      </c>
    </row>
    <row r="63" spans="1:8">
      <c r="A63">
        <v>96</v>
      </c>
      <c r="B63">
        <v>15</v>
      </c>
      <c r="C63">
        <v>1.8</v>
      </c>
      <c r="D63">
        <v>6</v>
      </c>
      <c r="E63">
        <v>63.9</v>
      </c>
      <c r="F63">
        <v>1.5</v>
      </c>
      <c r="G63" t="s">
        <v>14</v>
      </c>
      <c r="H63" t="s">
        <v>13</v>
      </c>
    </row>
    <row r="64" spans="1:8">
      <c r="A64">
        <v>97</v>
      </c>
      <c r="B64">
        <v>17</v>
      </c>
      <c r="C64">
        <v>2.6</v>
      </c>
      <c r="D64">
        <v>2.9</v>
      </c>
      <c r="E64">
        <v>77.599999999999994</v>
      </c>
      <c r="F64">
        <v>0</v>
      </c>
      <c r="G64" t="s">
        <v>15</v>
      </c>
      <c r="H64" t="s">
        <v>13</v>
      </c>
    </row>
    <row r="65" spans="1:8">
      <c r="A65">
        <v>101</v>
      </c>
      <c r="B65">
        <v>16</v>
      </c>
      <c r="C65">
        <v>1.6</v>
      </c>
      <c r="D65">
        <v>4.5</v>
      </c>
      <c r="E65">
        <v>61.2</v>
      </c>
      <c r="F65">
        <v>1.6</v>
      </c>
      <c r="G65" t="s">
        <v>14</v>
      </c>
      <c r="H65" t="s">
        <v>13</v>
      </c>
    </row>
    <row r="66" spans="1:8">
      <c r="A66">
        <v>103</v>
      </c>
      <c r="B66">
        <v>16</v>
      </c>
      <c r="C66">
        <v>2.1</v>
      </c>
      <c r="D66">
        <v>0</v>
      </c>
      <c r="E66">
        <v>64</v>
      </c>
      <c r="F66">
        <v>2.5</v>
      </c>
      <c r="G66" t="s">
        <v>15</v>
      </c>
      <c r="H66" t="s">
        <v>13</v>
      </c>
    </row>
    <row r="67" spans="1:8">
      <c r="A67">
        <v>106</v>
      </c>
      <c r="B67">
        <v>17</v>
      </c>
      <c r="C67">
        <v>2.9</v>
      </c>
      <c r="D67">
        <v>5.3</v>
      </c>
      <c r="E67">
        <v>65</v>
      </c>
      <c r="F67">
        <v>2.1</v>
      </c>
      <c r="G67" t="s">
        <v>14</v>
      </c>
      <c r="H67" t="s">
        <v>13</v>
      </c>
    </row>
    <row r="68" spans="1:8">
      <c r="A68">
        <v>107</v>
      </c>
      <c r="B68">
        <v>15</v>
      </c>
      <c r="C68">
        <v>2</v>
      </c>
      <c r="D68">
        <v>3.2</v>
      </c>
      <c r="E68">
        <v>74.2</v>
      </c>
      <c r="F68">
        <v>1.3</v>
      </c>
      <c r="G68" t="s">
        <v>15</v>
      </c>
      <c r="H68" t="s">
        <v>13</v>
      </c>
    </row>
    <row r="69" spans="1:8">
      <c r="A69">
        <v>108</v>
      </c>
      <c r="B69">
        <v>16</v>
      </c>
      <c r="C69">
        <v>3.3</v>
      </c>
      <c r="D69">
        <v>7.8</v>
      </c>
      <c r="E69">
        <v>66.099999999999994</v>
      </c>
      <c r="F69">
        <v>2.2999999999999998</v>
      </c>
      <c r="G69" t="s">
        <v>14</v>
      </c>
      <c r="H69" t="s">
        <v>13</v>
      </c>
    </row>
    <row r="70" spans="1:8">
      <c r="A70">
        <v>109</v>
      </c>
      <c r="B70">
        <v>15</v>
      </c>
      <c r="C70">
        <v>2.5</v>
      </c>
      <c r="D70">
        <v>6.1</v>
      </c>
      <c r="E70">
        <v>57.7</v>
      </c>
      <c r="F70">
        <v>1.7</v>
      </c>
      <c r="G70" t="s">
        <v>14</v>
      </c>
      <c r="H70" t="s">
        <v>13</v>
      </c>
    </row>
    <row r="71" spans="1:8">
      <c r="A71">
        <v>110</v>
      </c>
      <c r="B71">
        <v>15</v>
      </c>
      <c r="C71">
        <v>3</v>
      </c>
      <c r="D71">
        <v>3.4</v>
      </c>
      <c r="E71">
        <v>59</v>
      </c>
      <c r="F71">
        <v>1.5</v>
      </c>
      <c r="G71" t="s">
        <v>15</v>
      </c>
      <c r="H71" t="s">
        <v>13</v>
      </c>
    </row>
    <row r="72" spans="1:8">
      <c r="A72">
        <v>112</v>
      </c>
      <c r="B72">
        <v>15</v>
      </c>
      <c r="C72">
        <v>2.9</v>
      </c>
      <c r="D72">
        <v>2.1</v>
      </c>
      <c r="E72">
        <v>56.4</v>
      </c>
      <c r="F72">
        <v>1.4</v>
      </c>
      <c r="G72" t="s">
        <v>15</v>
      </c>
      <c r="H72" t="s">
        <v>13</v>
      </c>
    </row>
    <row r="73" spans="1:8">
      <c r="A73">
        <v>113</v>
      </c>
      <c r="B73">
        <v>17</v>
      </c>
      <c r="C73">
        <v>4.2</v>
      </c>
      <c r="D73">
        <v>4.4000000000000004</v>
      </c>
      <c r="E73">
        <v>84</v>
      </c>
      <c r="F73">
        <v>1.5</v>
      </c>
      <c r="G73" t="s">
        <v>14</v>
      </c>
      <c r="H73" t="s">
        <v>13</v>
      </c>
    </row>
    <row r="74" spans="1:8">
      <c r="A74">
        <v>114</v>
      </c>
      <c r="B74">
        <v>15</v>
      </c>
      <c r="C74">
        <v>1.8</v>
      </c>
      <c r="D74">
        <v>5.2</v>
      </c>
      <c r="E74">
        <v>63.1</v>
      </c>
      <c r="F74">
        <v>1.1000000000000001</v>
      </c>
      <c r="G74" t="s">
        <v>14</v>
      </c>
      <c r="H74" t="s">
        <v>13</v>
      </c>
    </row>
    <row r="75" spans="1:8">
      <c r="A75">
        <v>116</v>
      </c>
      <c r="B75">
        <v>17</v>
      </c>
      <c r="C75">
        <v>2</v>
      </c>
      <c r="D75">
        <v>4.4000000000000004</v>
      </c>
      <c r="E75">
        <v>63.7</v>
      </c>
      <c r="F75">
        <v>2</v>
      </c>
      <c r="G75" t="s">
        <v>14</v>
      </c>
      <c r="H75" t="s">
        <v>13</v>
      </c>
    </row>
    <row r="76" spans="1:8">
      <c r="A76">
        <v>118</v>
      </c>
      <c r="B76">
        <v>15</v>
      </c>
      <c r="C76">
        <v>2.1</v>
      </c>
      <c r="D76">
        <v>7.1</v>
      </c>
      <c r="E76">
        <v>72.5</v>
      </c>
      <c r="F76">
        <v>1.3</v>
      </c>
      <c r="G76" t="s">
        <v>14</v>
      </c>
      <c r="H76" t="s">
        <v>13</v>
      </c>
    </row>
    <row r="77" spans="1:8">
      <c r="A77">
        <v>122</v>
      </c>
      <c r="B77">
        <v>16</v>
      </c>
      <c r="C77">
        <v>1.7</v>
      </c>
      <c r="D77">
        <v>6.9</v>
      </c>
      <c r="E77">
        <v>78.099999999999994</v>
      </c>
      <c r="F77">
        <v>1.3</v>
      </c>
      <c r="G77" t="s">
        <v>14</v>
      </c>
      <c r="H77" t="s">
        <v>13</v>
      </c>
    </row>
    <row r="78" spans="1:8">
      <c r="A78">
        <v>123</v>
      </c>
      <c r="B78">
        <v>17</v>
      </c>
      <c r="C78">
        <v>2.1</v>
      </c>
      <c r="D78">
        <v>3.6</v>
      </c>
      <c r="E78">
        <v>78.400000000000006</v>
      </c>
      <c r="F78">
        <v>1.9</v>
      </c>
      <c r="G78" t="s">
        <v>15</v>
      </c>
      <c r="H78" t="s">
        <v>13</v>
      </c>
    </row>
    <row r="79" spans="1:8">
      <c r="A79">
        <v>124</v>
      </c>
      <c r="B79">
        <v>15</v>
      </c>
      <c r="C79">
        <v>2.7</v>
      </c>
      <c r="D79">
        <v>4.8</v>
      </c>
      <c r="E79">
        <v>69.599999999999994</v>
      </c>
      <c r="F79">
        <v>2.1</v>
      </c>
      <c r="G79" t="s">
        <v>14</v>
      </c>
      <c r="H79" t="s">
        <v>13</v>
      </c>
    </row>
    <row r="80" spans="1:8">
      <c r="A80">
        <v>126</v>
      </c>
      <c r="B80">
        <v>16</v>
      </c>
      <c r="C80">
        <v>3.3</v>
      </c>
      <c r="D80">
        <v>4.3</v>
      </c>
      <c r="E80">
        <v>70.8</v>
      </c>
      <c r="F80">
        <v>2</v>
      </c>
      <c r="G80" t="s">
        <v>14</v>
      </c>
      <c r="H80" t="s">
        <v>13</v>
      </c>
    </row>
    <row r="81" spans="1:8">
      <c r="A81">
        <v>127</v>
      </c>
      <c r="B81">
        <v>17</v>
      </c>
      <c r="C81">
        <v>2.2000000000000002</v>
      </c>
      <c r="D81">
        <v>3.7</v>
      </c>
      <c r="E81">
        <v>68.099999999999994</v>
      </c>
      <c r="F81">
        <v>1.3</v>
      </c>
      <c r="G81" t="s">
        <v>15</v>
      </c>
      <c r="H81" t="s">
        <v>13</v>
      </c>
    </row>
    <row r="82" spans="1:8">
      <c r="A82">
        <v>128</v>
      </c>
      <c r="B82">
        <v>16</v>
      </c>
      <c r="C82">
        <v>2.2999999999999998</v>
      </c>
      <c r="D82">
        <v>6.1</v>
      </c>
      <c r="E82">
        <v>73.099999999999994</v>
      </c>
      <c r="F82">
        <v>0.8</v>
      </c>
      <c r="G82" t="s">
        <v>14</v>
      </c>
      <c r="H82" t="s">
        <v>13</v>
      </c>
    </row>
    <row r="83" spans="1:8">
      <c r="A83">
        <v>129</v>
      </c>
      <c r="B83">
        <v>17</v>
      </c>
      <c r="C83">
        <v>2.8</v>
      </c>
      <c r="D83">
        <v>4.7</v>
      </c>
      <c r="E83">
        <v>58.1</v>
      </c>
      <c r="F83">
        <v>1</v>
      </c>
      <c r="G83" t="s">
        <v>14</v>
      </c>
      <c r="H83" t="s">
        <v>13</v>
      </c>
    </row>
    <row r="84" spans="1:8">
      <c r="A84">
        <v>130</v>
      </c>
      <c r="B84">
        <v>17</v>
      </c>
      <c r="C84">
        <v>4.7</v>
      </c>
      <c r="D84">
        <v>4.9000000000000004</v>
      </c>
      <c r="E84">
        <v>72.8</v>
      </c>
      <c r="F84">
        <v>2.1</v>
      </c>
      <c r="G84" t="s">
        <v>14</v>
      </c>
      <c r="H84" t="s">
        <v>13</v>
      </c>
    </row>
    <row r="85" spans="1:8">
      <c r="A85">
        <v>131</v>
      </c>
      <c r="B85">
        <v>15</v>
      </c>
      <c r="C85">
        <v>1.7</v>
      </c>
      <c r="D85">
        <v>1.7</v>
      </c>
      <c r="E85">
        <v>62.8</v>
      </c>
      <c r="F85">
        <v>1.7</v>
      </c>
      <c r="G85" t="s">
        <v>15</v>
      </c>
      <c r="H85" t="s">
        <v>13</v>
      </c>
    </row>
    <row r="86" spans="1:8">
      <c r="A86">
        <v>132</v>
      </c>
      <c r="B86">
        <v>17</v>
      </c>
      <c r="C86">
        <v>4.4000000000000004</v>
      </c>
      <c r="D86">
        <v>5.8</v>
      </c>
      <c r="E86">
        <v>79.099999999999994</v>
      </c>
      <c r="F86">
        <v>1.5</v>
      </c>
      <c r="G86" t="s">
        <v>14</v>
      </c>
      <c r="H86" t="s">
        <v>13</v>
      </c>
    </row>
    <row r="87" spans="1:8">
      <c r="A87">
        <v>133</v>
      </c>
      <c r="B87">
        <v>16</v>
      </c>
      <c r="C87">
        <v>1.3</v>
      </c>
      <c r="D87">
        <v>4.5999999999999996</v>
      </c>
      <c r="E87">
        <v>63.3</v>
      </c>
      <c r="F87">
        <v>1.7</v>
      </c>
      <c r="G87" t="s">
        <v>14</v>
      </c>
      <c r="H87" t="s">
        <v>13</v>
      </c>
    </row>
    <row r="88" spans="1:8">
      <c r="A88">
        <v>134</v>
      </c>
      <c r="B88">
        <v>17</v>
      </c>
      <c r="C88">
        <v>2.7</v>
      </c>
      <c r="D88">
        <v>1.9</v>
      </c>
      <c r="E88">
        <v>63.4</v>
      </c>
      <c r="F88">
        <v>2.2000000000000002</v>
      </c>
      <c r="G88" t="s">
        <v>15</v>
      </c>
      <c r="H88" t="s">
        <v>13</v>
      </c>
    </row>
    <row r="89" spans="1:8">
      <c r="A89">
        <v>135</v>
      </c>
      <c r="B89">
        <v>15</v>
      </c>
      <c r="C89">
        <v>3.5</v>
      </c>
      <c r="D89">
        <v>4.7</v>
      </c>
      <c r="E89">
        <v>74.5</v>
      </c>
      <c r="F89">
        <v>1.4</v>
      </c>
      <c r="G89" t="s">
        <v>14</v>
      </c>
      <c r="H89" t="s">
        <v>13</v>
      </c>
    </row>
    <row r="90" spans="1:8">
      <c r="A90">
        <v>136</v>
      </c>
      <c r="B90">
        <v>15</v>
      </c>
      <c r="C90">
        <v>1.7</v>
      </c>
      <c r="D90">
        <v>0.9</v>
      </c>
      <c r="E90">
        <v>70.099999999999994</v>
      </c>
      <c r="F90">
        <v>1.5</v>
      </c>
      <c r="G90" t="s">
        <v>15</v>
      </c>
      <c r="H90" t="s">
        <v>13</v>
      </c>
    </row>
    <row r="91" spans="1:8">
      <c r="A91">
        <v>137</v>
      </c>
      <c r="B91">
        <v>16</v>
      </c>
      <c r="C91">
        <v>3.2</v>
      </c>
      <c r="D91">
        <v>7.5</v>
      </c>
      <c r="E91">
        <v>92.8</v>
      </c>
      <c r="F91">
        <v>2.4</v>
      </c>
      <c r="G91" t="s">
        <v>14</v>
      </c>
      <c r="H91" t="s">
        <v>13</v>
      </c>
    </row>
    <row r="92" spans="1:8">
      <c r="A92">
        <v>140</v>
      </c>
      <c r="B92">
        <v>17</v>
      </c>
      <c r="C92">
        <v>0.4</v>
      </c>
      <c r="D92">
        <v>2.8</v>
      </c>
      <c r="E92">
        <v>81.3</v>
      </c>
      <c r="F92">
        <v>1.1000000000000001</v>
      </c>
      <c r="G92" t="s">
        <v>15</v>
      </c>
      <c r="H92" t="s">
        <v>13</v>
      </c>
    </row>
    <row r="93" spans="1:8">
      <c r="A93">
        <v>142</v>
      </c>
      <c r="B93">
        <v>17</v>
      </c>
      <c r="C93">
        <v>2.6</v>
      </c>
      <c r="D93">
        <v>2.6</v>
      </c>
      <c r="E93">
        <v>60.9</v>
      </c>
      <c r="F93">
        <v>1.4</v>
      </c>
      <c r="G93" t="s">
        <v>15</v>
      </c>
      <c r="H93" t="s">
        <v>13</v>
      </c>
    </row>
    <row r="94" spans="1:8">
      <c r="A94">
        <v>143</v>
      </c>
      <c r="B94">
        <v>16</v>
      </c>
      <c r="C94">
        <v>2.5</v>
      </c>
      <c r="D94">
        <v>5.5</v>
      </c>
      <c r="E94">
        <v>61.3</v>
      </c>
      <c r="F94">
        <v>1.9</v>
      </c>
      <c r="G94" t="s">
        <v>14</v>
      </c>
      <c r="H94" t="s">
        <v>13</v>
      </c>
    </row>
    <row r="95" spans="1:8">
      <c r="A95">
        <v>144</v>
      </c>
      <c r="B95">
        <v>16</v>
      </c>
      <c r="C95">
        <v>3.3</v>
      </c>
      <c r="D95">
        <v>3.6</v>
      </c>
      <c r="E95">
        <v>53.9</v>
      </c>
      <c r="F95">
        <v>2.5</v>
      </c>
      <c r="G95" t="s">
        <v>15</v>
      </c>
      <c r="H95" t="s">
        <v>13</v>
      </c>
    </row>
    <row r="96" spans="1:8">
      <c r="A96">
        <v>145</v>
      </c>
      <c r="B96">
        <v>16</v>
      </c>
      <c r="C96">
        <v>4.4000000000000004</v>
      </c>
      <c r="D96">
        <v>4.7</v>
      </c>
      <c r="E96">
        <v>83.5</v>
      </c>
      <c r="F96">
        <v>1.6</v>
      </c>
      <c r="G96" t="s">
        <v>14</v>
      </c>
      <c r="H96" t="s">
        <v>13</v>
      </c>
    </row>
    <row r="97" spans="1:8">
      <c r="A97">
        <v>146</v>
      </c>
      <c r="B97">
        <v>16</v>
      </c>
      <c r="C97">
        <v>2.9</v>
      </c>
      <c r="D97">
        <v>4</v>
      </c>
      <c r="E97">
        <v>66.7</v>
      </c>
      <c r="F97">
        <v>0.3</v>
      </c>
      <c r="G97" t="s">
        <v>15</v>
      </c>
      <c r="H97" t="s">
        <v>13</v>
      </c>
    </row>
    <row r="98" spans="1:8">
      <c r="A98">
        <v>147</v>
      </c>
      <c r="B98">
        <v>16</v>
      </c>
      <c r="C98">
        <v>3.1</v>
      </c>
      <c r="D98">
        <v>2</v>
      </c>
      <c r="E98">
        <v>65.5</v>
      </c>
      <c r="F98">
        <v>2</v>
      </c>
      <c r="G98" t="s">
        <v>15</v>
      </c>
      <c r="H98" t="s">
        <v>13</v>
      </c>
    </row>
    <row r="99" spans="1:8">
      <c r="A99">
        <v>148</v>
      </c>
      <c r="B99">
        <v>15</v>
      </c>
      <c r="C99">
        <v>2.6</v>
      </c>
      <c r="D99">
        <v>4.8</v>
      </c>
      <c r="E99">
        <v>48.8</v>
      </c>
      <c r="F99">
        <v>3.5</v>
      </c>
      <c r="G99" t="s">
        <v>14</v>
      </c>
      <c r="H99" t="s">
        <v>13</v>
      </c>
    </row>
    <row r="100" spans="1:8">
      <c r="A100">
        <v>150</v>
      </c>
      <c r="B100">
        <v>16</v>
      </c>
      <c r="C100">
        <v>3</v>
      </c>
      <c r="D100">
        <v>5.6</v>
      </c>
      <c r="E100">
        <v>84.7</v>
      </c>
      <c r="F100">
        <v>0.1</v>
      </c>
      <c r="G100" t="s">
        <v>14</v>
      </c>
      <c r="H100" t="s">
        <v>13</v>
      </c>
    </row>
    <row r="101" spans="1:8">
      <c r="A101">
        <v>155</v>
      </c>
      <c r="B101">
        <v>15</v>
      </c>
      <c r="C101">
        <v>2.9</v>
      </c>
      <c r="D101">
        <v>5.2</v>
      </c>
      <c r="E101">
        <v>94.3</v>
      </c>
      <c r="F101">
        <v>2.6</v>
      </c>
      <c r="G101" t="s">
        <v>14</v>
      </c>
      <c r="H101" t="s">
        <v>13</v>
      </c>
    </row>
    <row r="102" spans="1:8">
      <c r="A102">
        <v>157</v>
      </c>
      <c r="B102">
        <v>16</v>
      </c>
      <c r="C102">
        <v>3</v>
      </c>
      <c r="D102">
        <v>3.4</v>
      </c>
      <c r="E102">
        <v>64.400000000000006</v>
      </c>
      <c r="F102">
        <v>1.4</v>
      </c>
      <c r="G102" t="s">
        <v>15</v>
      </c>
      <c r="H102" t="s">
        <v>13</v>
      </c>
    </row>
    <row r="103" spans="1:8">
      <c r="A103">
        <v>158</v>
      </c>
      <c r="B103">
        <v>17</v>
      </c>
      <c r="C103">
        <v>3.6</v>
      </c>
      <c r="D103">
        <v>2.8</v>
      </c>
      <c r="E103">
        <v>34.299999999999997</v>
      </c>
      <c r="F103">
        <v>2.4</v>
      </c>
      <c r="G103" t="s">
        <v>15</v>
      </c>
      <c r="H103" t="s">
        <v>13</v>
      </c>
    </row>
    <row r="104" spans="1:8">
      <c r="A104">
        <v>160</v>
      </c>
      <c r="B104">
        <v>15</v>
      </c>
      <c r="C104">
        <v>1.6</v>
      </c>
      <c r="D104">
        <v>3.6</v>
      </c>
      <c r="E104">
        <v>72.400000000000006</v>
      </c>
      <c r="F104">
        <v>0.9</v>
      </c>
      <c r="G104" t="s">
        <v>15</v>
      </c>
      <c r="H104" t="s">
        <v>13</v>
      </c>
    </row>
    <row r="105" spans="1:8">
      <c r="A105">
        <v>161</v>
      </c>
      <c r="B105">
        <v>15</v>
      </c>
      <c r="C105">
        <v>2</v>
      </c>
      <c r="D105">
        <v>6.9</v>
      </c>
      <c r="E105">
        <v>64.3</v>
      </c>
      <c r="F105">
        <v>1</v>
      </c>
      <c r="G105" t="s">
        <v>14</v>
      </c>
      <c r="H105" t="s">
        <v>13</v>
      </c>
    </row>
    <row r="106" spans="1:8">
      <c r="A106">
        <v>163</v>
      </c>
      <c r="B106">
        <v>17</v>
      </c>
      <c r="C106">
        <v>2.6</v>
      </c>
      <c r="D106">
        <v>2.2000000000000002</v>
      </c>
      <c r="E106">
        <v>61.7</v>
      </c>
      <c r="F106">
        <v>1.9</v>
      </c>
      <c r="G106" t="s">
        <v>15</v>
      </c>
      <c r="H106" t="s">
        <v>13</v>
      </c>
    </row>
    <row r="107" spans="1:8">
      <c r="A107">
        <v>165</v>
      </c>
      <c r="B107">
        <v>15</v>
      </c>
      <c r="C107">
        <v>3.7</v>
      </c>
      <c r="D107">
        <v>4.3</v>
      </c>
      <c r="E107">
        <v>70.599999999999994</v>
      </c>
      <c r="F107">
        <v>0.8</v>
      </c>
      <c r="G107" t="s">
        <v>14</v>
      </c>
      <c r="H107" t="s">
        <v>13</v>
      </c>
    </row>
    <row r="108" spans="1:8">
      <c r="A108">
        <v>167</v>
      </c>
      <c r="B108">
        <v>16</v>
      </c>
      <c r="C108">
        <v>4.0999999999999996</v>
      </c>
      <c r="D108">
        <v>5.2</v>
      </c>
      <c r="E108">
        <v>82.2</v>
      </c>
      <c r="F108">
        <v>1.3</v>
      </c>
      <c r="G108" t="s">
        <v>14</v>
      </c>
      <c r="H108" t="s">
        <v>13</v>
      </c>
    </row>
    <row r="109" spans="1:8">
      <c r="A109">
        <v>168</v>
      </c>
      <c r="B109">
        <v>15</v>
      </c>
      <c r="C109">
        <v>1.5</v>
      </c>
      <c r="D109">
        <v>4.0999999999999996</v>
      </c>
      <c r="E109">
        <v>48.3</v>
      </c>
      <c r="F109">
        <v>1.6</v>
      </c>
      <c r="G109" t="s">
        <v>14</v>
      </c>
      <c r="H109" t="s">
        <v>13</v>
      </c>
    </row>
    <row r="110" spans="1:8">
      <c r="A110">
        <v>170</v>
      </c>
      <c r="B110">
        <v>16</v>
      </c>
      <c r="C110">
        <v>1.7</v>
      </c>
      <c r="D110">
        <v>2.8</v>
      </c>
      <c r="E110">
        <v>63.8</v>
      </c>
      <c r="F110">
        <v>1.5</v>
      </c>
      <c r="G110" t="s">
        <v>15</v>
      </c>
      <c r="H110" t="s">
        <v>13</v>
      </c>
    </row>
    <row r="111" spans="1:8">
      <c r="A111">
        <v>174</v>
      </c>
      <c r="B111">
        <v>16</v>
      </c>
      <c r="C111">
        <v>2.2999999999999998</v>
      </c>
      <c r="D111">
        <v>2.8</v>
      </c>
      <c r="E111">
        <v>51.2</v>
      </c>
      <c r="F111">
        <v>2.2000000000000002</v>
      </c>
      <c r="G111" t="s">
        <v>15</v>
      </c>
      <c r="H111" t="s">
        <v>13</v>
      </c>
    </row>
    <row r="112" spans="1:8">
      <c r="A112">
        <v>175</v>
      </c>
      <c r="B112">
        <v>16</v>
      </c>
      <c r="C112">
        <v>2.4</v>
      </c>
      <c r="D112">
        <v>4.7</v>
      </c>
      <c r="E112">
        <v>71.400000000000006</v>
      </c>
      <c r="F112">
        <v>1.9</v>
      </c>
      <c r="G112" t="s">
        <v>14</v>
      </c>
      <c r="H112" t="s">
        <v>13</v>
      </c>
    </row>
    <row r="113" spans="1:8">
      <c r="A113">
        <v>177</v>
      </c>
      <c r="B113">
        <v>15</v>
      </c>
      <c r="C113">
        <v>2.6</v>
      </c>
      <c r="D113">
        <v>2.2000000000000002</v>
      </c>
      <c r="E113">
        <v>78.599999999999994</v>
      </c>
      <c r="F113">
        <v>1.8</v>
      </c>
      <c r="G113" t="s">
        <v>15</v>
      </c>
      <c r="H113" t="s">
        <v>13</v>
      </c>
    </row>
    <row r="114" spans="1:8">
      <c r="A114">
        <v>179</v>
      </c>
      <c r="B114">
        <v>17</v>
      </c>
      <c r="C114">
        <v>4.2</v>
      </c>
      <c r="D114">
        <v>4.4000000000000004</v>
      </c>
      <c r="E114">
        <v>70.099999999999994</v>
      </c>
      <c r="F114">
        <v>2.4</v>
      </c>
      <c r="G114" t="s">
        <v>14</v>
      </c>
      <c r="H114" t="s">
        <v>13</v>
      </c>
    </row>
    <row r="115" spans="1:8">
      <c r="A115">
        <v>182</v>
      </c>
      <c r="B115">
        <v>15</v>
      </c>
      <c r="C115">
        <v>3</v>
      </c>
      <c r="D115">
        <v>2.1</v>
      </c>
      <c r="E115">
        <v>61</v>
      </c>
      <c r="F115">
        <v>1.1000000000000001</v>
      </c>
      <c r="G115" t="s">
        <v>15</v>
      </c>
      <c r="H115" t="s">
        <v>13</v>
      </c>
    </row>
    <row r="116" spans="1:8">
      <c r="A116">
        <v>186</v>
      </c>
      <c r="B116">
        <v>16</v>
      </c>
      <c r="C116">
        <v>2.7</v>
      </c>
      <c r="D116">
        <v>2.1</v>
      </c>
      <c r="E116">
        <v>74.7</v>
      </c>
      <c r="F116">
        <v>1</v>
      </c>
      <c r="G116" t="s">
        <v>15</v>
      </c>
      <c r="H116" t="s">
        <v>13</v>
      </c>
    </row>
    <row r="117" spans="1:8">
      <c r="A117">
        <v>187</v>
      </c>
      <c r="B117">
        <v>17</v>
      </c>
      <c r="C117">
        <v>1</v>
      </c>
      <c r="D117">
        <v>6</v>
      </c>
      <c r="E117">
        <v>83.7</v>
      </c>
      <c r="F117">
        <v>1.7</v>
      </c>
      <c r="G117" t="s">
        <v>14</v>
      </c>
      <c r="H117" t="s">
        <v>13</v>
      </c>
    </row>
    <row r="118" spans="1:8">
      <c r="A118">
        <v>190</v>
      </c>
      <c r="B118">
        <v>15</v>
      </c>
      <c r="C118">
        <v>3.4</v>
      </c>
      <c r="D118">
        <v>3.1</v>
      </c>
      <c r="E118">
        <v>77.5</v>
      </c>
      <c r="F118">
        <v>1.9</v>
      </c>
      <c r="G118" t="s">
        <v>15</v>
      </c>
      <c r="H118" t="s">
        <v>13</v>
      </c>
    </row>
    <row r="119" spans="1:8">
      <c r="A119">
        <v>192</v>
      </c>
      <c r="B119">
        <v>17</v>
      </c>
      <c r="C119">
        <v>1.2</v>
      </c>
      <c r="D119">
        <v>6.5</v>
      </c>
      <c r="E119">
        <v>64.900000000000006</v>
      </c>
      <c r="F119">
        <v>2</v>
      </c>
      <c r="G119" t="s">
        <v>14</v>
      </c>
      <c r="H119" t="s">
        <v>13</v>
      </c>
    </row>
    <row r="120" spans="1:8">
      <c r="A120">
        <v>193</v>
      </c>
      <c r="B120">
        <v>16</v>
      </c>
      <c r="C120">
        <v>2.2000000000000002</v>
      </c>
      <c r="D120">
        <v>6.2</v>
      </c>
      <c r="E120">
        <v>66.7</v>
      </c>
      <c r="F120">
        <v>2.8</v>
      </c>
      <c r="G120" t="s">
        <v>14</v>
      </c>
      <c r="H120" t="s">
        <v>13</v>
      </c>
    </row>
    <row r="121" spans="1:8">
      <c r="A121">
        <v>195</v>
      </c>
      <c r="B121">
        <v>16</v>
      </c>
      <c r="C121">
        <v>1</v>
      </c>
      <c r="D121">
        <v>1.7</v>
      </c>
      <c r="E121">
        <v>65.2</v>
      </c>
      <c r="F121">
        <v>0.9</v>
      </c>
      <c r="G121" t="s">
        <v>15</v>
      </c>
      <c r="H121" t="s">
        <v>13</v>
      </c>
    </row>
    <row r="122" spans="1:8">
      <c r="A122">
        <v>196</v>
      </c>
      <c r="B122">
        <v>15</v>
      </c>
      <c r="C122">
        <v>1.7</v>
      </c>
      <c r="D122">
        <v>2.2999999999999998</v>
      </c>
      <c r="E122">
        <v>80.2</v>
      </c>
      <c r="F122">
        <v>1</v>
      </c>
      <c r="G122" t="s">
        <v>15</v>
      </c>
      <c r="H122" t="s">
        <v>13</v>
      </c>
    </row>
    <row r="123" spans="1:8">
      <c r="A123">
        <v>197</v>
      </c>
      <c r="B123">
        <v>15</v>
      </c>
      <c r="C123">
        <v>2.9</v>
      </c>
      <c r="D123">
        <v>4.3</v>
      </c>
      <c r="E123">
        <v>63.7</v>
      </c>
      <c r="F123">
        <v>1.3</v>
      </c>
      <c r="G123" t="s">
        <v>14</v>
      </c>
      <c r="H123" t="s">
        <v>13</v>
      </c>
    </row>
    <row r="124" spans="1:8">
      <c r="A124">
        <v>199</v>
      </c>
      <c r="B124">
        <v>17</v>
      </c>
      <c r="C124">
        <v>2.2999999999999998</v>
      </c>
      <c r="D124">
        <v>4</v>
      </c>
      <c r="E124">
        <v>66.3</v>
      </c>
      <c r="F124">
        <v>0.7</v>
      </c>
      <c r="G124" t="s">
        <v>15</v>
      </c>
      <c r="H124" t="s">
        <v>13</v>
      </c>
    </row>
    <row r="125" spans="1:8">
      <c r="A125">
        <v>200</v>
      </c>
      <c r="B125">
        <v>16</v>
      </c>
      <c r="C125">
        <v>4.5</v>
      </c>
      <c r="D125">
        <v>1.5</v>
      </c>
      <c r="E125">
        <v>74.7</v>
      </c>
      <c r="F125">
        <v>1.6</v>
      </c>
      <c r="G125" t="s">
        <v>15</v>
      </c>
      <c r="H125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4FF8-3DF1-4521-B73D-26AFFA7FE1C2}">
  <dimension ref="A3:H56"/>
  <sheetViews>
    <sheetView topLeftCell="A3" zoomScaleNormal="100" workbookViewId="0">
      <selection activeCell="D14" sqref="D14"/>
    </sheetView>
  </sheetViews>
  <sheetFormatPr defaultRowHeight="14.4"/>
  <cols>
    <col min="1" max="1" width="12.21875" bestFit="1" customWidth="1"/>
    <col min="2" max="2" width="20.44140625" bestFit="1" customWidth="1"/>
    <col min="3" max="3" width="10" bestFit="1" customWidth="1"/>
    <col min="4" max="4" width="12.44140625" bestFit="1" customWidth="1"/>
    <col min="5" max="5" width="19.88671875" bestFit="1" customWidth="1"/>
    <col min="7" max="7" width="12.21875" bestFit="1" customWidth="1"/>
    <col min="8" max="8" width="29.21875" bestFit="1" customWidth="1"/>
  </cols>
  <sheetData>
    <row r="3" spans="1:8">
      <c r="A3" s="3" t="s">
        <v>7</v>
      </c>
      <c r="B3" t="s">
        <v>18</v>
      </c>
    </row>
    <row r="4" spans="1:8">
      <c r="A4" s="4" t="s">
        <v>12</v>
      </c>
      <c r="B4" s="5">
        <v>3.821794871794872</v>
      </c>
      <c r="D4" s="3" t="s">
        <v>16</v>
      </c>
      <c r="E4" t="s">
        <v>19</v>
      </c>
    </row>
    <row r="5" spans="1:8">
      <c r="A5" s="4" t="s">
        <v>13</v>
      </c>
      <c r="B5" s="5">
        <v>4.0319672131147541</v>
      </c>
      <c r="D5" s="4" t="s">
        <v>14</v>
      </c>
      <c r="E5" s="6">
        <v>15.070707070707071</v>
      </c>
      <c r="G5" s="3" t="s">
        <v>7</v>
      </c>
      <c r="H5" t="s">
        <v>21</v>
      </c>
    </row>
    <row r="6" spans="1:8">
      <c r="A6" s="4" t="s">
        <v>9</v>
      </c>
      <c r="B6" s="5">
        <v>3.95</v>
      </c>
      <c r="D6" s="4" t="s">
        <v>15</v>
      </c>
      <c r="E6" s="6">
        <v>14.930693069306932</v>
      </c>
      <c r="G6" s="4" t="s">
        <v>12</v>
      </c>
      <c r="H6" s="5">
        <v>1.5166666666666664</v>
      </c>
    </row>
    <row r="7" spans="1:8">
      <c r="D7" s="4" t="s">
        <v>9</v>
      </c>
      <c r="E7" s="6">
        <v>15</v>
      </c>
      <c r="G7" s="4" t="s">
        <v>13</v>
      </c>
      <c r="H7" s="5">
        <v>1.5540983606557379</v>
      </c>
    </row>
    <row r="8" spans="1:8">
      <c r="G8" s="4" t="s">
        <v>9</v>
      </c>
      <c r="H8" s="5">
        <v>1.5394999999999994</v>
      </c>
    </row>
    <row r="11" spans="1:8">
      <c r="A11" s="3" t="s">
        <v>7</v>
      </c>
      <c r="B11" t="s">
        <v>20</v>
      </c>
      <c r="D11" s="3" t="s">
        <v>31</v>
      </c>
      <c r="E11" t="s">
        <v>17</v>
      </c>
    </row>
    <row r="12" spans="1:8">
      <c r="A12" s="4" t="s">
        <v>12</v>
      </c>
      <c r="B12" s="5">
        <v>2.4858974358974355</v>
      </c>
      <c r="D12" s="4">
        <v>0.2</v>
      </c>
      <c r="E12" s="5">
        <v>69.5</v>
      </c>
    </row>
    <row r="13" spans="1:8">
      <c r="A13" s="4" t="s">
        <v>13</v>
      </c>
      <c r="B13" s="5">
        <v>2.6352459016393435</v>
      </c>
      <c r="D13" s="4">
        <v>0.4</v>
      </c>
      <c r="E13" s="5">
        <v>81.3</v>
      </c>
    </row>
    <row r="14" spans="1:8">
      <c r="A14" s="4" t="s">
        <v>9</v>
      </c>
      <c r="B14" s="5">
        <v>2.5770000000000004</v>
      </c>
      <c r="D14" s="4">
        <v>0.5</v>
      </c>
      <c r="E14" s="5">
        <v>63.7</v>
      </c>
    </row>
    <row r="15" spans="1:8">
      <c r="D15" s="4">
        <v>0.6</v>
      </c>
      <c r="E15" s="5">
        <v>68.162499999999994</v>
      </c>
    </row>
    <row r="16" spans="1:8">
      <c r="D16" s="4">
        <v>0.8</v>
      </c>
      <c r="E16" s="5">
        <v>62.5</v>
      </c>
    </row>
    <row r="17" spans="4:5">
      <c r="D17" s="4">
        <v>1</v>
      </c>
      <c r="E17" s="5">
        <v>74.45</v>
      </c>
    </row>
    <row r="18" spans="4:5">
      <c r="D18" s="4">
        <v>1.1000000000000001</v>
      </c>
      <c r="E18" s="5">
        <v>77.900000000000006</v>
      </c>
    </row>
    <row r="19" spans="4:5">
      <c r="D19" s="4">
        <v>1.2</v>
      </c>
      <c r="E19" s="5">
        <v>78.25</v>
      </c>
    </row>
    <row r="20" spans="4:5">
      <c r="D20" s="4">
        <v>1.3</v>
      </c>
      <c r="E20" s="5">
        <v>65.42</v>
      </c>
    </row>
    <row r="21" spans="4:5">
      <c r="D21" s="4">
        <v>1.4</v>
      </c>
      <c r="E21" s="5">
        <v>76.25</v>
      </c>
    </row>
    <row r="22" spans="4:5">
      <c r="D22" s="4">
        <v>1.5</v>
      </c>
      <c r="E22" s="5">
        <v>75.900000000000006</v>
      </c>
    </row>
    <row r="23" spans="4:5">
      <c r="D23" s="4">
        <v>1.6</v>
      </c>
      <c r="E23" s="5">
        <v>66.800000000000011</v>
      </c>
    </row>
    <row r="24" spans="4:5">
      <c r="D24" s="4">
        <v>1.7</v>
      </c>
      <c r="E24" s="5">
        <v>68.461111111111109</v>
      </c>
    </row>
    <row r="25" spans="4:5">
      <c r="D25" s="4">
        <v>1.8</v>
      </c>
      <c r="E25" s="5">
        <v>70.711111111111109</v>
      </c>
    </row>
    <row r="26" spans="4:5">
      <c r="D26" s="4">
        <v>1.9</v>
      </c>
      <c r="E26" s="5">
        <v>72.599999999999994</v>
      </c>
    </row>
    <row r="27" spans="4:5">
      <c r="D27" s="4">
        <v>2</v>
      </c>
      <c r="E27" s="5">
        <v>70.637499999999989</v>
      </c>
    </row>
    <row r="28" spans="4:5">
      <c r="D28" s="4">
        <v>2.1</v>
      </c>
      <c r="E28" s="5">
        <v>72.777777777777771</v>
      </c>
    </row>
    <row r="29" spans="4:5">
      <c r="D29" s="4">
        <v>2.2000000000000002</v>
      </c>
      <c r="E29" s="5">
        <v>71.712500000000006</v>
      </c>
    </row>
    <row r="30" spans="4:5">
      <c r="D30" s="4">
        <v>2.2999999999999998</v>
      </c>
      <c r="E30" s="5">
        <v>66.391666666666666</v>
      </c>
    </row>
    <row r="31" spans="4:5">
      <c r="D31" s="4">
        <v>2.4</v>
      </c>
      <c r="E31" s="5">
        <v>74.01428571428572</v>
      </c>
    </row>
    <row r="32" spans="4:5">
      <c r="D32" s="4">
        <v>2.5</v>
      </c>
      <c r="E32" s="5">
        <v>72.118750000000006</v>
      </c>
    </row>
    <row r="33" spans="4:5">
      <c r="D33" s="4">
        <v>2.6</v>
      </c>
      <c r="E33" s="5">
        <v>66.744444444444454</v>
      </c>
    </row>
    <row r="34" spans="4:5">
      <c r="D34" s="4">
        <v>2.7</v>
      </c>
      <c r="E34" s="5">
        <v>73.400000000000006</v>
      </c>
    </row>
    <row r="35" spans="4:5">
      <c r="D35" s="4">
        <v>2.8</v>
      </c>
      <c r="E35" s="5">
        <v>73.533333333333331</v>
      </c>
    </row>
    <row r="36" spans="4:5">
      <c r="D36" s="4">
        <v>2.9</v>
      </c>
      <c r="E36" s="5">
        <v>67.412500000000009</v>
      </c>
    </row>
    <row r="37" spans="4:5">
      <c r="D37" s="4">
        <v>3</v>
      </c>
      <c r="E37" s="5">
        <v>64.459090909090918</v>
      </c>
    </row>
    <row r="38" spans="4:5">
      <c r="D38" s="4">
        <v>3.1</v>
      </c>
      <c r="E38" s="5">
        <v>69.027777777777771</v>
      </c>
    </row>
    <row r="39" spans="4:5">
      <c r="D39" s="4">
        <v>3.2</v>
      </c>
      <c r="E39" s="5">
        <v>74.88000000000001</v>
      </c>
    </row>
    <row r="40" spans="4:5">
      <c r="D40" s="4">
        <v>3.3</v>
      </c>
      <c r="E40" s="5">
        <v>74.539999999999992</v>
      </c>
    </row>
    <row r="41" spans="4:5">
      <c r="D41" s="4">
        <v>3.4</v>
      </c>
      <c r="E41" s="5">
        <v>69.679999999999993</v>
      </c>
    </row>
    <row r="42" spans="4:5">
      <c r="D42" s="4">
        <v>3.5</v>
      </c>
      <c r="E42" s="5">
        <v>79.412499999999994</v>
      </c>
    </row>
    <row r="43" spans="4:5">
      <c r="D43" s="4">
        <v>3.6</v>
      </c>
      <c r="E43" s="5">
        <v>65.116666666666674</v>
      </c>
    </row>
    <row r="44" spans="4:5">
      <c r="D44" s="4">
        <v>3.7</v>
      </c>
      <c r="E44" s="5">
        <v>73.699999999999989</v>
      </c>
    </row>
    <row r="45" spans="4:5">
      <c r="D45" s="4">
        <v>3.8</v>
      </c>
      <c r="E45" s="5">
        <v>65.599999999999994</v>
      </c>
    </row>
    <row r="46" spans="4:5">
      <c r="D46" s="4">
        <v>3.9</v>
      </c>
      <c r="E46" s="5">
        <v>51.4</v>
      </c>
    </row>
    <row r="47" spans="4:5">
      <c r="D47" s="4">
        <v>4.0999999999999996</v>
      </c>
      <c r="E47" s="5">
        <v>65.36666666666666</v>
      </c>
    </row>
    <row r="48" spans="4:5">
      <c r="D48" s="4">
        <v>4.2</v>
      </c>
      <c r="E48" s="5">
        <v>77.05</v>
      </c>
    </row>
    <row r="49" spans="4:5">
      <c r="D49" s="4">
        <v>4.3</v>
      </c>
      <c r="E49" s="5">
        <v>74.733333333333334</v>
      </c>
    </row>
    <row r="50" spans="4:5">
      <c r="D50" s="4">
        <v>4.4000000000000004</v>
      </c>
      <c r="E50" s="5">
        <v>80.433333333333337</v>
      </c>
    </row>
    <row r="51" spans="4:5">
      <c r="D51" s="4">
        <v>4.5</v>
      </c>
      <c r="E51" s="5">
        <v>85.2</v>
      </c>
    </row>
    <row r="52" spans="4:5">
      <c r="D52" s="4">
        <v>4.7</v>
      </c>
      <c r="E52" s="5">
        <v>72.8</v>
      </c>
    </row>
    <row r="53" spans="4:5">
      <c r="D53" s="4">
        <v>5.3</v>
      </c>
      <c r="E53" s="5">
        <v>47.1</v>
      </c>
    </row>
    <row r="54" spans="4:5">
      <c r="D54" s="4">
        <v>5.6</v>
      </c>
      <c r="E54" s="5">
        <v>76.099999999999994</v>
      </c>
    </row>
    <row r="55" spans="4:5">
      <c r="D55" s="4">
        <v>5.8</v>
      </c>
      <c r="E55" s="5">
        <v>69</v>
      </c>
    </row>
    <row r="56" spans="4:5">
      <c r="D56" s="4" t="s">
        <v>9</v>
      </c>
      <c r="E56" s="5">
        <v>71.033500000000046</v>
      </c>
    </row>
  </sheetData>
  <pageMargins left="0.7" right="0.7" top="0.75" bottom="0.75" header="0.3" footer="0.3"/>
  <pageSetup orientation="portrait"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A81C-1792-4B5C-AD7C-F64CEEC261AA}">
  <dimension ref="A1"/>
  <sheetViews>
    <sheetView workbookViewId="0"/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01F9-4245-415B-834C-8664684F0884}">
  <dimension ref="B2:B6"/>
  <sheetViews>
    <sheetView tabSelected="1" workbookViewId="0">
      <selection activeCell="B21" sqref="B21"/>
    </sheetView>
  </sheetViews>
  <sheetFormatPr defaultRowHeight="14.4"/>
  <cols>
    <col min="2" max="2" width="169.109375" bestFit="1" customWidth="1"/>
  </cols>
  <sheetData>
    <row r="2" spans="2:2" ht="18">
      <c r="B2" s="8" t="s">
        <v>32</v>
      </c>
    </row>
    <row r="3" spans="2:2" ht="18">
      <c r="B3" s="8" t="s">
        <v>33</v>
      </c>
    </row>
    <row r="4" spans="2:2" ht="18">
      <c r="B4" s="8" t="s">
        <v>34</v>
      </c>
    </row>
    <row r="5" spans="2:2" ht="18">
      <c r="B5" s="8" t="s">
        <v>35</v>
      </c>
    </row>
    <row r="6" spans="2:2" ht="18">
      <c r="B6" s="8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37E2-E629-4C7A-B200-683FE5FC82AA}">
  <dimension ref="A1:H204"/>
  <sheetViews>
    <sheetView workbookViewId="0">
      <selection activeCell="A2" sqref="A2"/>
    </sheetView>
  </sheetViews>
  <sheetFormatPr defaultRowHeight="14.4"/>
  <cols>
    <col min="1" max="1" width="13.5546875" customWidth="1"/>
    <col min="3" max="3" width="14" customWidth="1"/>
    <col min="4" max="4" width="15.44140625" customWidth="1"/>
    <col min="5" max="5" width="14.77734375" customWidth="1"/>
    <col min="6" max="6" width="21.77734375" customWidth="1"/>
    <col min="7" max="7" width="22.5546875" customWidth="1"/>
    <col min="8" max="8" width="12.886718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  <c r="G2" s="1" t="str">
        <f>IF(D2 &gt; 4, "High Screen Time (&gt;4h)", "Low  Screen Time (&lt;=4h)")</f>
        <v>Low  Screen Time (&lt;=4h)</v>
      </c>
      <c r="H2" t="str" cm="1">
        <f t="array" ref="H2">_xlfn.IFS(B2&lt;=14, "Junior (13-14)", B2&gt;=15, "Senior (15-17)")</f>
        <v>Senior (15-17)</v>
      </c>
    </row>
    <row r="3" spans="1:8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  <c r="G3" s="1" t="str">
        <f t="shared" ref="G3:G66" si="0">IF(D3 &gt; 4, "High Screen Time (&gt;4h)", "Low  Screen Time (&lt;=4h)")</f>
        <v>Low  Screen Time (&lt;=4h)</v>
      </c>
      <c r="H3" t="str" cm="1">
        <f t="array" ref="H3">_xlfn.IFS(B3&lt;=14, "Junior (13-14)", B3&gt;=15, "Senior (15-17)")</f>
        <v>Senior (15-17)</v>
      </c>
    </row>
    <row r="4" spans="1:8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  <c r="G4" s="1" t="str">
        <f t="shared" si="0"/>
        <v>High Screen Time (&gt;4h)</v>
      </c>
      <c r="H4" t="str" cm="1">
        <f t="array" ref="H4">_xlfn.IFS(B4&lt;=14, "Junior (13-14)", B4&gt;=15, "Senior (15-17)")</f>
        <v>Senior (15-17)</v>
      </c>
    </row>
    <row r="5" spans="1:8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  <c r="G5" s="1" t="str">
        <f t="shared" si="0"/>
        <v>Low  Screen Time (&lt;=4h)</v>
      </c>
      <c r="H5" t="str" cm="1">
        <f t="array" ref="H5">_xlfn.IFS(B5&lt;=14, "Junior (13-14)", B5&gt;=15, "Senior (15-17)")</f>
        <v>Senior (15-17)</v>
      </c>
    </row>
    <row r="6" spans="1:8">
      <c r="A6">
        <v>5</v>
      </c>
      <c r="B6">
        <v>17</v>
      </c>
      <c r="C6">
        <v>3.5</v>
      </c>
      <c r="D6">
        <v>1.8</v>
      </c>
      <c r="E6">
        <v>78</v>
      </c>
      <c r="F6">
        <v>1.4</v>
      </c>
      <c r="G6" s="1" t="str">
        <f t="shared" si="0"/>
        <v>Low  Screen Time (&lt;=4h)</v>
      </c>
      <c r="H6" t="str" cm="1">
        <f t="array" ref="H6">_xlfn.IFS(B6&lt;=14, "Junior (13-14)", B6&gt;=15, "Senior (15-17)")</f>
        <v>Senior (15-17)</v>
      </c>
    </row>
    <row r="7" spans="1:8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  <c r="G7" s="1" t="str">
        <f t="shared" si="0"/>
        <v>High Screen Time (&gt;4h)</v>
      </c>
      <c r="H7" t="str" cm="1">
        <f t="array" ref="H7">_xlfn.IFS(B7&lt;=14, "Junior (13-14)", B7&gt;=15, "Senior (15-17)")</f>
        <v>Junior (13-14)</v>
      </c>
    </row>
    <row r="8" spans="1:8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  <c r="G8" s="1" t="str">
        <f t="shared" si="0"/>
        <v>High Screen Time (&gt;4h)</v>
      </c>
      <c r="H8" t="str" cm="1">
        <f t="array" ref="H8">_xlfn.IFS(B8&lt;=14, "Junior (13-14)", B8&gt;=15, "Senior (15-17)")</f>
        <v>Senior (15-17)</v>
      </c>
    </row>
    <row r="9" spans="1:8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  <c r="G9" s="1" t="str">
        <f t="shared" si="0"/>
        <v>High Screen Time (&gt;4h)</v>
      </c>
      <c r="H9" t="str" cm="1">
        <f t="array" ref="H9">_xlfn.IFS(B9&lt;=14, "Junior (13-14)", B9&gt;=15, "Senior (15-17)")</f>
        <v>Senior (15-17)</v>
      </c>
    </row>
    <row r="10" spans="1:8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  <c r="G10" s="1" t="str">
        <f t="shared" si="0"/>
        <v>High Screen Time (&gt;4h)</v>
      </c>
      <c r="H10" t="str" cm="1">
        <f t="array" ref="H10">_xlfn.IFS(B10&lt;=14, "Junior (13-14)", B10&gt;=15, "Senior (15-17)")</f>
        <v>Senior (15-17)</v>
      </c>
    </row>
    <row r="11" spans="1:8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  <c r="G11" s="1" t="str">
        <f t="shared" si="0"/>
        <v>High Screen Time (&gt;4h)</v>
      </c>
      <c r="H11" t="str" cm="1">
        <f t="array" ref="H11">_xlfn.IFS(B11&lt;=14, "Junior (13-14)", B11&gt;=15, "Senior (15-17)")</f>
        <v>Senior (15-17)</v>
      </c>
    </row>
    <row r="12" spans="1:8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  <c r="G12" s="1" t="str">
        <f t="shared" si="0"/>
        <v>Low  Screen Time (&lt;=4h)</v>
      </c>
      <c r="H12" t="str" cm="1">
        <f t="array" ref="H12">_xlfn.IFS(B12&lt;=14, "Junior (13-14)", B12&gt;=15, "Senior (15-17)")</f>
        <v>Senior (15-17)</v>
      </c>
    </row>
    <row r="13" spans="1:8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  <c r="G13" s="1" t="str">
        <f t="shared" si="0"/>
        <v>High Screen Time (&gt;4h)</v>
      </c>
      <c r="H13" t="str" cm="1">
        <f t="array" ref="H13">_xlfn.IFS(B13&lt;=14, "Junior (13-14)", B13&gt;=15, "Senior (15-17)")</f>
        <v>Senior (15-17)</v>
      </c>
    </row>
    <row r="14" spans="1:8">
      <c r="A14">
        <v>13</v>
      </c>
      <c r="B14">
        <v>17</v>
      </c>
      <c r="C14">
        <v>1.8</v>
      </c>
      <c r="D14">
        <v>2.1</v>
      </c>
      <c r="E14">
        <v>65.7</v>
      </c>
      <c r="F14">
        <v>0.7</v>
      </c>
      <c r="G14" s="1" t="str">
        <f t="shared" si="0"/>
        <v>Low  Screen Time (&lt;=4h)</v>
      </c>
      <c r="H14" t="str" cm="1">
        <f t="array" ref="H14">_xlfn.IFS(B14&lt;=14, "Junior (13-14)", B14&gt;=15, "Senior (15-17)")</f>
        <v>Senior (15-17)</v>
      </c>
    </row>
    <row r="15" spans="1:8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  <c r="G15" s="1" t="str">
        <f t="shared" si="0"/>
        <v>Low  Screen Time (&lt;=4h)</v>
      </c>
      <c r="H15" t="str" cm="1">
        <f t="array" ref="H15">_xlfn.IFS(B15&lt;=14, "Junior (13-14)", B15&gt;=15, "Senior (15-17)")</f>
        <v>Junior (13-14)</v>
      </c>
    </row>
    <row r="16" spans="1:8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  <c r="G16" s="1" t="str">
        <f t="shared" si="0"/>
        <v>Low  Screen Time (&lt;=4h)</v>
      </c>
      <c r="H16" t="str" cm="1">
        <f t="array" ref="H16">_xlfn.IFS(B16&lt;=14, "Junior (13-14)", B16&gt;=15, "Senior (15-17)")</f>
        <v>Senior (15-17)</v>
      </c>
    </row>
    <row r="17" spans="1:8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  <c r="G17" s="1" t="str">
        <f t="shared" si="0"/>
        <v>High Screen Time (&gt;4h)</v>
      </c>
      <c r="H17" t="str" cm="1">
        <f t="array" ref="H17">_xlfn.IFS(B17&lt;=14, "Junior (13-14)", B17&gt;=15, "Senior (15-17)")</f>
        <v>Junior (13-14)</v>
      </c>
    </row>
    <row r="18" spans="1:8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  <c r="G18" s="1" t="str">
        <f t="shared" si="0"/>
        <v>High Screen Time (&gt;4h)</v>
      </c>
      <c r="H18" t="str" cm="1">
        <f t="array" ref="H18">_xlfn.IFS(B18&lt;=14, "Junior (13-14)", B18&gt;=15, "Senior (15-17)")</f>
        <v>Senior (15-17)</v>
      </c>
    </row>
    <row r="19" spans="1:8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  <c r="G19" s="1" t="str">
        <f t="shared" si="0"/>
        <v>High Screen Time (&gt;4h)</v>
      </c>
      <c r="H19" t="str" cm="1">
        <f t="array" ref="H19">_xlfn.IFS(B19&lt;=14, "Junior (13-14)", B19&gt;=15, "Senior (15-17)")</f>
        <v>Senior (15-17)</v>
      </c>
    </row>
    <row r="20" spans="1:8">
      <c r="A20">
        <v>19</v>
      </c>
      <c r="B20">
        <v>13</v>
      </c>
      <c r="C20">
        <v>3.5</v>
      </c>
      <c r="D20">
        <v>3.5</v>
      </c>
      <c r="E20">
        <v>67.900000000000006</v>
      </c>
      <c r="F20">
        <v>2.6</v>
      </c>
      <c r="G20" s="1" t="str">
        <f t="shared" si="0"/>
        <v>Low  Screen Time (&lt;=4h)</v>
      </c>
      <c r="H20" t="str" cm="1">
        <f t="array" ref="H20">_xlfn.IFS(B20&lt;=14, "Junior (13-14)", B20&gt;=15, "Senior (15-17)")</f>
        <v>Junior (13-14)</v>
      </c>
    </row>
    <row r="21" spans="1:8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  <c r="G21" s="1" t="str">
        <f t="shared" si="0"/>
        <v>High Screen Time (&gt;4h)</v>
      </c>
      <c r="H21" t="str" cm="1">
        <f t="array" ref="H21">_xlfn.IFS(B21&lt;=14, "Junior (13-14)", B21&gt;=15, "Senior (15-17)")</f>
        <v>Senior (15-17)</v>
      </c>
    </row>
    <row r="22" spans="1:8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  <c r="G22" s="1" t="str">
        <f t="shared" si="0"/>
        <v>High Screen Time (&gt;4h)</v>
      </c>
      <c r="H22" t="str" cm="1">
        <f t="array" ref="H22">_xlfn.IFS(B22&lt;=14, "Junior (13-14)", B22&gt;=15, "Senior (15-17)")</f>
        <v>Junior (13-14)</v>
      </c>
    </row>
    <row r="23" spans="1:8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  <c r="G23" s="1" t="str">
        <f t="shared" si="0"/>
        <v>High Screen Time (&gt;4h)</v>
      </c>
      <c r="H23" t="str" cm="1">
        <f t="array" ref="H23">_xlfn.IFS(B23&lt;=14, "Junior (13-14)", B23&gt;=15, "Senior (15-17)")</f>
        <v>Senior (15-17)</v>
      </c>
    </row>
    <row r="24" spans="1:8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  <c r="G24" s="1" t="str">
        <f t="shared" si="0"/>
        <v>High Screen Time (&gt;4h)</v>
      </c>
      <c r="H24" t="str" cm="1">
        <f t="array" ref="H24">_xlfn.IFS(B24&lt;=14, "Junior (13-14)", B24&gt;=15, "Senior (15-17)")</f>
        <v>Senior (15-17)</v>
      </c>
    </row>
    <row r="25" spans="1:8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  <c r="G25" s="1" t="str">
        <f t="shared" si="0"/>
        <v>Low  Screen Time (&lt;=4h)</v>
      </c>
      <c r="H25" t="str" cm="1">
        <f t="array" ref="H25">_xlfn.IFS(B25&lt;=14, "Junior (13-14)", B25&gt;=15, "Senior (15-17)")</f>
        <v>Junior (13-14)</v>
      </c>
    </row>
    <row r="26" spans="1:8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  <c r="G26" s="1" t="str">
        <f t="shared" si="0"/>
        <v>Low  Screen Time (&lt;=4h)</v>
      </c>
      <c r="H26" t="str" cm="1">
        <f t="array" ref="H26">_xlfn.IFS(B26&lt;=14, "Junior (13-14)", B26&gt;=15, "Senior (15-17)")</f>
        <v>Junior (13-14)</v>
      </c>
    </row>
    <row r="27" spans="1:8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  <c r="G27" s="1" t="str">
        <f t="shared" si="0"/>
        <v>Low  Screen Time (&lt;=4h)</v>
      </c>
      <c r="H27" t="str" cm="1">
        <f t="array" ref="H27">_xlfn.IFS(B27&lt;=14, "Junior (13-14)", B27&gt;=15, "Senior (15-17)")</f>
        <v>Senior (15-17)</v>
      </c>
    </row>
    <row r="28" spans="1:8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  <c r="G28" s="1" t="str">
        <f t="shared" si="0"/>
        <v>Low  Screen Time (&lt;=4h)</v>
      </c>
      <c r="H28" t="str" cm="1">
        <f t="array" ref="H28">_xlfn.IFS(B28&lt;=14, "Junior (13-14)", B28&gt;=15, "Senior (15-17)")</f>
        <v>Senior (15-17)</v>
      </c>
    </row>
    <row r="29" spans="1:8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  <c r="G29" s="1" t="str">
        <f t="shared" si="0"/>
        <v>High Screen Time (&gt;4h)</v>
      </c>
      <c r="H29" t="str" cm="1">
        <f t="array" ref="H29">_xlfn.IFS(B29&lt;=14, "Junior (13-14)", B29&gt;=15, "Senior (15-17)")</f>
        <v>Junior (13-14)</v>
      </c>
    </row>
    <row r="30" spans="1:8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  <c r="G30" s="1" t="str">
        <f t="shared" si="0"/>
        <v>Low  Screen Time (&lt;=4h)</v>
      </c>
      <c r="H30" t="str" cm="1">
        <f t="array" ref="H30">_xlfn.IFS(B30&lt;=14, "Junior (13-14)", B30&gt;=15, "Senior (15-17)")</f>
        <v>Senior (15-17)</v>
      </c>
    </row>
    <row r="31" spans="1:8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  <c r="G31" s="1" t="str">
        <f t="shared" si="0"/>
        <v>Low  Screen Time (&lt;=4h)</v>
      </c>
      <c r="H31" t="str" cm="1">
        <f t="array" ref="H31">_xlfn.IFS(B31&lt;=14, "Junior (13-14)", B31&gt;=15, "Senior (15-17)")</f>
        <v>Senior (15-17)</v>
      </c>
    </row>
    <row r="32" spans="1:8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  <c r="G32" s="1" t="str">
        <f t="shared" si="0"/>
        <v>Low  Screen Time (&lt;=4h)</v>
      </c>
      <c r="H32" t="str" cm="1">
        <f t="array" ref="H32">_xlfn.IFS(B32&lt;=14, "Junior (13-14)", B32&gt;=15, "Senior (15-17)")</f>
        <v>Senior (15-17)</v>
      </c>
    </row>
    <row r="33" spans="1:8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  <c r="G33" s="1" t="str">
        <f t="shared" si="0"/>
        <v>Low  Screen Time (&lt;=4h)</v>
      </c>
      <c r="H33" t="str" cm="1">
        <f t="array" ref="H33">_xlfn.IFS(B33&lt;=14, "Junior (13-14)", B33&gt;=15, "Senior (15-17)")</f>
        <v>Senior (15-17)</v>
      </c>
    </row>
    <row r="34" spans="1:8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  <c r="G34" s="1" t="str">
        <f t="shared" si="0"/>
        <v>High Screen Time (&gt;4h)</v>
      </c>
      <c r="H34" t="str" cm="1">
        <f t="array" ref="H34">_xlfn.IFS(B34&lt;=14, "Junior (13-14)", B34&gt;=15, "Senior (15-17)")</f>
        <v>Senior (15-17)</v>
      </c>
    </row>
    <row r="35" spans="1:8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  <c r="G35" s="1" t="str">
        <f t="shared" si="0"/>
        <v>High Screen Time (&gt;4h)</v>
      </c>
      <c r="H35" t="str" cm="1">
        <f t="array" ref="H35">_xlfn.IFS(B35&lt;=14, "Junior (13-14)", B35&gt;=15, "Senior (15-17)")</f>
        <v>Junior (13-14)</v>
      </c>
    </row>
    <row r="36" spans="1:8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  <c r="G36" s="1" t="str">
        <f t="shared" si="0"/>
        <v>High Screen Time (&gt;4h)</v>
      </c>
      <c r="H36" t="str" cm="1">
        <f t="array" ref="H36">_xlfn.IFS(B36&lt;=14, "Junior (13-14)", B36&gt;=15, "Senior (15-17)")</f>
        <v>Senior (15-17)</v>
      </c>
    </row>
    <row r="37" spans="1:8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  <c r="G37" s="1" t="str">
        <f t="shared" si="0"/>
        <v>High Screen Time (&gt;4h)</v>
      </c>
      <c r="H37" t="str" cm="1">
        <f t="array" ref="H37">_xlfn.IFS(B37&lt;=14, "Junior (13-14)", B37&gt;=15, "Senior (15-17)")</f>
        <v>Senior (15-17)</v>
      </c>
    </row>
    <row r="38" spans="1:8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  <c r="G38" s="1" t="str">
        <f t="shared" si="0"/>
        <v>High Screen Time (&gt;4h)</v>
      </c>
      <c r="H38" t="str" cm="1">
        <f t="array" ref="H38">_xlfn.IFS(B38&lt;=14, "Junior (13-14)", B38&gt;=15, "Senior (15-17)")</f>
        <v>Senior (15-17)</v>
      </c>
    </row>
    <row r="39" spans="1:8">
      <c r="A39">
        <v>38</v>
      </c>
      <c r="B39">
        <v>17</v>
      </c>
      <c r="C39">
        <v>2.2999999999999998</v>
      </c>
      <c r="D39">
        <v>5.7</v>
      </c>
      <c r="E39">
        <v>74.849999999999994</v>
      </c>
      <c r="F39">
        <v>2.7</v>
      </c>
      <c r="G39" s="1" t="str">
        <f t="shared" si="0"/>
        <v>High Screen Time (&gt;4h)</v>
      </c>
      <c r="H39" t="str" cm="1">
        <f t="array" ref="H39">_xlfn.IFS(B39&lt;=14, "Junior (13-14)", B39&gt;=15, "Senior (15-17)")</f>
        <v>Senior (15-17)</v>
      </c>
    </row>
    <row r="40" spans="1:8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  <c r="G40" s="1" t="str">
        <f t="shared" si="0"/>
        <v>Low  Screen Time (&lt;=4h)</v>
      </c>
      <c r="H40" t="str" cm="1">
        <f t="array" ref="H40">_xlfn.IFS(B40&lt;=14, "Junior (13-14)", B40&gt;=15, "Senior (15-17)")</f>
        <v>Junior (13-14)</v>
      </c>
    </row>
    <row r="41" spans="1:8">
      <c r="A41">
        <v>40</v>
      </c>
      <c r="B41">
        <v>14</v>
      </c>
      <c r="C41">
        <v>0.6</v>
      </c>
      <c r="D41">
        <v>1.9</v>
      </c>
      <c r="E41">
        <v>74.849999999999994</v>
      </c>
      <c r="F41">
        <v>1.4</v>
      </c>
      <c r="G41" s="1" t="str">
        <f t="shared" si="0"/>
        <v>Low  Screen Time (&lt;=4h)</v>
      </c>
      <c r="H41" t="str" cm="1">
        <f t="array" ref="H41">_xlfn.IFS(B41&lt;=14, "Junior (13-14)", B41&gt;=15, "Senior (15-17)")</f>
        <v>Junior (13-14)</v>
      </c>
    </row>
    <row r="42" spans="1:8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  <c r="G42" s="1" t="str">
        <f t="shared" si="0"/>
        <v>Low  Screen Time (&lt;=4h)</v>
      </c>
      <c r="H42" t="str" cm="1">
        <f t="array" ref="H42">_xlfn.IFS(B42&lt;=14, "Junior (13-14)", B42&gt;=15, "Senior (15-17)")</f>
        <v>Senior (15-17)</v>
      </c>
    </row>
    <row r="43" spans="1:8">
      <c r="A43">
        <v>42</v>
      </c>
      <c r="B43">
        <v>13</v>
      </c>
      <c r="C43">
        <v>3.5</v>
      </c>
      <c r="D43">
        <v>3.9</v>
      </c>
      <c r="E43">
        <v>75</v>
      </c>
      <c r="F43">
        <v>2.5</v>
      </c>
      <c r="G43" s="1" t="str">
        <f t="shared" si="0"/>
        <v>Low  Screen Time (&lt;=4h)</v>
      </c>
      <c r="H43" t="str" cm="1">
        <f t="array" ref="H43">_xlfn.IFS(B43&lt;=14, "Junior (13-14)", B43&gt;=15, "Senior (15-17)")</f>
        <v>Junior (13-14)</v>
      </c>
    </row>
    <row r="44" spans="1:8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  <c r="G44" s="1" t="str">
        <f t="shared" si="0"/>
        <v>Low  Screen Time (&lt;=4h)</v>
      </c>
      <c r="H44" t="str" cm="1">
        <f t="array" ref="H44">_xlfn.IFS(B44&lt;=14, "Junior (13-14)", B44&gt;=15, "Senior (15-17)")</f>
        <v>Senior (15-17)</v>
      </c>
    </row>
    <row r="45" spans="1:8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  <c r="G45" s="1" t="str">
        <f>IF(D45 &gt; 4, "High Screen Time (&gt;4h)", "Low  Screen Time (&lt;=4h)")</f>
        <v>High Screen Time (&gt;4h)</v>
      </c>
      <c r="H45" t="str" cm="1">
        <f t="array" ref="H45">_xlfn.IFS(B45&lt;=14, "Junior (13-14)", B45&gt;=15, "Senior (15-17)")</f>
        <v>Junior (13-14)</v>
      </c>
    </row>
    <row r="46" spans="1:8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  <c r="G46" s="1" t="str">
        <f t="shared" si="0"/>
        <v>Low  Screen Time (&lt;=4h)</v>
      </c>
      <c r="H46" t="str" cm="1">
        <f t="array" ref="H46">_xlfn.IFS(B46&lt;=14, "Junior (13-14)", B46&gt;=15, "Senior (15-17)")</f>
        <v>Junior (13-14)</v>
      </c>
    </row>
    <row r="47" spans="1:8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  <c r="G47" s="1" t="str">
        <f t="shared" si="0"/>
        <v>High Screen Time (&gt;4h)</v>
      </c>
      <c r="H47" t="str" cm="1">
        <f t="array" ref="H47">_xlfn.IFS(B47&lt;=14, "Junior (13-14)", B47&gt;=15, "Senior (15-17)")</f>
        <v>Junior (13-14)</v>
      </c>
    </row>
    <row r="48" spans="1:8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  <c r="G48" s="1" t="str">
        <f t="shared" si="0"/>
        <v>Low  Screen Time (&lt;=4h)</v>
      </c>
      <c r="H48" t="str" cm="1">
        <f t="array" ref="H48">_xlfn.IFS(B48&lt;=14, "Junior (13-14)", B48&gt;=15, "Senior (15-17)")</f>
        <v>Junior (13-14)</v>
      </c>
    </row>
    <row r="49" spans="1:8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  <c r="G49" s="1" t="str">
        <f t="shared" si="0"/>
        <v>High Screen Time (&gt;4h)</v>
      </c>
      <c r="H49" t="str" cm="1">
        <f t="array" ref="H49">_xlfn.IFS(B49&lt;=14, "Junior (13-14)", B49&gt;=15, "Senior (15-17)")</f>
        <v>Senior (15-17)</v>
      </c>
    </row>
    <row r="50" spans="1:8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  <c r="G50" s="1" t="str">
        <f t="shared" si="0"/>
        <v>Low  Screen Time (&lt;=4h)</v>
      </c>
      <c r="H50" t="str" cm="1">
        <f t="array" ref="H50">_xlfn.IFS(B50&lt;=14, "Junior (13-14)", B50&gt;=15, "Senior (15-17)")</f>
        <v>Junior (13-14)</v>
      </c>
    </row>
    <row r="51" spans="1:8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  <c r="G51" s="1" t="str">
        <f t="shared" si="0"/>
        <v>High Screen Time (&gt;4h)</v>
      </c>
      <c r="H51" t="str" cm="1">
        <f t="array" ref="H51">_xlfn.IFS(B51&lt;=14, "Junior (13-14)", B51&gt;=15, "Senior (15-17)")</f>
        <v>Senior (15-17)</v>
      </c>
    </row>
    <row r="52" spans="1:8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  <c r="G52" s="1" t="str">
        <f t="shared" si="0"/>
        <v>Low  Screen Time (&lt;=4h)</v>
      </c>
      <c r="H52" t="str" cm="1">
        <f t="array" ref="H52">_xlfn.IFS(B52&lt;=14, "Junior (13-14)", B52&gt;=15, "Senior (15-17)")</f>
        <v>Senior (15-17)</v>
      </c>
    </row>
    <row r="53" spans="1:8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  <c r="G53" s="1" t="str">
        <f t="shared" si="0"/>
        <v>Low  Screen Time (&lt;=4h)</v>
      </c>
      <c r="H53" t="str" cm="1">
        <f t="array" ref="H53">_xlfn.IFS(B53&lt;=14, "Junior (13-14)", B53&gt;=15, "Senior (15-17)")</f>
        <v>Senior (15-17)</v>
      </c>
    </row>
    <row r="54" spans="1:8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  <c r="G54" s="1" t="str">
        <f t="shared" si="0"/>
        <v>Low  Screen Time (&lt;=4h)</v>
      </c>
      <c r="H54" t="str" cm="1">
        <f t="array" ref="H54">_xlfn.IFS(B54&lt;=14, "Junior (13-14)", B54&gt;=15, "Senior (15-17)")</f>
        <v>Senior (15-17)</v>
      </c>
    </row>
    <row r="55" spans="1:8">
      <c r="A55">
        <v>54</v>
      </c>
      <c r="B55">
        <v>17</v>
      </c>
      <c r="C55">
        <v>2.6</v>
      </c>
      <c r="D55">
        <v>2.1</v>
      </c>
      <c r="E55">
        <v>66</v>
      </c>
      <c r="F55">
        <v>1.3</v>
      </c>
      <c r="G55" s="1" t="str">
        <f t="shared" si="0"/>
        <v>Low  Screen Time (&lt;=4h)</v>
      </c>
      <c r="H55" t="str" cm="1">
        <f t="array" ref="H55">_xlfn.IFS(B55&lt;=14, "Junior (13-14)", B55&gt;=15, "Senior (15-17)")</f>
        <v>Senior (15-17)</v>
      </c>
    </row>
    <row r="56" spans="1:8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  <c r="G56" s="1" t="str">
        <f t="shared" si="0"/>
        <v>High Screen Time (&gt;4h)</v>
      </c>
      <c r="H56" t="str" cm="1">
        <f t="array" ref="H56">_xlfn.IFS(B56&lt;=14, "Junior (13-14)", B56&gt;=15, "Senior (15-17)")</f>
        <v>Senior (15-17)</v>
      </c>
    </row>
    <row r="57" spans="1:8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  <c r="G57" s="1" t="str">
        <f t="shared" si="0"/>
        <v>High Screen Time (&gt;4h)</v>
      </c>
      <c r="H57" t="str" cm="1">
        <f t="array" ref="H57">_xlfn.IFS(B57&lt;=14, "Junior (13-14)", B57&gt;=15, "Senior (15-17)")</f>
        <v>Junior (13-14)</v>
      </c>
    </row>
    <row r="58" spans="1:8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  <c r="G58" s="1" t="str">
        <f t="shared" si="0"/>
        <v>Low  Screen Time (&lt;=4h)</v>
      </c>
      <c r="H58" t="str" cm="1">
        <f t="array" ref="H58">_xlfn.IFS(B58&lt;=14, "Junior (13-14)", B58&gt;=15, "Senior (15-17)")</f>
        <v>Senior (15-17)</v>
      </c>
    </row>
    <row r="59" spans="1:8">
      <c r="A59">
        <v>58</v>
      </c>
      <c r="B59">
        <v>14</v>
      </c>
      <c r="C59">
        <v>1.7</v>
      </c>
      <c r="D59">
        <v>3.6</v>
      </c>
      <c r="E59">
        <v>74.849999999999994</v>
      </c>
      <c r="F59">
        <v>1.2</v>
      </c>
      <c r="G59" s="1" t="str">
        <f t="shared" si="0"/>
        <v>Low  Screen Time (&lt;=4h)</v>
      </c>
      <c r="H59" t="str" cm="1">
        <f t="array" ref="H59">_xlfn.IFS(B59&lt;=14, "Junior (13-14)", B59&gt;=15, "Senior (15-17)")</f>
        <v>Junior (13-14)</v>
      </c>
    </row>
    <row r="60" spans="1:8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  <c r="G60" s="1" t="str">
        <f t="shared" si="0"/>
        <v>Low  Screen Time (&lt;=4h)</v>
      </c>
      <c r="H60" t="str" cm="1">
        <f t="array" ref="H60">_xlfn.IFS(B60&lt;=14, "Junior (13-14)", B60&gt;=15, "Senior (15-17)")</f>
        <v>Senior (15-17)</v>
      </c>
    </row>
    <row r="61" spans="1:8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  <c r="G61" s="1" t="str">
        <f t="shared" si="0"/>
        <v>Low  Screen Time (&lt;=4h)</v>
      </c>
      <c r="H61" t="str" cm="1">
        <f t="array" ref="H61">_xlfn.IFS(B61&lt;=14, "Junior (13-14)", B61&gt;=15, "Senior (15-17)")</f>
        <v>Junior (13-14)</v>
      </c>
    </row>
    <row r="62" spans="1:8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  <c r="G62" s="1" t="str">
        <f>IF(D62 &gt; 4, "High Screen Time (&gt;4h)", "Low  Screen Time (&lt;=4h)")</f>
        <v>Low  Screen Time (&lt;=4h)</v>
      </c>
      <c r="H62" t="str" cm="1">
        <f t="array" ref="H62">_xlfn.IFS(B62&lt;=14, "Junior (13-14)", B62&gt;=15, "Senior (15-17)")</f>
        <v>Junior (13-14)</v>
      </c>
    </row>
    <row r="63" spans="1:8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  <c r="G63" s="1" t="str">
        <f t="shared" si="0"/>
        <v>High Screen Time (&gt;4h)</v>
      </c>
      <c r="H63" t="str" cm="1">
        <f t="array" ref="H63">_xlfn.IFS(B63&lt;=14, "Junior (13-14)", B63&gt;=15, "Senior (15-17)")</f>
        <v>Senior (15-17)</v>
      </c>
    </row>
    <row r="64" spans="1:8">
      <c r="A64">
        <v>63</v>
      </c>
      <c r="B64">
        <v>17</v>
      </c>
      <c r="C64">
        <v>5.3</v>
      </c>
      <c r="D64">
        <v>2.1</v>
      </c>
      <c r="E64">
        <v>47.1</v>
      </c>
      <c r="F64">
        <v>0.9</v>
      </c>
      <c r="G64" s="1" t="str">
        <f t="shared" si="0"/>
        <v>Low  Screen Time (&lt;=4h)</v>
      </c>
      <c r="H64" t="str" cm="1">
        <f t="array" ref="H64">_xlfn.IFS(B64&lt;=14, "Junior (13-14)", B64&gt;=15, "Senior (15-17)")</f>
        <v>Senior (15-17)</v>
      </c>
    </row>
    <row r="65" spans="1:8">
      <c r="A65">
        <v>64</v>
      </c>
      <c r="B65">
        <v>14</v>
      </c>
      <c r="C65">
        <v>2.5</v>
      </c>
      <c r="D65">
        <v>2.7</v>
      </c>
      <c r="E65">
        <v>74.849999999999994</v>
      </c>
      <c r="F65">
        <v>1.4</v>
      </c>
      <c r="G65" s="1" t="str">
        <f t="shared" si="0"/>
        <v>Low  Screen Time (&lt;=4h)</v>
      </c>
      <c r="H65" t="str" cm="1">
        <f t="array" ref="H65">_xlfn.IFS(B65&lt;=14, "Junior (13-14)", B65&gt;=15, "Senior (15-17)")</f>
        <v>Junior (13-14)</v>
      </c>
    </row>
    <row r="66" spans="1:8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  <c r="G66" s="1" t="str">
        <f t="shared" si="0"/>
        <v>Low  Screen Time (&lt;=4h)</v>
      </c>
      <c r="H66" t="str" cm="1">
        <f t="array" ref="H66">_xlfn.IFS(B66&lt;=14, "Junior (13-14)", B66&gt;=15, "Senior (15-17)")</f>
        <v>Junior (13-14)</v>
      </c>
    </row>
    <row r="67" spans="1:8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  <c r="G67" s="1" t="str">
        <f t="shared" ref="G67:G80" si="1">IF(D67 &gt; 4, "High Screen Time (&gt;4h)", "Low  Screen Time (&lt;=4h)")</f>
        <v>Low  Screen Time (&lt;=4h)</v>
      </c>
      <c r="H67" t="str" cm="1">
        <f t="array" ref="H67">_xlfn.IFS(B67&lt;=14, "Junior (13-14)", B67&gt;=15, "Senior (15-17)")</f>
        <v>Senior (15-17)</v>
      </c>
    </row>
    <row r="68" spans="1:8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  <c r="G68" s="1" t="str">
        <f t="shared" si="1"/>
        <v>Low  Screen Time (&lt;=4h)</v>
      </c>
      <c r="H68" t="str" cm="1">
        <f t="array" ref="H68">_xlfn.IFS(B68&lt;=14, "Junior (13-14)", B68&gt;=15, "Senior (15-17)")</f>
        <v>Junior (13-14)</v>
      </c>
    </row>
    <row r="69" spans="1:8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  <c r="G69" s="1" t="str">
        <f t="shared" si="1"/>
        <v>Low  Screen Time (&lt;=4h)</v>
      </c>
      <c r="H69" t="str" cm="1">
        <f t="array" ref="H69">_xlfn.IFS(B69&lt;=14, "Junior (13-14)", B69&gt;=15, "Senior (15-17)")</f>
        <v>Junior (13-14)</v>
      </c>
    </row>
    <row r="70" spans="1:8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  <c r="G70" s="1" t="str">
        <f t="shared" si="1"/>
        <v>Low  Screen Time (&lt;=4h)</v>
      </c>
      <c r="H70" t="str" cm="1">
        <f t="array" ref="H70">_xlfn.IFS(B70&lt;=14, "Junior (13-14)", B70&gt;=15, "Senior (15-17)")</f>
        <v>Senior (15-17)</v>
      </c>
    </row>
    <row r="71" spans="1:8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  <c r="G71" s="1" t="str">
        <f t="shared" si="1"/>
        <v>Low  Screen Time (&lt;=4h)</v>
      </c>
      <c r="H71" t="str" cm="1">
        <f t="array" ref="H71">_xlfn.IFS(B71&lt;=14, "Junior (13-14)", B71&gt;=15, "Senior (15-17)")</f>
        <v>Senior (15-17)</v>
      </c>
    </row>
    <row r="72" spans="1:8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  <c r="G72" s="1" t="str">
        <f t="shared" si="1"/>
        <v>Low  Screen Time (&lt;=4h)</v>
      </c>
      <c r="H72" t="str" cm="1">
        <f t="array" ref="H72">_xlfn.IFS(B72&lt;=14, "Junior (13-14)", B72&gt;=15, "Senior (15-17)")</f>
        <v>Junior (13-14)</v>
      </c>
    </row>
    <row r="73" spans="1:8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  <c r="G73" s="1" t="str">
        <f t="shared" si="1"/>
        <v>High Screen Time (&gt;4h)</v>
      </c>
      <c r="H73" t="str" cm="1">
        <f t="array" ref="H73">_xlfn.IFS(B73&lt;=14, "Junior (13-14)", B73&gt;=15, "Senior (15-17)")</f>
        <v>Senior (15-17)</v>
      </c>
    </row>
    <row r="74" spans="1:8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  <c r="G74" s="1" t="str">
        <f t="shared" si="1"/>
        <v>Low  Screen Time (&lt;=4h)</v>
      </c>
      <c r="H74" t="str" cm="1">
        <f t="array" ref="H74">_xlfn.IFS(B74&lt;=14, "Junior (13-14)", B74&gt;=15, "Senior (15-17)")</f>
        <v>Senior (15-17)</v>
      </c>
    </row>
    <row r="75" spans="1:8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  <c r="G75" s="1" t="str">
        <f t="shared" si="1"/>
        <v>High Screen Time (&gt;4h)</v>
      </c>
      <c r="H75" t="str" cm="1">
        <f t="array" ref="H75">_xlfn.IFS(B75&lt;=14, "Junior (13-14)", B75&gt;=15, "Senior (15-17)")</f>
        <v>Junior (13-14)</v>
      </c>
    </row>
    <row r="76" spans="1:8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  <c r="G76" s="1" t="str">
        <f t="shared" si="1"/>
        <v>High Screen Time (&gt;4h)</v>
      </c>
      <c r="H76" t="str" cm="1">
        <f t="array" ref="H76">_xlfn.IFS(B76&lt;=14, "Junior (13-14)", B76&gt;=15, "Senior (15-17)")</f>
        <v>Senior (15-17)</v>
      </c>
    </row>
    <row r="77" spans="1:8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  <c r="G77" s="1" t="str">
        <f t="shared" si="1"/>
        <v>High Screen Time (&gt;4h)</v>
      </c>
      <c r="H77" t="str" cm="1">
        <f t="array" ref="H77">_xlfn.IFS(B77&lt;=14, "Junior (13-14)", B77&gt;=15, "Senior (15-17)")</f>
        <v>Junior (13-14)</v>
      </c>
    </row>
    <row r="78" spans="1:8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  <c r="G78" s="1" t="str">
        <f t="shared" si="1"/>
        <v>Low  Screen Time (&lt;=4h)</v>
      </c>
      <c r="H78" t="str" cm="1">
        <f t="array" ref="H78">_xlfn.IFS(B78&lt;=14, "Junior (13-14)", B78&gt;=15, "Senior (15-17)")</f>
        <v>Junior (13-14)</v>
      </c>
    </row>
    <row r="79" spans="1:8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  <c r="G79" s="1" t="str">
        <f t="shared" si="1"/>
        <v>High Screen Time (&gt;4h)</v>
      </c>
      <c r="H79" t="str" cm="1">
        <f t="array" ref="H79">_xlfn.IFS(B79&lt;=14, "Junior (13-14)", B79&gt;=15, "Senior (15-17)")</f>
        <v>Senior (15-17)</v>
      </c>
    </row>
    <row r="80" spans="1:8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  <c r="G80" s="1" t="str">
        <f t="shared" si="1"/>
        <v>High Screen Time (&gt;4h)</v>
      </c>
      <c r="H80" t="str" cm="1">
        <f t="array" ref="H80">_xlfn.IFS(B80&lt;=14, "Junior (13-14)", B80&gt;=15, "Senior (15-17)")</f>
        <v>Senior (15-17)</v>
      </c>
    </row>
    <row r="81" spans="1:8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  <c r="G81" s="1" t="str">
        <f>IF(D81 &gt; 4, "High Screen Time (&gt;4h)", "Low  Screen Time (&lt;=4h)")</f>
        <v>Low  Screen Time (&lt;=4h)</v>
      </c>
      <c r="H81" t="str" cm="1">
        <f t="array" ref="H81">_xlfn.IFS(B81&lt;=14, "Junior (13-14)", B81&gt;=15, "Senior (15-17)")</f>
        <v>Senior (15-17)</v>
      </c>
    </row>
    <row r="82" spans="1:8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  <c r="G82" s="1" t="str">
        <f t="shared" ref="G82:G97" si="2">IF(D82 &gt; 4, "High Screen Time (&gt;4h)", "Low  Screen Time (&lt;=4h)")</f>
        <v>High Screen Time (&gt;4h)</v>
      </c>
      <c r="H82" t="str" cm="1">
        <f t="array" ref="H82">_xlfn.IFS(B82&lt;=14, "Junior (13-14)", B82&gt;=15, "Senior (15-17)")</f>
        <v>Senior (15-17)</v>
      </c>
    </row>
    <row r="83" spans="1:8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  <c r="G83" s="1" t="str">
        <f t="shared" si="2"/>
        <v>Low  Screen Time (&lt;=4h)</v>
      </c>
      <c r="H83" t="str" cm="1">
        <f t="array" ref="H83">_xlfn.IFS(B83&lt;=14, "Junior (13-14)", B83&gt;=15, "Senior (15-17)")</f>
        <v>Junior (13-14)</v>
      </c>
    </row>
    <row r="84" spans="1:8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  <c r="G84" s="1" t="str">
        <f t="shared" si="2"/>
        <v>High Screen Time (&gt;4h)</v>
      </c>
      <c r="H84" t="str" cm="1">
        <f t="array" ref="H84">_xlfn.IFS(B84&lt;=14, "Junior (13-14)", B84&gt;=15, "Senior (15-17)")</f>
        <v>Senior (15-17)</v>
      </c>
    </row>
    <row r="85" spans="1:8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  <c r="G85" s="1" t="str">
        <f t="shared" si="2"/>
        <v>Low  Screen Time (&lt;=4h)</v>
      </c>
      <c r="H85" t="str" cm="1">
        <f t="array" ref="H85">_xlfn.IFS(B85&lt;=14, "Junior (13-14)", B85&gt;=15, "Senior (15-17)")</f>
        <v>Senior (15-17)</v>
      </c>
    </row>
    <row r="86" spans="1:8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  <c r="G86" s="1" t="str">
        <f t="shared" si="2"/>
        <v>High Screen Time (&gt;4h)</v>
      </c>
      <c r="H86" t="str" cm="1">
        <f t="array" ref="H86">_xlfn.IFS(B86&lt;=14, "Junior (13-14)", B86&gt;=15, "Senior (15-17)")</f>
        <v>Junior (13-14)</v>
      </c>
    </row>
    <row r="87" spans="1:8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  <c r="G87" s="1" t="str">
        <f t="shared" si="2"/>
        <v>Low  Screen Time (&lt;=4h)</v>
      </c>
      <c r="H87" t="str" cm="1">
        <f t="array" ref="H87">_xlfn.IFS(B87&lt;=14, "Junior (13-14)", B87&gt;=15, "Senior (15-17)")</f>
        <v>Junior (13-14)</v>
      </c>
    </row>
    <row r="88" spans="1:8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  <c r="G88" s="1" t="str">
        <f t="shared" si="2"/>
        <v>Low  Screen Time (&lt;=4h)</v>
      </c>
      <c r="H88" t="str" cm="1">
        <f t="array" ref="H88">_xlfn.IFS(B88&lt;=14, "Junior (13-14)", B88&gt;=15, "Senior (15-17)")</f>
        <v>Junior (13-14)</v>
      </c>
    </row>
    <row r="89" spans="1:8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  <c r="G89" s="1" t="str">
        <f t="shared" si="2"/>
        <v>High Screen Time (&gt;4h)</v>
      </c>
      <c r="H89" t="str" cm="1">
        <f t="array" ref="H89">_xlfn.IFS(B89&lt;=14, "Junior (13-14)", B89&gt;=15, "Senior (15-17)")</f>
        <v>Junior (13-14)</v>
      </c>
    </row>
    <row r="90" spans="1:8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  <c r="G90" s="1" t="str">
        <f t="shared" si="2"/>
        <v>High Screen Time (&gt;4h)</v>
      </c>
      <c r="H90" t="str" cm="1">
        <f t="array" ref="H90">_xlfn.IFS(B90&lt;=14, "Junior (13-14)", B90&gt;=15, "Senior (15-17)")</f>
        <v>Senior (15-17)</v>
      </c>
    </row>
    <row r="91" spans="1:8">
      <c r="A91">
        <v>90</v>
      </c>
      <c r="B91">
        <v>15</v>
      </c>
      <c r="C91">
        <v>3.5</v>
      </c>
      <c r="D91">
        <v>6.9</v>
      </c>
      <c r="E91">
        <v>90</v>
      </c>
      <c r="F91">
        <v>0</v>
      </c>
      <c r="G91" s="1" t="str">
        <f t="shared" si="2"/>
        <v>High Screen Time (&gt;4h)</v>
      </c>
      <c r="H91" t="str" cm="1">
        <f t="array" ref="H91">_xlfn.IFS(B91&lt;=14, "Junior (13-14)", B91&gt;=15, "Senior (15-17)")</f>
        <v>Senior (15-17)</v>
      </c>
    </row>
    <row r="92" spans="1:8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  <c r="G92" s="1" t="str">
        <f t="shared" si="2"/>
        <v>High Screen Time (&gt;4h)</v>
      </c>
      <c r="H92" t="str" cm="1">
        <f t="array" ref="H92">_xlfn.IFS(B92&lt;=14, "Junior (13-14)", B92&gt;=15, "Senior (15-17)")</f>
        <v>Senior (15-17)</v>
      </c>
    </row>
    <row r="93" spans="1:8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  <c r="G93" s="1" t="str">
        <f t="shared" si="2"/>
        <v>High Screen Time (&gt;4h)</v>
      </c>
      <c r="H93" t="str" cm="1">
        <f t="array" ref="H93">_xlfn.IFS(B93&lt;=14, "Junior (13-14)", B93&gt;=15, "Senior (15-17)")</f>
        <v>Junior (13-14)</v>
      </c>
    </row>
    <row r="94" spans="1:8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  <c r="G94" s="1" t="str">
        <f t="shared" si="2"/>
        <v>High Screen Time (&gt;4h)</v>
      </c>
      <c r="H94" t="str" cm="1">
        <f t="array" ref="H94">_xlfn.IFS(B94&lt;=14, "Junior (13-14)", B94&gt;=15, "Senior (15-17)")</f>
        <v>Senior (15-17)</v>
      </c>
    </row>
    <row r="95" spans="1:8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  <c r="G95" s="1" t="str">
        <f t="shared" si="2"/>
        <v>High Screen Time (&gt;4h)</v>
      </c>
      <c r="H95" t="str" cm="1">
        <f t="array" ref="H95">_xlfn.IFS(B95&lt;=14, "Junior (13-14)", B95&gt;=15, "Senior (15-17)")</f>
        <v>Senior (15-17)</v>
      </c>
    </row>
    <row r="96" spans="1:8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  <c r="G96" s="1" t="str">
        <f t="shared" si="2"/>
        <v>Low  Screen Time (&lt;=4h)</v>
      </c>
      <c r="H96" t="str" cm="1">
        <f t="array" ref="H96">_xlfn.IFS(B96&lt;=14, "Junior (13-14)", B96&gt;=15, "Senior (15-17)")</f>
        <v>Junior (13-14)</v>
      </c>
    </row>
    <row r="97" spans="1:8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  <c r="G97" s="1" t="str">
        <f t="shared" si="2"/>
        <v>High Screen Time (&gt;4h)</v>
      </c>
      <c r="H97" t="str" cm="1">
        <f t="array" ref="H97">_xlfn.IFS(B97&lt;=14, "Junior (13-14)", B97&gt;=15, "Senior (15-17)")</f>
        <v>Senior (15-17)</v>
      </c>
    </row>
    <row r="98" spans="1:8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  <c r="G98" s="1" t="str">
        <f>IF(D98 &gt; 4, "High Screen Time (&gt;4h)", "Low  Screen Time (&lt;=4h)")</f>
        <v>Low  Screen Time (&lt;=4h)</v>
      </c>
      <c r="H98" t="str" cm="1">
        <f t="array" ref="H98">_xlfn.IFS(B98&lt;=14, "Junior (13-14)", B98&gt;=15, "Senior (15-17)")</f>
        <v>Senior (15-17)</v>
      </c>
    </row>
    <row r="99" spans="1:8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  <c r="G99" s="1" t="str">
        <f t="shared" ref="G99:G114" si="3">IF(D99 &gt; 4, "High Screen Time (&gt;4h)", "Low  Screen Time (&lt;=4h)")</f>
        <v>Low  Screen Time (&lt;=4h)</v>
      </c>
      <c r="H99" t="str" cm="1">
        <f t="array" ref="H99">_xlfn.IFS(B99&lt;=14, "Junior (13-14)", B99&gt;=15, "Senior (15-17)")</f>
        <v>Junior (13-14)</v>
      </c>
    </row>
    <row r="100" spans="1:8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  <c r="G100" s="1" t="str">
        <f t="shared" si="3"/>
        <v>Low  Screen Time (&lt;=4h)</v>
      </c>
      <c r="H100" t="str" cm="1">
        <f t="array" ref="H100">_xlfn.IFS(B100&lt;=14, "Junior (13-14)", B100&gt;=15, "Senior (15-17)")</f>
        <v>Junior (13-14)</v>
      </c>
    </row>
    <row r="101" spans="1:8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  <c r="G101" s="1" t="str">
        <f t="shared" si="3"/>
        <v>Low  Screen Time (&lt;=4h)</v>
      </c>
      <c r="H101" t="str" cm="1">
        <f t="array" ref="H101">_xlfn.IFS(B101&lt;=14, "Junior (13-14)", B101&gt;=15, "Senior (15-17)")</f>
        <v>Junior (13-14)</v>
      </c>
    </row>
    <row r="102" spans="1:8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  <c r="G102" s="1" t="str">
        <f t="shared" si="3"/>
        <v>High Screen Time (&gt;4h)</v>
      </c>
      <c r="H102" t="str" cm="1">
        <f t="array" ref="H102">_xlfn.IFS(B102&lt;=14, "Junior (13-14)", B102&gt;=15, "Senior (15-17)")</f>
        <v>Senior (15-17)</v>
      </c>
    </row>
    <row r="103" spans="1:8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  <c r="G103" s="1" t="str">
        <f t="shared" si="3"/>
        <v>Low  Screen Time (&lt;=4h)</v>
      </c>
      <c r="H103" t="str" cm="1">
        <f t="array" ref="H103">_xlfn.IFS(B103&lt;=14, "Junior (13-14)", B103&gt;=15, "Senior (15-17)")</f>
        <v>Junior (13-14)</v>
      </c>
    </row>
    <row r="104" spans="1:8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  <c r="G104" s="1" t="str">
        <f t="shared" si="3"/>
        <v>Low  Screen Time (&lt;=4h)</v>
      </c>
      <c r="H104" t="str" cm="1">
        <f t="array" ref="H104">_xlfn.IFS(B104&lt;=14, "Junior (13-14)", B104&gt;=15, "Senior (15-17)")</f>
        <v>Senior (15-17)</v>
      </c>
    </row>
    <row r="105" spans="1:8">
      <c r="A105">
        <v>104</v>
      </c>
      <c r="B105">
        <v>14</v>
      </c>
      <c r="C105">
        <v>3.5</v>
      </c>
      <c r="D105">
        <v>3.6</v>
      </c>
      <c r="E105">
        <v>83</v>
      </c>
      <c r="F105">
        <v>2.2000000000000002</v>
      </c>
      <c r="G105" s="1" t="str">
        <f t="shared" si="3"/>
        <v>Low  Screen Time (&lt;=4h)</v>
      </c>
      <c r="H105" t="str" cm="1">
        <f t="array" ref="H105">_xlfn.IFS(B105&lt;=14, "Junior (13-14)", B105&gt;=15, "Senior (15-17)")</f>
        <v>Junior (13-14)</v>
      </c>
    </row>
    <row r="106" spans="1:8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  <c r="G106" s="1" t="str">
        <f t="shared" si="3"/>
        <v>Low  Screen Time (&lt;=4h)</v>
      </c>
      <c r="H106" t="str" cm="1">
        <f t="array" ref="H106">_xlfn.IFS(B106&lt;=14, "Junior (13-14)", B106&gt;=15, "Senior (15-17)")</f>
        <v>Junior (13-14)</v>
      </c>
    </row>
    <row r="107" spans="1:8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  <c r="G107" s="1" t="str">
        <f t="shared" si="3"/>
        <v>High Screen Time (&gt;4h)</v>
      </c>
      <c r="H107" t="str" cm="1">
        <f t="array" ref="H107">_xlfn.IFS(B107&lt;=14, "Junior (13-14)", B107&gt;=15, "Senior (15-17)")</f>
        <v>Senior (15-17)</v>
      </c>
    </row>
    <row r="108" spans="1:8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  <c r="G108" s="1" t="str">
        <f t="shared" si="3"/>
        <v>Low  Screen Time (&lt;=4h)</v>
      </c>
      <c r="H108" t="str" cm="1">
        <f t="array" ref="H108">_xlfn.IFS(B108&lt;=14, "Junior (13-14)", B108&gt;=15, "Senior (15-17)")</f>
        <v>Senior (15-17)</v>
      </c>
    </row>
    <row r="109" spans="1:8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  <c r="G109" s="1" t="str">
        <f t="shared" si="3"/>
        <v>High Screen Time (&gt;4h)</v>
      </c>
      <c r="H109" t="str" cm="1">
        <f t="array" ref="H109">_xlfn.IFS(B109&lt;=14, "Junior (13-14)", B109&gt;=15, "Senior (15-17)")</f>
        <v>Senior (15-17)</v>
      </c>
    </row>
    <row r="110" spans="1:8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  <c r="G110" s="1" t="str">
        <f t="shared" si="3"/>
        <v>High Screen Time (&gt;4h)</v>
      </c>
      <c r="H110" t="str" cm="1">
        <f t="array" ref="H110">_xlfn.IFS(B110&lt;=14, "Junior (13-14)", B110&gt;=15, "Senior (15-17)")</f>
        <v>Senior (15-17)</v>
      </c>
    </row>
    <row r="111" spans="1:8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  <c r="G111" s="1" t="str">
        <f t="shared" si="3"/>
        <v>Low  Screen Time (&lt;=4h)</v>
      </c>
      <c r="H111" t="str" cm="1">
        <f t="array" ref="H111">_xlfn.IFS(B111&lt;=14, "Junior (13-14)", B111&gt;=15, "Senior (15-17)")</f>
        <v>Senior (15-17)</v>
      </c>
    </row>
    <row r="112" spans="1:8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  <c r="G112" s="1" t="str">
        <f t="shared" si="3"/>
        <v>High Screen Time (&gt;4h)</v>
      </c>
      <c r="H112" t="str" cm="1">
        <f t="array" ref="H112">_xlfn.IFS(B112&lt;=14, "Junior (13-14)", B112&gt;=15, "Senior (15-17)")</f>
        <v>Junior (13-14)</v>
      </c>
    </row>
    <row r="113" spans="1:8">
      <c r="A113">
        <v>112</v>
      </c>
      <c r="B113">
        <v>15</v>
      </c>
      <c r="C113">
        <v>2.9</v>
      </c>
      <c r="D113">
        <v>2.1</v>
      </c>
      <c r="E113">
        <v>56.4</v>
      </c>
      <c r="F113">
        <v>1.4</v>
      </c>
      <c r="G113" s="1" t="str">
        <f t="shared" si="3"/>
        <v>Low  Screen Time (&lt;=4h)</v>
      </c>
      <c r="H113" t="str" cm="1">
        <f t="array" ref="H113">_xlfn.IFS(B113&lt;=14, "Junior (13-14)", B113&gt;=15, "Senior (15-17)")</f>
        <v>Senior (15-17)</v>
      </c>
    </row>
    <row r="114" spans="1:8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  <c r="G114" s="1" t="str">
        <f t="shared" si="3"/>
        <v>High Screen Time (&gt;4h)</v>
      </c>
      <c r="H114" t="str" cm="1">
        <f t="array" ref="H114">_xlfn.IFS(B114&lt;=14, "Junior (13-14)", B114&gt;=15, "Senior (15-17)")</f>
        <v>Senior (15-17)</v>
      </c>
    </row>
    <row r="115" spans="1:8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  <c r="G115" s="1" t="str">
        <f>IF(D115 &gt; 4, "High Screen Time (&gt;4h)", "Low  Screen Time (&lt;=4h)")</f>
        <v>High Screen Time (&gt;4h)</v>
      </c>
      <c r="H115" t="str" cm="1">
        <f t="array" ref="H115">_xlfn.IFS(B115&lt;=14, "Junior (13-14)", B115&gt;=15, "Senior (15-17)")</f>
        <v>Senior (15-17)</v>
      </c>
    </row>
    <row r="116" spans="1:8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  <c r="G116" s="1" t="str">
        <f t="shared" ref="G116:G129" si="4">IF(D116 &gt; 4, "High Screen Time (&gt;4h)", "Low  Screen Time (&lt;=4h)")</f>
        <v>High Screen Time (&gt;4h)</v>
      </c>
      <c r="H116" t="str" cm="1">
        <f t="array" ref="H116">_xlfn.IFS(B116&lt;=14, "Junior (13-14)", B116&gt;=15, "Senior (15-17)")</f>
        <v>Junior (13-14)</v>
      </c>
    </row>
    <row r="117" spans="1:8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  <c r="G117" s="1" t="str">
        <f t="shared" si="4"/>
        <v>High Screen Time (&gt;4h)</v>
      </c>
      <c r="H117" t="str" cm="1">
        <f t="array" ref="H117">_xlfn.IFS(B117&lt;=14, "Junior (13-14)", B117&gt;=15, "Senior (15-17)")</f>
        <v>Senior (15-17)</v>
      </c>
    </row>
    <row r="118" spans="1:8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  <c r="G118" s="1" t="str">
        <f t="shared" si="4"/>
        <v>High Screen Time (&gt;4h)</v>
      </c>
      <c r="H118" t="str" cm="1">
        <f t="array" ref="H118">_xlfn.IFS(B118&lt;=14, "Junior (13-14)", B118&gt;=15, "Senior (15-17)")</f>
        <v>Junior (13-14)</v>
      </c>
    </row>
    <row r="119" spans="1:8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  <c r="G119" s="1" t="str">
        <f t="shared" si="4"/>
        <v>High Screen Time (&gt;4h)</v>
      </c>
      <c r="H119" t="str" cm="1">
        <f t="array" ref="H119">_xlfn.IFS(B119&lt;=14, "Junior (13-14)", B119&gt;=15, "Senior (15-17)")</f>
        <v>Senior (15-17)</v>
      </c>
    </row>
    <row r="120" spans="1:8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  <c r="G120" s="1" t="str">
        <f t="shared" si="4"/>
        <v>High Screen Time (&gt;4h)</v>
      </c>
      <c r="H120" t="str" cm="1">
        <f t="array" ref="H120">_xlfn.IFS(B120&lt;=14, "Junior (13-14)", B120&gt;=15, "Senior (15-17)")</f>
        <v>Junior (13-14)</v>
      </c>
    </row>
    <row r="121" spans="1:8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  <c r="G121" s="1" t="str">
        <f t="shared" si="4"/>
        <v>Low  Screen Time (&lt;=4h)</v>
      </c>
      <c r="H121" t="str" cm="1">
        <f t="array" ref="H121">_xlfn.IFS(B121&lt;=14, "Junior (13-14)", B121&gt;=15, "Senior (15-17)")</f>
        <v>Junior (13-14)</v>
      </c>
    </row>
    <row r="122" spans="1:8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  <c r="G122" s="1" t="str">
        <f t="shared" si="4"/>
        <v>Low  Screen Time (&lt;=4h)</v>
      </c>
      <c r="H122" t="str" cm="1">
        <f t="array" ref="H122">_xlfn.IFS(B122&lt;=14, "Junior (13-14)", B122&gt;=15, "Senior (15-17)")</f>
        <v>Junior (13-14)</v>
      </c>
    </row>
    <row r="123" spans="1:8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  <c r="G123" s="1" t="str">
        <f t="shared" si="4"/>
        <v>High Screen Time (&gt;4h)</v>
      </c>
      <c r="H123" t="str" cm="1">
        <f t="array" ref="H123">_xlfn.IFS(B123&lt;=14, "Junior (13-14)", B123&gt;=15, "Senior (15-17)")</f>
        <v>Senior (15-17)</v>
      </c>
    </row>
    <row r="124" spans="1:8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  <c r="G124" s="1" t="str">
        <f t="shared" si="4"/>
        <v>Low  Screen Time (&lt;=4h)</v>
      </c>
      <c r="H124" t="str" cm="1">
        <f t="array" ref="H124">_xlfn.IFS(B124&lt;=14, "Junior (13-14)", B124&gt;=15, "Senior (15-17)")</f>
        <v>Senior (15-17)</v>
      </c>
    </row>
    <row r="125" spans="1:8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  <c r="G125" s="1" t="str">
        <f t="shared" si="4"/>
        <v>High Screen Time (&gt;4h)</v>
      </c>
      <c r="H125" t="str" cm="1">
        <f t="array" ref="H125">_xlfn.IFS(B125&lt;=14, "Junior (13-14)", B125&gt;=15, "Senior (15-17)")</f>
        <v>Senior (15-17)</v>
      </c>
    </row>
    <row r="126" spans="1:8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  <c r="G126" s="1" t="str">
        <f t="shared" si="4"/>
        <v>High Screen Time (&gt;4h)</v>
      </c>
      <c r="H126" t="str" cm="1">
        <f t="array" ref="H126">_xlfn.IFS(B126&lt;=14, "Junior (13-14)", B126&gt;=15, "Senior (15-17)")</f>
        <v>Junior (13-14)</v>
      </c>
    </row>
    <row r="127" spans="1:8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  <c r="G127" s="1" t="str">
        <f t="shared" si="4"/>
        <v>High Screen Time (&gt;4h)</v>
      </c>
      <c r="H127" t="str" cm="1">
        <f t="array" ref="H127">_xlfn.IFS(B127&lt;=14, "Junior (13-14)", B127&gt;=15, "Senior (15-17)")</f>
        <v>Senior (15-17)</v>
      </c>
    </row>
    <row r="128" spans="1:8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  <c r="G128" s="1" t="str">
        <f t="shared" si="4"/>
        <v>Low  Screen Time (&lt;=4h)</v>
      </c>
      <c r="H128" t="str" cm="1">
        <f t="array" ref="H128">_xlfn.IFS(B128&lt;=14, "Junior (13-14)", B128&gt;=15, "Senior (15-17)")</f>
        <v>Senior (15-17)</v>
      </c>
    </row>
    <row r="129" spans="1:8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  <c r="G129" s="1" t="str">
        <f t="shared" si="4"/>
        <v>High Screen Time (&gt;4h)</v>
      </c>
      <c r="H129" t="str" cm="1">
        <f t="array" ref="H129">_xlfn.IFS(B129&lt;=14, "Junior (13-14)", B129&gt;=15, "Senior (15-17)")</f>
        <v>Senior (15-17)</v>
      </c>
    </row>
    <row r="130" spans="1:8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  <c r="G130" s="1" t="str">
        <f>IF(D130 &gt; 4, "High Screen Time (&gt;4h)", "Low  Screen Time (&lt;=4h)")</f>
        <v>High Screen Time (&gt;4h)</v>
      </c>
      <c r="H130" t="str" cm="1">
        <f t="array" ref="H130">_xlfn.IFS(B130&lt;=14, "Junior (13-14)", B130&gt;=15, "Senior (15-17)")</f>
        <v>Senior (15-17)</v>
      </c>
    </row>
    <row r="131" spans="1:8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  <c r="G131" s="1" t="str">
        <f t="shared" ref="G131:G144" si="5">IF(D131 &gt; 4, "High Screen Time (&gt;4h)", "Low  Screen Time (&lt;=4h)")</f>
        <v>High Screen Time (&gt;4h)</v>
      </c>
      <c r="H131" t="str" cm="1">
        <f t="array" ref="H131">_xlfn.IFS(B131&lt;=14, "Junior (13-14)", B131&gt;=15, "Senior (15-17)")</f>
        <v>Senior (15-17)</v>
      </c>
    </row>
    <row r="132" spans="1:8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  <c r="G132" s="1" t="str">
        <f t="shared" si="5"/>
        <v>Low  Screen Time (&lt;=4h)</v>
      </c>
      <c r="H132" t="str" cm="1">
        <f t="array" ref="H132">_xlfn.IFS(B132&lt;=14, "Junior (13-14)", B132&gt;=15, "Senior (15-17)")</f>
        <v>Senior (15-17)</v>
      </c>
    </row>
    <row r="133" spans="1:8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  <c r="G133" s="1" t="str">
        <f t="shared" si="5"/>
        <v>High Screen Time (&gt;4h)</v>
      </c>
      <c r="H133" t="str" cm="1">
        <f t="array" ref="H133">_xlfn.IFS(B133&lt;=14, "Junior (13-14)", B133&gt;=15, "Senior (15-17)")</f>
        <v>Senior (15-17)</v>
      </c>
    </row>
    <row r="134" spans="1:8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  <c r="G134" s="1" t="str">
        <f t="shared" si="5"/>
        <v>High Screen Time (&gt;4h)</v>
      </c>
      <c r="H134" t="str" cm="1">
        <f t="array" ref="H134">_xlfn.IFS(B134&lt;=14, "Junior (13-14)", B134&gt;=15, "Senior (15-17)")</f>
        <v>Senior (15-17)</v>
      </c>
    </row>
    <row r="135" spans="1:8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  <c r="G135" s="1" t="str">
        <f t="shared" si="5"/>
        <v>Low  Screen Time (&lt;=4h)</v>
      </c>
      <c r="H135" t="str" cm="1">
        <f t="array" ref="H135">_xlfn.IFS(B135&lt;=14, "Junior (13-14)", B135&gt;=15, "Senior (15-17)")</f>
        <v>Senior (15-17)</v>
      </c>
    </row>
    <row r="136" spans="1:8">
      <c r="A136">
        <v>135</v>
      </c>
      <c r="B136">
        <v>15</v>
      </c>
      <c r="C136">
        <v>3.5</v>
      </c>
      <c r="D136">
        <v>4.7</v>
      </c>
      <c r="E136">
        <v>74.5</v>
      </c>
      <c r="F136">
        <v>1.4</v>
      </c>
      <c r="G136" s="1" t="str">
        <f t="shared" si="5"/>
        <v>High Screen Time (&gt;4h)</v>
      </c>
      <c r="H136" t="str" cm="1">
        <f t="array" ref="H136">_xlfn.IFS(B136&lt;=14, "Junior (13-14)", B136&gt;=15, "Senior (15-17)")</f>
        <v>Senior (15-17)</v>
      </c>
    </row>
    <row r="137" spans="1:8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  <c r="G137" s="1" t="str">
        <f t="shared" si="5"/>
        <v>Low  Screen Time (&lt;=4h)</v>
      </c>
      <c r="H137" t="str" cm="1">
        <f t="array" ref="H137">_xlfn.IFS(B137&lt;=14, "Junior (13-14)", B137&gt;=15, "Senior (15-17)")</f>
        <v>Senior (15-17)</v>
      </c>
    </row>
    <row r="138" spans="1:8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  <c r="G138" s="1" t="str">
        <f t="shared" si="5"/>
        <v>High Screen Time (&gt;4h)</v>
      </c>
      <c r="H138" t="str" cm="1">
        <f t="array" ref="H138">_xlfn.IFS(B138&lt;=14, "Junior (13-14)", B138&gt;=15, "Senior (15-17)")</f>
        <v>Senior (15-17)</v>
      </c>
    </row>
    <row r="139" spans="1:8">
      <c r="A139">
        <v>138</v>
      </c>
      <c r="B139">
        <v>14</v>
      </c>
      <c r="C139">
        <v>3.1</v>
      </c>
      <c r="D139">
        <v>2.2999999999999998</v>
      </c>
      <c r="E139">
        <v>74.849999999999994</v>
      </c>
      <c r="F139">
        <v>1.2</v>
      </c>
      <c r="G139" s="1" t="str">
        <f t="shared" si="5"/>
        <v>Low  Screen Time (&lt;=4h)</v>
      </c>
      <c r="H139" t="str" cm="1">
        <f t="array" ref="H139">_xlfn.IFS(B139&lt;=14, "Junior (13-14)", B139&gt;=15, "Senior (15-17)")</f>
        <v>Junior (13-14)</v>
      </c>
    </row>
    <row r="140" spans="1:8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  <c r="G140" s="1" t="str">
        <f t="shared" si="5"/>
        <v>High Screen Time (&gt;4h)</v>
      </c>
      <c r="H140" t="str" cm="1">
        <f t="array" ref="H140">_xlfn.IFS(B140&lt;=14, "Junior (13-14)", B140&gt;=15, "Senior (15-17)")</f>
        <v>Junior (13-14)</v>
      </c>
    </row>
    <row r="141" spans="1:8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  <c r="G141" s="1" t="str">
        <f t="shared" si="5"/>
        <v>Low  Screen Time (&lt;=4h)</v>
      </c>
      <c r="H141" t="str" cm="1">
        <f t="array" ref="H141">_xlfn.IFS(B141&lt;=14, "Junior (13-14)", B141&gt;=15, "Senior (15-17)")</f>
        <v>Senior (15-17)</v>
      </c>
    </row>
    <row r="142" spans="1:8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  <c r="G142" s="1" t="str">
        <f t="shared" si="5"/>
        <v>High Screen Time (&gt;4h)</v>
      </c>
      <c r="H142" t="str" cm="1">
        <f t="array" ref="H142">_xlfn.IFS(B142&lt;=14, "Junior (13-14)", B142&gt;=15, "Senior (15-17)")</f>
        <v>Junior (13-14)</v>
      </c>
    </row>
    <row r="143" spans="1:8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  <c r="G143" s="1" t="str">
        <f t="shared" si="5"/>
        <v>Low  Screen Time (&lt;=4h)</v>
      </c>
      <c r="H143" t="str" cm="1">
        <f t="array" ref="H143">_xlfn.IFS(B143&lt;=14, "Junior (13-14)", B143&gt;=15, "Senior (15-17)")</f>
        <v>Senior (15-17)</v>
      </c>
    </row>
    <row r="144" spans="1:8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  <c r="G144" s="1" t="str">
        <f t="shared" si="5"/>
        <v>High Screen Time (&gt;4h)</v>
      </c>
      <c r="H144" t="str" cm="1">
        <f t="array" ref="H144">_xlfn.IFS(B144&lt;=14, "Junior (13-14)", B144&gt;=15, "Senior (15-17)")</f>
        <v>Senior (15-17)</v>
      </c>
    </row>
    <row r="145" spans="1:8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  <c r="G145" s="1" t="str">
        <f>IF(D145 &gt; 4, "High Screen Time (&gt;4h)", "Low  Screen Time (&lt;=4h)")</f>
        <v>Low  Screen Time (&lt;=4h)</v>
      </c>
      <c r="H145" t="str" cm="1">
        <f t="array" ref="H145">_xlfn.IFS(B145&lt;=14, "Junior (13-14)", B145&gt;=15, "Senior (15-17)")</f>
        <v>Senior (15-17)</v>
      </c>
    </row>
    <row r="146" spans="1:8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  <c r="G146" s="1" t="str">
        <f t="shared" ref="G146:G158" si="6">IF(D146 &gt; 4, "High Screen Time (&gt;4h)", "Low  Screen Time (&lt;=4h)")</f>
        <v>High Screen Time (&gt;4h)</v>
      </c>
      <c r="H146" t="str" cm="1">
        <f t="array" ref="H146">_xlfn.IFS(B146&lt;=14, "Junior (13-14)", B146&gt;=15, "Senior (15-17)")</f>
        <v>Senior (15-17)</v>
      </c>
    </row>
    <row r="147" spans="1:8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  <c r="G147" s="1" t="str">
        <f t="shared" si="6"/>
        <v>Low  Screen Time (&lt;=4h)</v>
      </c>
      <c r="H147" t="str" cm="1">
        <f t="array" ref="H147">_xlfn.IFS(B147&lt;=14, "Junior (13-14)", B147&gt;=15, "Senior (15-17)")</f>
        <v>Senior (15-17)</v>
      </c>
    </row>
    <row r="148" spans="1:8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  <c r="G148" s="1" t="str">
        <f t="shared" si="6"/>
        <v>Low  Screen Time (&lt;=4h)</v>
      </c>
      <c r="H148" t="str" cm="1">
        <f t="array" ref="H148">_xlfn.IFS(B148&lt;=14, "Junior (13-14)", B148&gt;=15, "Senior (15-17)")</f>
        <v>Senior (15-17)</v>
      </c>
    </row>
    <row r="149" spans="1:8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  <c r="G149" s="1" t="str">
        <f t="shared" si="6"/>
        <v>High Screen Time (&gt;4h)</v>
      </c>
      <c r="H149" t="str" cm="1">
        <f t="array" ref="H149">_xlfn.IFS(B149&lt;=14, "Junior (13-14)", B149&gt;=15, "Senior (15-17)")</f>
        <v>Senior (15-17)</v>
      </c>
    </row>
    <row r="150" spans="1:8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  <c r="G150" s="1" t="str">
        <f t="shared" si="6"/>
        <v>Low  Screen Time (&lt;=4h)</v>
      </c>
      <c r="H150" t="str" cm="1">
        <f t="array" ref="H150">_xlfn.IFS(B150&lt;=14, "Junior (13-14)", B150&gt;=15, "Senior (15-17)")</f>
        <v>Junior (13-14)</v>
      </c>
    </row>
    <row r="151" spans="1:8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  <c r="G151" s="1" t="str">
        <f t="shared" si="6"/>
        <v>High Screen Time (&gt;4h)</v>
      </c>
      <c r="H151" t="str" cm="1">
        <f t="array" ref="H151">_xlfn.IFS(B151&lt;=14, "Junior (13-14)", B151&gt;=15, "Senior (15-17)")</f>
        <v>Senior (15-17)</v>
      </c>
    </row>
    <row r="152" spans="1:8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  <c r="G152" s="1" t="str">
        <f t="shared" si="6"/>
        <v>Low  Screen Time (&lt;=4h)</v>
      </c>
      <c r="H152" t="str" cm="1">
        <f t="array" ref="H152">_xlfn.IFS(B152&lt;=14, "Junior (13-14)", B152&gt;=15, "Senior (15-17)")</f>
        <v>Junior (13-14)</v>
      </c>
    </row>
    <row r="153" spans="1:8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  <c r="G153" s="1" t="str">
        <f t="shared" si="6"/>
        <v>Low  Screen Time (&lt;=4h)</v>
      </c>
      <c r="H153" t="str" cm="1">
        <f t="array" ref="H153">_xlfn.IFS(B153&lt;=14, "Junior (13-14)", B153&gt;=15, "Senior (15-17)")</f>
        <v>Junior (13-14)</v>
      </c>
    </row>
    <row r="154" spans="1:8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  <c r="G154" s="1" t="str">
        <f t="shared" si="6"/>
        <v>High Screen Time (&gt;4h)</v>
      </c>
      <c r="H154" t="str" cm="1">
        <f t="array" ref="H154">_xlfn.IFS(B154&lt;=14, "Junior (13-14)", B154&gt;=15, "Senior (15-17)")</f>
        <v>Junior (13-14)</v>
      </c>
    </row>
    <row r="155" spans="1:8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  <c r="G155" s="1" t="str">
        <f t="shared" si="6"/>
        <v>High Screen Time (&gt;4h)</v>
      </c>
      <c r="H155" t="str" cm="1">
        <f t="array" ref="H155">_xlfn.IFS(B155&lt;=14, "Junior (13-14)", B155&gt;=15, "Senior (15-17)")</f>
        <v>Junior (13-14)</v>
      </c>
    </row>
    <row r="156" spans="1:8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  <c r="G156" s="1" t="str">
        <f t="shared" si="6"/>
        <v>High Screen Time (&gt;4h)</v>
      </c>
      <c r="H156" t="str" cm="1">
        <f t="array" ref="H156">_xlfn.IFS(B156&lt;=14, "Junior (13-14)", B156&gt;=15, "Senior (15-17)")</f>
        <v>Senior (15-17)</v>
      </c>
    </row>
    <row r="157" spans="1:8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  <c r="G157" s="1" t="str">
        <f t="shared" si="6"/>
        <v>Low  Screen Time (&lt;=4h)</v>
      </c>
      <c r="H157" t="str" cm="1">
        <f t="array" ref="H157">_xlfn.IFS(B157&lt;=14, "Junior (13-14)", B157&gt;=15, "Senior (15-17)")</f>
        <v>Junior (13-14)</v>
      </c>
    </row>
    <row r="158" spans="1:8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  <c r="G158" s="1" t="str">
        <f t="shared" si="6"/>
        <v>Low  Screen Time (&lt;=4h)</v>
      </c>
      <c r="H158" t="str" cm="1">
        <f t="array" ref="H158">_xlfn.IFS(B158&lt;=14, "Junior (13-14)", B158&gt;=15, "Senior (15-17)")</f>
        <v>Senior (15-17)</v>
      </c>
    </row>
    <row r="159" spans="1:8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  <c r="G159" s="1" t="str">
        <f>IF(D159 &gt; 4, "High Screen Time (&gt;4h)", "Low  Screen Time (&lt;=4h)")</f>
        <v>Low  Screen Time (&lt;=4h)</v>
      </c>
      <c r="H159" t="str" cm="1">
        <f t="array" ref="H159">_xlfn.IFS(B159&lt;=14, "Junior (13-14)", B159&gt;=15, "Senior (15-17)")</f>
        <v>Senior (15-17)</v>
      </c>
    </row>
    <row r="160" spans="1:8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  <c r="G160" s="1" t="str">
        <f t="shared" ref="G160:G178" si="7">IF(D160 &gt; 4, "High Screen Time (&gt;4h)", "Low  Screen Time (&lt;=4h)")</f>
        <v>Low  Screen Time (&lt;=4h)</v>
      </c>
      <c r="H160" t="str" cm="1">
        <f t="array" ref="H160">_xlfn.IFS(B160&lt;=14, "Junior (13-14)", B160&gt;=15, "Senior (15-17)")</f>
        <v>Junior (13-14)</v>
      </c>
    </row>
    <row r="161" spans="1:8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  <c r="G161" s="1" t="str">
        <f t="shared" si="7"/>
        <v>Low  Screen Time (&lt;=4h)</v>
      </c>
      <c r="H161" t="str" cm="1">
        <f t="array" ref="H161">_xlfn.IFS(B161&lt;=14, "Junior (13-14)", B161&gt;=15, "Senior (15-17)")</f>
        <v>Senior (15-17)</v>
      </c>
    </row>
    <row r="162" spans="1:8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  <c r="G162" s="1" t="str">
        <f t="shared" si="7"/>
        <v>High Screen Time (&gt;4h)</v>
      </c>
      <c r="H162" t="str" cm="1">
        <f t="array" ref="H162">_xlfn.IFS(B162&lt;=14, "Junior (13-14)", B162&gt;=15, "Senior (15-17)")</f>
        <v>Senior (15-17)</v>
      </c>
    </row>
    <row r="163" spans="1:8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  <c r="G163" s="1" t="str">
        <f t="shared" si="7"/>
        <v>Low  Screen Time (&lt;=4h)</v>
      </c>
      <c r="H163" t="str" cm="1">
        <f t="array" ref="H163">_xlfn.IFS(B163&lt;=14, "Junior (13-14)", B163&gt;=15, "Senior (15-17)")</f>
        <v>Junior (13-14)</v>
      </c>
    </row>
    <row r="164" spans="1:8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  <c r="G164" s="1" t="str">
        <f t="shared" si="7"/>
        <v>Low  Screen Time (&lt;=4h)</v>
      </c>
      <c r="H164" t="str" cm="1">
        <f t="array" ref="H164">_xlfn.IFS(B164&lt;=14, "Junior (13-14)", B164&gt;=15, "Senior (15-17)")</f>
        <v>Senior (15-17)</v>
      </c>
    </row>
    <row r="165" spans="1:8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  <c r="G165" s="1" t="str">
        <f t="shared" si="7"/>
        <v>High Screen Time (&gt;4h)</v>
      </c>
      <c r="H165" t="str" cm="1">
        <f t="array" ref="H165">_xlfn.IFS(B165&lt;=14, "Junior (13-14)", B165&gt;=15, "Senior (15-17)")</f>
        <v>Junior (13-14)</v>
      </c>
    </row>
    <row r="166" spans="1:8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  <c r="G166" s="1" t="str">
        <f t="shared" si="7"/>
        <v>High Screen Time (&gt;4h)</v>
      </c>
      <c r="H166" t="str" cm="1">
        <f t="array" ref="H166">_xlfn.IFS(B166&lt;=14, "Junior (13-14)", B166&gt;=15, "Senior (15-17)")</f>
        <v>Senior (15-17)</v>
      </c>
    </row>
    <row r="167" spans="1:8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  <c r="G167" s="1" t="str">
        <f t="shared" si="7"/>
        <v>High Screen Time (&gt;4h)</v>
      </c>
      <c r="H167" t="str" cm="1">
        <f t="array" ref="H167">_xlfn.IFS(B167&lt;=14, "Junior (13-14)", B167&gt;=15, "Senior (15-17)")</f>
        <v>Junior (13-14)</v>
      </c>
    </row>
    <row r="168" spans="1:8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  <c r="G168" s="1" t="str">
        <f t="shared" si="7"/>
        <v>High Screen Time (&gt;4h)</v>
      </c>
      <c r="H168" t="str" cm="1">
        <f t="array" ref="H168">_xlfn.IFS(B168&lt;=14, "Junior (13-14)", B168&gt;=15, "Senior (15-17)")</f>
        <v>Senior (15-17)</v>
      </c>
    </row>
    <row r="169" spans="1:8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  <c r="G169" s="1" t="str">
        <f t="shared" si="7"/>
        <v>High Screen Time (&gt;4h)</v>
      </c>
      <c r="H169" t="str" cm="1">
        <f t="array" ref="H169">_xlfn.IFS(B169&lt;=14, "Junior (13-14)", B169&gt;=15, "Senior (15-17)")</f>
        <v>Senior (15-17)</v>
      </c>
    </row>
    <row r="170" spans="1:8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  <c r="G170" s="1" t="str">
        <f t="shared" si="7"/>
        <v>High Screen Time (&gt;4h)</v>
      </c>
      <c r="H170" t="str" cm="1">
        <f t="array" ref="H170">_xlfn.IFS(B170&lt;=14, "Junior (13-14)", B170&gt;=15, "Senior (15-17)")</f>
        <v>Junior (13-14)</v>
      </c>
    </row>
    <row r="171" spans="1:8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  <c r="G171" s="1" t="str">
        <f t="shared" si="7"/>
        <v>Low  Screen Time (&lt;=4h)</v>
      </c>
      <c r="H171" t="str" cm="1">
        <f t="array" ref="H171">_xlfn.IFS(B171&lt;=14, "Junior (13-14)", B171&gt;=15, "Senior (15-17)")</f>
        <v>Senior (15-17)</v>
      </c>
    </row>
    <row r="172" spans="1:8">
      <c r="A172">
        <v>171</v>
      </c>
      <c r="B172">
        <v>13</v>
      </c>
      <c r="C172">
        <v>4.5</v>
      </c>
      <c r="D172">
        <v>2.1</v>
      </c>
      <c r="E172">
        <v>95.7</v>
      </c>
      <c r="F172">
        <v>1.5</v>
      </c>
      <c r="G172" s="1" t="str">
        <f t="shared" si="7"/>
        <v>Low  Screen Time (&lt;=4h)</v>
      </c>
      <c r="H172" t="str" cm="1">
        <f t="array" ref="H172">_xlfn.IFS(B172&lt;=14, "Junior (13-14)", B172&gt;=15, "Senior (15-17)")</f>
        <v>Junior (13-14)</v>
      </c>
    </row>
    <row r="173" spans="1:8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  <c r="G173" s="1" t="str">
        <f t="shared" si="7"/>
        <v>High Screen Time (&gt;4h)</v>
      </c>
      <c r="H173" t="str" cm="1">
        <f t="array" ref="H173">_xlfn.IFS(B173&lt;=14, "Junior (13-14)", B173&gt;=15, "Senior (15-17)")</f>
        <v>Junior (13-14)</v>
      </c>
    </row>
    <row r="174" spans="1:8">
      <c r="A174">
        <v>173</v>
      </c>
      <c r="B174">
        <v>14</v>
      </c>
      <c r="C174">
        <v>3</v>
      </c>
      <c r="D174">
        <v>4.5999999999999996</v>
      </c>
      <c r="E174">
        <v>74.849999999999994</v>
      </c>
      <c r="F174">
        <v>1.6</v>
      </c>
      <c r="G174" s="1" t="str">
        <f t="shared" si="7"/>
        <v>High Screen Time (&gt;4h)</v>
      </c>
      <c r="H174" t="str" cm="1">
        <f t="array" ref="H174">_xlfn.IFS(B174&lt;=14, "Junior (13-14)", B174&gt;=15, "Senior (15-17)")</f>
        <v>Junior (13-14)</v>
      </c>
    </row>
    <row r="175" spans="1:8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  <c r="G175" s="1" t="str">
        <f t="shared" si="7"/>
        <v>Low  Screen Time (&lt;=4h)</v>
      </c>
      <c r="H175" t="str" cm="1">
        <f t="array" ref="H175">_xlfn.IFS(B175&lt;=14, "Junior (13-14)", B175&gt;=15, "Senior (15-17)")</f>
        <v>Senior (15-17)</v>
      </c>
    </row>
    <row r="176" spans="1:8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  <c r="G176" s="1" t="str">
        <f t="shared" si="7"/>
        <v>High Screen Time (&gt;4h)</v>
      </c>
      <c r="H176" t="str" cm="1">
        <f t="array" ref="H176">_xlfn.IFS(B176&lt;=14, "Junior (13-14)", B176&gt;=15, "Senior (15-17)")</f>
        <v>Senior (15-17)</v>
      </c>
    </row>
    <row r="177" spans="1:8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  <c r="G177" s="1" t="str">
        <f t="shared" si="7"/>
        <v>High Screen Time (&gt;4h)</v>
      </c>
      <c r="H177" t="str" cm="1">
        <f t="array" ref="H177">_xlfn.IFS(B177&lt;=14, "Junior (13-14)", B177&gt;=15, "Senior (15-17)")</f>
        <v>Junior (13-14)</v>
      </c>
    </row>
    <row r="178" spans="1:8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  <c r="G178" s="1" t="str">
        <f t="shared" si="7"/>
        <v>Low  Screen Time (&lt;=4h)</v>
      </c>
      <c r="H178" t="str" cm="1">
        <f t="array" ref="H178">_xlfn.IFS(B178&lt;=14, "Junior (13-14)", B178&gt;=15, "Senior (15-17)")</f>
        <v>Senior (15-17)</v>
      </c>
    </row>
    <row r="179" spans="1:8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  <c r="G179" s="1" t="str">
        <f>IF(D179 &gt; 4, "High Screen Time (&gt;4h)", "Low  Screen Time (&lt;=4h)")</f>
        <v>Low  Screen Time (&lt;=4h)</v>
      </c>
      <c r="H179" t="str" cm="1">
        <f t="array" ref="H179">_xlfn.IFS(B179&lt;=14, "Junior (13-14)", B179&gt;=15, "Senior (15-17)")</f>
        <v>Junior (13-14)</v>
      </c>
    </row>
    <row r="180" spans="1:8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  <c r="G180" s="1" t="str">
        <f t="shared" ref="G180:G198" si="8">IF(D180 &gt; 4, "High Screen Time (&gt;4h)", "Low  Screen Time (&lt;=4h)")</f>
        <v>High Screen Time (&gt;4h)</v>
      </c>
      <c r="H180" t="str" cm="1">
        <f t="array" ref="H180">_xlfn.IFS(B180&lt;=14, "Junior (13-14)", B180&gt;=15, "Senior (15-17)")</f>
        <v>Senior (15-17)</v>
      </c>
    </row>
    <row r="181" spans="1:8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  <c r="G181" s="1" t="str">
        <f t="shared" si="8"/>
        <v>Low  Screen Time (&lt;=4h)</v>
      </c>
      <c r="H181" t="str" cm="1">
        <f t="array" ref="H181">_xlfn.IFS(B181&lt;=14, "Junior (13-14)", B181&gt;=15, "Senior (15-17)")</f>
        <v>Junior (13-14)</v>
      </c>
    </row>
    <row r="182" spans="1:8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  <c r="G182" s="1" t="str">
        <f t="shared" si="8"/>
        <v>High Screen Time (&gt;4h)</v>
      </c>
      <c r="H182" t="str" cm="1">
        <f t="array" ref="H182">_xlfn.IFS(B182&lt;=14, "Junior (13-14)", B182&gt;=15, "Senior (15-17)")</f>
        <v>Junior (13-14)</v>
      </c>
    </row>
    <row r="183" spans="1:8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  <c r="G183" s="1" t="str">
        <f t="shared" si="8"/>
        <v>Low  Screen Time (&lt;=4h)</v>
      </c>
      <c r="H183" t="str" cm="1">
        <f t="array" ref="H183">_xlfn.IFS(B183&lt;=14, "Junior (13-14)", B183&gt;=15, "Senior (15-17)")</f>
        <v>Senior (15-17)</v>
      </c>
    </row>
    <row r="184" spans="1:8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  <c r="G184" s="1" t="str">
        <f t="shared" si="8"/>
        <v>Low  Screen Time (&lt;=4h)</v>
      </c>
      <c r="H184" t="str" cm="1">
        <f t="array" ref="H184">_xlfn.IFS(B184&lt;=14, "Junior (13-14)", B184&gt;=15, "Senior (15-17)")</f>
        <v>Junior (13-14)</v>
      </c>
    </row>
    <row r="185" spans="1:8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  <c r="G185" s="1" t="str">
        <f t="shared" si="8"/>
        <v>High Screen Time (&gt;4h)</v>
      </c>
      <c r="H185" t="str" cm="1">
        <f t="array" ref="H185">_xlfn.IFS(B185&lt;=14, "Junior (13-14)", B185&gt;=15, "Senior (15-17)")</f>
        <v>Junior (13-14)</v>
      </c>
    </row>
    <row r="186" spans="1:8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  <c r="G186" s="1" t="str">
        <f t="shared" si="8"/>
        <v>Low  Screen Time (&lt;=4h)</v>
      </c>
      <c r="H186" t="str" cm="1">
        <f t="array" ref="H186">_xlfn.IFS(B186&lt;=14, "Junior (13-14)", B186&gt;=15, "Senior (15-17)")</f>
        <v>Junior (13-14)</v>
      </c>
    </row>
    <row r="187" spans="1:8">
      <c r="A187">
        <v>186</v>
      </c>
      <c r="B187">
        <v>16</v>
      </c>
      <c r="C187">
        <v>2.7</v>
      </c>
      <c r="D187">
        <v>2.1</v>
      </c>
      <c r="E187">
        <v>74.7</v>
      </c>
      <c r="F187">
        <v>1</v>
      </c>
      <c r="G187" s="1" t="str">
        <f t="shared" si="8"/>
        <v>Low  Screen Time (&lt;=4h)</v>
      </c>
      <c r="H187" t="str" cm="1">
        <f t="array" ref="H187">_xlfn.IFS(B187&lt;=14, "Junior (13-14)", B187&gt;=15, "Senior (15-17)")</f>
        <v>Senior (15-17)</v>
      </c>
    </row>
    <row r="188" spans="1:8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  <c r="G188" s="1" t="str">
        <f t="shared" si="8"/>
        <v>High Screen Time (&gt;4h)</v>
      </c>
      <c r="H188" t="str" cm="1">
        <f t="array" ref="H188">_xlfn.IFS(B188&lt;=14, "Junior (13-14)", B188&gt;=15, "Senior (15-17)")</f>
        <v>Senior (15-17)</v>
      </c>
    </row>
    <row r="189" spans="1:8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  <c r="G189" s="1" t="str">
        <f t="shared" si="8"/>
        <v>Low  Screen Time (&lt;=4h)</v>
      </c>
      <c r="H189" t="str" cm="1">
        <f t="array" ref="H189">_xlfn.IFS(B189&lt;=14, "Junior (13-14)", B189&gt;=15, "Senior (15-17)")</f>
        <v>Junior (13-14)</v>
      </c>
    </row>
    <row r="190" spans="1:8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  <c r="G190" s="1" t="str">
        <f t="shared" si="8"/>
        <v>High Screen Time (&gt;4h)</v>
      </c>
      <c r="H190" t="str" cm="1">
        <f t="array" ref="H190">_xlfn.IFS(B190&lt;=14, "Junior (13-14)", B190&gt;=15, "Senior (15-17)")</f>
        <v>Junior (13-14)</v>
      </c>
    </row>
    <row r="191" spans="1:8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  <c r="G191" s="1" t="str">
        <f t="shared" si="8"/>
        <v>Low  Screen Time (&lt;=4h)</v>
      </c>
      <c r="H191" t="str" cm="1">
        <f t="array" ref="H191">_xlfn.IFS(B191&lt;=14, "Junior (13-14)", B191&gt;=15, "Senior (15-17)")</f>
        <v>Senior (15-17)</v>
      </c>
    </row>
    <row r="192" spans="1:8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  <c r="G192" s="1" t="str">
        <f t="shared" si="8"/>
        <v>High Screen Time (&gt;4h)</v>
      </c>
      <c r="H192" t="str" cm="1">
        <f t="array" ref="H192">_xlfn.IFS(B192&lt;=14, "Junior (13-14)", B192&gt;=15, "Senior (15-17)")</f>
        <v>Junior (13-14)</v>
      </c>
    </row>
    <row r="193" spans="1:8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  <c r="G193" s="1" t="str">
        <f t="shared" si="8"/>
        <v>High Screen Time (&gt;4h)</v>
      </c>
      <c r="H193" t="str" cm="1">
        <f t="array" ref="H193">_xlfn.IFS(B193&lt;=14, "Junior (13-14)", B193&gt;=15, "Senior (15-17)")</f>
        <v>Senior (15-17)</v>
      </c>
    </row>
    <row r="194" spans="1:8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  <c r="G194" s="1" t="str">
        <f t="shared" si="8"/>
        <v>High Screen Time (&gt;4h)</v>
      </c>
      <c r="H194" t="str" cm="1">
        <f t="array" ref="H194">_xlfn.IFS(B194&lt;=14, "Junior (13-14)", B194&gt;=15, "Senior (15-17)")</f>
        <v>Senior (15-17)</v>
      </c>
    </row>
    <row r="195" spans="1:8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  <c r="G195" s="1" t="str">
        <f t="shared" si="8"/>
        <v>High Screen Time (&gt;4h)</v>
      </c>
      <c r="H195" t="str" cm="1">
        <f t="array" ref="H195">_xlfn.IFS(B195&lt;=14, "Junior (13-14)", B195&gt;=15, "Senior (15-17)")</f>
        <v>Junior (13-14)</v>
      </c>
    </row>
    <row r="196" spans="1:8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  <c r="G196" s="1" t="str">
        <f t="shared" si="8"/>
        <v>Low  Screen Time (&lt;=4h)</v>
      </c>
      <c r="H196" t="str" cm="1">
        <f t="array" ref="H196">_xlfn.IFS(B196&lt;=14, "Junior (13-14)", B196&gt;=15, "Senior (15-17)")</f>
        <v>Senior (15-17)</v>
      </c>
    </row>
    <row r="197" spans="1:8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  <c r="G197" s="1" t="str">
        <f t="shared" si="8"/>
        <v>Low  Screen Time (&lt;=4h)</v>
      </c>
      <c r="H197" t="str" cm="1">
        <f t="array" ref="H197">_xlfn.IFS(B197&lt;=14, "Junior (13-14)", B197&gt;=15, "Senior (15-17)")</f>
        <v>Senior (15-17)</v>
      </c>
    </row>
    <row r="198" spans="1:8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  <c r="G198" s="1" t="str">
        <f t="shared" si="8"/>
        <v>High Screen Time (&gt;4h)</v>
      </c>
      <c r="H198" t="str" cm="1">
        <f t="array" ref="H198">_xlfn.IFS(B198&lt;=14, "Junior (13-14)", B198&gt;=15, "Senior (15-17)")</f>
        <v>Senior (15-17)</v>
      </c>
    </row>
    <row r="199" spans="1:8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  <c r="G199" s="1" t="str">
        <f>IF(D199 &gt; 4, "High Screen Time (&gt;4h)", "Low  Screen Time (&lt;=4h)")</f>
        <v>High Screen Time (&gt;4h)</v>
      </c>
      <c r="H199" t="str" cm="1">
        <f t="array" ref="H199">_xlfn.IFS(B199&lt;=14, "Junior (13-14)", B199&gt;=15, "Senior (15-17)")</f>
        <v>Junior (13-14)</v>
      </c>
    </row>
    <row r="200" spans="1:8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  <c r="G200" s="1" t="str">
        <f t="shared" ref="G200:G201" si="9">IF(D200 &gt; 4, "High Screen Time (&gt;4h)", "Low  Screen Time (&lt;=4h)")</f>
        <v>Low  Screen Time (&lt;=4h)</v>
      </c>
      <c r="H200" t="str" cm="1">
        <f t="array" ref="H200">_xlfn.IFS(B200&lt;=14, "Junior (13-14)", B200&gt;=15, "Senior (15-17)")</f>
        <v>Senior (15-17)</v>
      </c>
    </row>
    <row r="201" spans="1:8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  <c r="G201" s="1" t="str">
        <f t="shared" si="9"/>
        <v>Low  Screen Time (&lt;=4h)</v>
      </c>
      <c r="H201" t="str" cm="1">
        <f t="array" ref="H201">_xlfn.IFS(B201&lt;=14, "Junior (13-14)", B201&gt;=15, "Senior (15-17)")</f>
        <v>Senior (15-17)</v>
      </c>
    </row>
    <row r="204" spans="1:8">
      <c r="C204">
        <f>AVERAGE(C2,C201)</f>
        <v>3.5</v>
      </c>
      <c r="D204">
        <f>AVERAGE(D2,D201)</f>
        <v>2.1</v>
      </c>
      <c r="E204">
        <f>AVERAGE(E2,E201)</f>
        <v>74.849999999999994</v>
      </c>
    </row>
  </sheetData>
  <autoFilter ref="A1:F201" xr:uid="{B49837E2-E629-4C7A-B200-683FE5FC82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avg screen time</vt:lpstr>
      <vt:lpstr>Activity trends</vt:lpstr>
      <vt:lpstr>Age wise</vt:lpstr>
      <vt:lpstr>Sheet3</vt:lpstr>
      <vt:lpstr>Pivot table</vt:lpstr>
      <vt:lpstr>Dashboard</vt:lpstr>
      <vt:lpstr>Key Insights</vt:lpstr>
      <vt:lpstr>student_screen_time_raw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 Belide</dc:creator>
  <cp:lastModifiedBy>Sravanthi Belide</cp:lastModifiedBy>
  <dcterms:created xsi:type="dcterms:W3CDTF">2026-03-17T14:49:25Z</dcterms:created>
  <dcterms:modified xsi:type="dcterms:W3CDTF">2026-03-17T16:13:10Z</dcterms:modified>
</cp:coreProperties>
</file>